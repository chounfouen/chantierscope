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-moi" sheetId="1" state="visible" r:id="rId3"/>
    <sheet name="Indicateurs" sheetId="2" state="visible" r:id="rId4"/>
    <sheet name="Parametres" sheetId="3" state="visible" r:id="rId5"/>
    <sheet name="Dates" sheetId="4" state="visible" r:id="rId6"/>
    <sheet name="Actes" sheetId="5" state="visible" r:id="rId7"/>
    <sheet name="Quantites" sheetId="6" state="visible" r:id="rId8"/>
    <sheet name="Moyens" sheetId="7" state="visible" r:id="rId9"/>
    <sheet name="Aleas" sheetId="8" state="visible" r:id="rId10"/>
    <sheet name="Equipes" sheetId="9" state="visible" r:id="rId11"/>
    <sheet name="Engins" sheetId="10" state="visible" r:id="rId12"/>
    <sheet name="EnginsPrevus" sheetId="11" state="visible" r:id="rId13"/>
    <sheet name="Lignes" sheetId="12" state="visible" r:id="rId14"/>
    <sheet name="Taches" sheetId="13" state="visible" r:id="rId15"/>
    <sheet name="Debourse" sheetId="14" state="visible" r:id="rId16"/>
    <sheet name="Lots" sheetId="15" state="visible" r:id="rId17"/>
    <sheet name="CourbeVP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<sst xmlns="http://schemas.openxmlformats.org/spreadsheetml/2006/main" count="2850" uniqueCount="489">
  <si>
    <t xml:space="preserve">Calcul de reference au tableur des indicateurs du tableau de bord.</t>
  </si>
  <si>
    <t xml:space="preserve">Le critere d'achevement du sprint 7 exige que les treize indicateurs affiches</t>
  </si>
  <si>
    <t xml:space="preserve">concordent avec un calcul de reference etabli au tableur, a trois dates.</t>
  </si>
  <si>
    <t xml:space="preserve">Ce script construit ce classeur :</t>
  </si>
  <si>
    <t xml:space="preserve">1. il extrait de la base les SEULES donnees sources — quantitatif, dates</t>
  </si>
  <si>
    <t xml:space="preserve">   prevues, methodes d'avancement, releves valides, moyens, aleas, equipes</t>
  </si>
  <si>
    <t xml:space="preserve">   affectees — sans lire aucune valeur derivee ni aucun instantane ;</t>
  </si>
  <si>
    <t xml:space="preserve">2. il ecrit un classeur dont chaque grandeur est une FORMULE du tableur,</t>
  </si>
  <si>
    <t xml:space="preserve">   redigee d'apres les regles de la conception (sections 4.1 a 4.3) et non</t>
  </si>
  <si>
    <t xml:space="preserve">   d'apres le code de l'application ;</t>
  </si>
  <si>
    <t xml:space="preserve">3. il fait recalculer le classeur par LibreOffice, sans interface, et relit</t>
  </si>
  <si>
    <t xml:space="preserve">   les valeurs obtenues dans `docs/reference/indicateurs.json`.</t>
  </si>
  <si>
    <t xml:space="preserve">Le test `src/db/compute/tableau.reference.integration.test.ts` confronte</t>
  </si>
  <si>
    <t xml:space="preserve">ensuite ce fichier aux indicateurs que l'application calcule depuis ses</t>
  </si>
  <si>
    <t xml:space="preserve">instantanes.</t>
  </si>
  <si>
    <t xml:space="preserve">Le classeur recalcule est conserve dans `docs/reference/` : il s'ouvre dans</t>
  </si>
  <si>
    <t xml:space="preserve">n'importe quel tableur, et chaque chiffre s'y lit avec sa formule.</t>
  </si>
  <si>
    <t xml:space="preserve">Usage, depuis la racine du depot, sur une base fraichement peuplee :</t>
  </si>
  <si>
    <t xml:space="preserve">    npm run db:reset</t>
  </si>
  <si>
    <t xml:space="preserve">    python3 scripts/reference/tableur.py</t>
  </si>
  <si>
    <t xml:space="preserve">Dependances : psql, LibreOffice (soffice) et le module openpyxl.</t>
  </si>
  <si>
    <t xml:space="preserve">Indicateur</t>
  </si>
  <si>
    <t xml:space="preserve">Clé</t>
  </si>
  <si>
    <t xml:space="preserve">2026-05-15</t>
  </si>
  <si>
    <t xml:space="preserve">2026-07-31</t>
  </si>
  <si>
    <t xml:space="preserve">2026-09-27</t>
  </si>
  <si>
    <t xml:space="preserve">Jour d'analyse</t>
  </si>
  <si>
    <t xml:space="preserve">jour</t>
  </si>
  <si>
    <t xml:space="preserve">Délai en vigueur, jours</t>
  </si>
  <si>
    <t xml:space="preserve">dureeContrat</t>
  </si>
  <si>
    <t xml:space="preserve">Montant du marché en vigueur, FCFA</t>
  </si>
  <si>
    <t xml:space="preserve">montantContrat</t>
  </si>
  <si>
    <t xml:space="preserve">BAC, budget à l'achèvement</t>
  </si>
  <si>
    <t xml:space="preserve">bac</t>
  </si>
  <si>
    <t xml:space="preserve">Budget au coût du projet</t>
  </si>
  <si>
    <t xml:space="preserve">budgetCout</t>
  </si>
  <si>
    <t xml:space="preserve">k, coefficient de déboursé</t>
  </si>
  <si>
    <t xml:space="preserve">k</t>
  </si>
  <si>
    <t xml:space="preserve">VP, valeur planifiée</t>
  </si>
  <si>
    <t xml:space="preserve">vp</t>
  </si>
  <si>
    <t xml:space="preserve">VA, valeur acquise</t>
  </si>
  <si>
    <t xml:space="preserve">va</t>
  </si>
  <si>
    <t xml:space="preserve">CR, coût réel</t>
  </si>
  <si>
    <t xml:space="preserve">cr</t>
  </si>
  <si>
    <t xml:space="preserve">Avancement réel</t>
  </si>
  <si>
    <t xml:space="preserve">avancement</t>
  </si>
  <si>
    <t xml:space="preserve">EC, écart de coût</t>
  </si>
  <si>
    <t xml:space="preserve">ecartCout</t>
  </si>
  <si>
    <t xml:space="preserve">ED, écart de délai en valeur</t>
  </si>
  <si>
    <t xml:space="preserve">ecartDelaiValeur</t>
  </si>
  <si>
    <t xml:space="preserve">CPI</t>
  </si>
  <si>
    <t xml:space="preserve">cpi</t>
  </si>
  <si>
    <t xml:space="preserve">SPI</t>
  </si>
  <si>
    <t xml:space="preserve">spi</t>
  </si>
  <si>
    <t xml:space="preserve">BAC au coût</t>
  </si>
  <si>
    <t xml:space="preserve">bacCout</t>
  </si>
  <si>
    <t xml:space="preserve">EAC, coût estimé final</t>
  </si>
  <si>
    <t xml:space="preserve">eac</t>
  </si>
  <si>
    <t xml:space="preserve">ETC, reste à dépenser</t>
  </si>
  <si>
    <t xml:space="preserve">etc</t>
  </si>
  <si>
    <t xml:space="preserve">VAC, écart final</t>
  </si>
  <si>
    <t xml:space="preserve">vac</t>
  </si>
  <si>
    <t xml:space="preserve">Durée projetée, jours</t>
  </si>
  <si>
    <t xml:space="preserve">dureeProjeteeJ</t>
  </si>
  <si>
    <t xml:space="preserve">Retard estimé, jours</t>
  </si>
  <si>
    <t xml:space="preserve">retardJ</t>
  </si>
  <si>
    <t xml:space="preserve">Pénalité prévue, FCFA</t>
  </si>
  <si>
    <t xml:space="preserve">penaliteXof</t>
  </si>
  <si>
    <t xml:space="preserve">Rang t' sur la courbe planifiée</t>
  </si>
  <si>
    <t xml:space="preserve">rang</t>
  </si>
  <si>
    <t xml:space="preserve">Écart de délai en jours, lecture horizontale</t>
  </si>
  <si>
    <t xml:space="preserve">ecartDelaiJ</t>
  </si>
  <si>
    <t xml:space="preserve">Paramètre</t>
  </si>
  <si>
    <t xml:space="preserve">Valeur</t>
  </si>
  <si>
    <t xml:space="preserve">Taux horaire ouvrier, FCFA</t>
  </si>
  <si>
    <t xml:space="preserve">Coût journalier d'un encadrant, FCFA</t>
  </si>
  <si>
    <t xml:space="preserve">Part matériaux du prix unitaire</t>
  </si>
  <si>
    <t xml:space="preserve">Frais de chantier par jour calendaire, FCFA</t>
  </si>
  <si>
    <t xml:space="preserve">Heures planifiées par ouvrier et par jour</t>
  </si>
  <si>
    <t xml:space="preserve">Ouvriers par encadrant</t>
  </si>
  <si>
    <t xml:space="preserve">Projet</t>
  </si>
  <si>
    <t xml:space="preserve">Ordre de service</t>
  </si>
  <si>
    <t xml:space="preserve">Durée contractuelle, jours</t>
  </si>
  <si>
    <t xml:space="preserve">Montant du marché, FCFA</t>
  </si>
  <si>
    <t xml:space="preserve">Pénalité journalière, fraction du marché</t>
  </si>
  <si>
    <t xml:space="preserve">Intempéries prévisibles au CCAP, jours</t>
  </si>
  <si>
    <t xml:space="preserve">Date d'analyse</t>
  </si>
  <si>
    <t xml:space="preserve">Jour depuis l'ordre de service</t>
  </si>
  <si>
    <t xml:space="preserve">Nature</t>
  </si>
  <si>
    <t xml:space="preserve">Date</t>
  </si>
  <si>
    <t xml:space="preserve">Jours</t>
  </si>
  <si>
    <t xml:space="preserve">Montant, FCFA</t>
  </si>
  <si>
    <t xml:space="preserve">INTEMPERIE</t>
  </si>
  <si>
    <t xml:space="preserve">Ligne</t>
  </si>
  <si>
    <t xml:space="preserve">Quantité validée</t>
  </si>
  <si>
    <t xml:space="preserve">Q001</t>
  </si>
  <si>
    <t xml:space="preserve">Q002</t>
  </si>
  <si>
    <t xml:space="preserve">Q003</t>
  </si>
  <si>
    <t xml:space="preserve">Q014</t>
  </si>
  <si>
    <t xml:space="preserve">Q006</t>
  </si>
  <si>
    <t xml:space="preserve">Q005</t>
  </si>
  <si>
    <t xml:space="preserve">Q004</t>
  </si>
  <si>
    <t xml:space="preserve">Q013</t>
  </si>
  <si>
    <t xml:space="preserve">Q015</t>
  </si>
  <si>
    <t xml:space="preserve">Q016</t>
  </si>
  <si>
    <t xml:space="preserve">Q009</t>
  </si>
  <si>
    <t xml:space="preserve">Q010</t>
  </si>
  <si>
    <t xml:space="preserve">Q008</t>
  </si>
  <si>
    <t xml:space="preserve">Q007</t>
  </si>
  <si>
    <t xml:space="preserve">Q017</t>
  </si>
  <si>
    <t xml:space="preserve">Q018</t>
  </si>
  <si>
    <t xml:space="preserve">Q031</t>
  </si>
  <si>
    <t xml:space="preserve">Q034</t>
  </si>
  <si>
    <t xml:space="preserve">Q032</t>
  </si>
  <si>
    <t xml:space="preserve">Q033</t>
  </si>
  <si>
    <t xml:space="preserve">Q036</t>
  </si>
  <si>
    <t xml:space="preserve">Q035</t>
  </si>
  <si>
    <t xml:space="preserve">Q037</t>
  </si>
  <si>
    <t xml:space="preserve">Q040</t>
  </si>
  <si>
    <t xml:space="preserve">Q038</t>
  </si>
  <si>
    <t xml:space="preserve">Q039</t>
  </si>
  <si>
    <t xml:space="preserve">Q044</t>
  </si>
  <si>
    <t xml:space="preserve">Q045</t>
  </si>
  <si>
    <t xml:space="preserve">Q019</t>
  </si>
  <si>
    <t xml:space="preserve">Q020</t>
  </si>
  <si>
    <t xml:space="preserve">Q047</t>
  </si>
  <si>
    <t xml:space="preserve">Q048</t>
  </si>
  <si>
    <t xml:space="preserve">Q046</t>
  </si>
  <si>
    <t xml:space="preserve">Q043</t>
  </si>
  <si>
    <t xml:space="preserve">Q042</t>
  </si>
  <si>
    <t xml:space="preserve">Q021</t>
  </si>
  <si>
    <t xml:space="preserve">Q023</t>
  </si>
  <si>
    <t xml:space="preserve">Q041</t>
  </si>
  <si>
    <t xml:space="preserve">Q022</t>
  </si>
  <si>
    <t xml:space="preserve">Q050</t>
  </si>
  <si>
    <t xml:space="preserve">Q049</t>
  </si>
  <si>
    <t xml:space="preserve">Q051</t>
  </si>
  <si>
    <t xml:space="preserve">Q028</t>
  </si>
  <si>
    <t xml:space="preserve">Q027</t>
  </si>
  <si>
    <t xml:space="preserve">Q024</t>
  </si>
  <si>
    <t xml:space="preserve">Q026</t>
  </si>
  <si>
    <t xml:space="preserve">Q025</t>
  </si>
  <si>
    <t xml:space="preserve">Q054</t>
  </si>
  <si>
    <t xml:space="preserve">Q052</t>
  </si>
  <si>
    <t xml:space="preserve">Q053</t>
  </si>
  <si>
    <t xml:space="preserve">Q056</t>
  </si>
  <si>
    <t xml:space="preserve">Q057</t>
  </si>
  <si>
    <t xml:space="preserve">Q055</t>
  </si>
  <si>
    <t xml:space="preserve">Q029</t>
  </si>
  <si>
    <t xml:space="preserve">Q030</t>
  </si>
  <si>
    <t xml:space="preserve">Q079</t>
  </si>
  <si>
    <t xml:space="preserve">Q058</t>
  </si>
  <si>
    <t xml:space="preserve">Q059</t>
  </si>
  <si>
    <t xml:space="preserve">Q081</t>
  </si>
  <si>
    <t xml:space="preserve">Q080</t>
  </si>
  <si>
    <t xml:space="preserve">Q060</t>
  </si>
  <si>
    <t xml:space="preserve">Q062</t>
  </si>
  <si>
    <t xml:space="preserve">Q061</t>
  </si>
  <si>
    <t xml:space="preserve">Q063</t>
  </si>
  <si>
    <t xml:space="preserve">Q095</t>
  </si>
  <si>
    <t xml:space="preserve">Q094</t>
  </si>
  <si>
    <t xml:space="preserve">Q064</t>
  </si>
  <si>
    <t xml:space="preserve">Q066</t>
  </si>
  <si>
    <t xml:space="preserve">Q065</t>
  </si>
  <si>
    <t xml:space="preserve">Q115</t>
  </si>
  <si>
    <t xml:space="preserve">Q114</t>
  </si>
  <si>
    <t xml:space="preserve">Q109</t>
  </si>
  <si>
    <t xml:space="preserve">Q108</t>
  </si>
  <si>
    <t xml:space="preserve">Q069</t>
  </si>
  <si>
    <t xml:space="preserve">Q067</t>
  </si>
  <si>
    <t xml:space="preserve">Q068</t>
  </si>
  <si>
    <t xml:space="preserve">Lot</t>
  </si>
  <si>
    <t xml:space="preserve">Heures ouvriers</t>
  </si>
  <si>
    <t xml:space="preserve">Encadrants</t>
  </si>
  <si>
    <t xml:space="preserve">LOT-01</t>
  </si>
  <si>
    <t xml:space="preserve">LOT-02</t>
  </si>
  <si>
    <t xml:space="preserve">LOT-03</t>
  </si>
  <si>
    <t xml:space="preserve">LOT-04</t>
  </si>
  <si>
    <t xml:space="preserve">LOT-06</t>
  </si>
  <si>
    <t xml:space="preserve">LOT-07</t>
  </si>
  <si>
    <t xml:space="preserve">Impact de coût</t>
  </si>
  <si>
    <t xml:space="preserve">SANS-LOT</t>
  </si>
  <si>
    <t xml:space="preserve">Début</t>
  </si>
  <si>
    <t xml:space="preserve">Fin</t>
  </si>
  <si>
    <t xml:space="preserve">Ouvriers</t>
  </si>
  <si>
    <t xml:space="preserve">LOT-05</t>
  </si>
  <si>
    <t xml:space="preserve">LOT-08</t>
  </si>
  <si>
    <t xml:space="preserve">Heures</t>
  </si>
  <si>
    <t xml:space="preserve">Coût unitaire</t>
  </si>
  <si>
    <t xml:space="preserve">Unité</t>
  </si>
  <si>
    <t xml:space="preserve">Coût</t>
  </si>
  <si>
    <t xml:space="preserve">JOUR</t>
  </si>
  <si>
    <t xml:space="preserve">Quantité</t>
  </si>
  <si>
    <t xml:space="preserve">Coût prévu</t>
  </si>
  <si>
    <t xml:space="preserve">Tâche</t>
  </si>
  <si>
    <t xml:space="preserve">Désignation</t>
  </si>
  <si>
    <t xml:space="preserve">Quantité prévue</t>
  </si>
  <si>
    <t xml:space="preserve">Prix unitaire</t>
  </si>
  <si>
    <t xml:space="preserve">Montant</t>
  </si>
  <si>
    <t xml:space="preserve">Cumul au 2026-05-15</t>
  </si>
  <si>
    <t xml:space="preserve">Acquis au 2026-05-15</t>
  </si>
  <si>
    <t xml:space="preserve">Achevée au 2026-05-15</t>
  </si>
  <si>
    <t xml:space="preserve">Dépassement au 2026-05-15</t>
  </si>
  <si>
    <t xml:space="preserve">Cumul au 2026-07-31</t>
  </si>
  <si>
    <t xml:space="preserve">Acquis au 2026-07-31</t>
  </si>
  <si>
    <t xml:space="preserve">Achevée au 2026-07-31</t>
  </si>
  <si>
    <t xml:space="preserve">Dépassement au 2026-07-31</t>
  </si>
  <si>
    <t xml:space="preserve">Cumul au 2026-09-27</t>
  </si>
  <si>
    <t xml:space="preserve">Acquis au 2026-09-27</t>
  </si>
  <si>
    <t xml:space="preserve">Achevée au 2026-09-27</t>
  </si>
  <si>
    <t xml:space="preserve">Dépassement au 2026-09-27</t>
  </si>
  <si>
    <t xml:space="preserve">T-01.1.1</t>
  </si>
  <si>
    <t xml:space="preserve">Clôture de chantier en tôle</t>
  </si>
  <si>
    <t xml:space="preserve">Piste de circulation empierrée</t>
  </si>
  <si>
    <t xml:space="preserve">Portail de chantier et accès</t>
  </si>
  <si>
    <t xml:space="preserve">T-01.1.2</t>
  </si>
  <si>
    <t xml:space="preserve">Aire de stockage et de ferraillage</t>
  </si>
  <si>
    <t xml:space="preserve">Bungalows bureaux et réunion</t>
  </si>
  <si>
    <t xml:space="preserve">Vestiaires et sanitaires de chantier</t>
  </si>
  <si>
    <t xml:space="preserve">T-01.1.3</t>
  </si>
  <si>
    <t xml:space="preserve">Branchement eau provisoire</t>
  </si>
  <si>
    <t xml:space="preserve">Branchement électrique provisoire</t>
  </si>
  <si>
    <t xml:space="preserve">T-01.1.4</t>
  </si>
  <si>
    <t xml:space="preserve">Massif de fondation de grue</t>
  </si>
  <si>
    <t xml:space="preserve">Montage, essais et réception de grue</t>
  </si>
  <si>
    <t xml:space="preserve">Q011</t>
  </si>
  <si>
    <t xml:space="preserve">T-01.1.5</t>
  </si>
  <si>
    <t xml:space="preserve">Démontage grue et base vie</t>
  </si>
  <si>
    <t xml:space="preserve">Q012</t>
  </si>
  <si>
    <t xml:space="preserve">Remise en état des abords</t>
  </si>
  <si>
    <t xml:space="preserve">T-02.1.1</t>
  </si>
  <si>
    <t xml:space="preserve">Décapage sur 30 cm et mise en dépôt</t>
  </si>
  <si>
    <t xml:space="preserve">Évacuation des terres excédentaires</t>
  </si>
  <si>
    <t xml:space="preserve">T-02.1.2</t>
  </si>
  <si>
    <t xml:space="preserve">Fouille en pleine masse en terrain ordinaire</t>
  </si>
  <si>
    <t xml:space="preserve">Évacuation des déblais</t>
  </si>
  <si>
    <t xml:space="preserve">T-02.1.3</t>
  </si>
  <si>
    <t xml:space="preserve">Fouille en puits pour semelles isolées</t>
  </si>
  <si>
    <t xml:space="preserve">Fouille en rigole pour semelles filantes</t>
  </si>
  <si>
    <t xml:space="preserve">T-02.1.4</t>
  </si>
  <si>
    <t xml:space="preserve">Couche de forme en graveleux latéritique</t>
  </si>
  <si>
    <t xml:space="preserve">Remblai d’apport compacté par couches</t>
  </si>
  <si>
    <t xml:space="preserve">T-02.2.1</t>
  </si>
  <si>
    <t xml:space="preserve">Canalisation PVC diamètre 200</t>
  </si>
  <si>
    <t xml:space="preserve">Fosse septique et puisard</t>
  </si>
  <si>
    <t xml:space="preserve">Regard de visite béton</t>
  </si>
  <si>
    <t xml:space="preserve">T-02.2.2</t>
  </si>
  <si>
    <t xml:space="preserve">Caniveau couvert en béton armé</t>
  </si>
  <si>
    <t xml:space="preserve">Regard avaloir</t>
  </si>
  <si>
    <t xml:space="preserve">T-02.2.3</t>
  </si>
  <si>
    <t xml:space="preserve">Conduite PEHD diamètre 63</t>
  </si>
  <si>
    <t xml:space="preserve">Regard de comptage et robinetterie</t>
  </si>
  <si>
    <t xml:space="preserve">T-02.2.4</t>
  </si>
  <si>
    <t xml:space="preserve">Chambre de tirage</t>
  </si>
  <si>
    <t xml:space="preserve">Fourreau TPC diamètre 90 avec grillage</t>
  </si>
  <si>
    <t xml:space="preserve">T-03.1.1</t>
  </si>
  <si>
    <t xml:space="preserve">Béton de propreté dosé à 150</t>
  </si>
  <si>
    <t xml:space="preserve">T-03.1.2</t>
  </si>
  <si>
    <t xml:space="preserve">Acier haute adhérence</t>
  </si>
  <si>
    <t xml:space="preserve">Béton armé dosé à 350 pour semelles</t>
  </si>
  <si>
    <t xml:space="preserve">Coffrage de semelles</t>
  </si>
  <si>
    <t xml:space="preserve">T-03.1.3</t>
  </si>
  <si>
    <t xml:space="preserve">Béton armé dosé à 350 pour semelles filantes</t>
  </si>
  <si>
    <t xml:space="preserve">Coffrage de semelles filantes</t>
  </si>
  <si>
    <t xml:space="preserve">T-03.1.4</t>
  </si>
  <si>
    <t xml:space="preserve">Béton armé dosé à 350 pour longrines</t>
  </si>
  <si>
    <t xml:space="preserve">Coffrage de longrines</t>
  </si>
  <si>
    <t xml:space="preserve">T-03.1.5</t>
  </si>
  <si>
    <t xml:space="preserve">Dallage béton armé de 15 cm sur film</t>
  </si>
  <si>
    <t xml:space="preserve">Treillis soudé ST 25</t>
  </si>
  <si>
    <t xml:space="preserve">T-04.1.1</t>
  </si>
  <si>
    <t xml:space="preserve">Béton armé dosé à 350 pour poteaux</t>
  </si>
  <si>
    <t xml:space="preserve">Coffrage de poteaux</t>
  </si>
  <si>
    <t xml:space="preserve">T-04.1.2</t>
  </si>
  <si>
    <t xml:space="preserve">Béton armé dosé à 350 pour voiles</t>
  </si>
  <si>
    <t xml:space="preserve">Coffrage de voiles à l’aide de banches</t>
  </si>
  <si>
    <t xml:space="preserve">T-04.1.3</t>
  </si>
  <si>
    <t xml:space="preserve">Béton armé dosé à 350 pour plancher</t>
  </si>
  <si>
    <t xml:space="preserve">Coffrage de plancher et étaiement</t>
  </si>
  <si>
    <t xml:space="preserve">T-04.2.1</t>
  </si>
  <si>
    <t xml:space="preserve">T-04.2.2</t>
  </si>
  <si>
    <t xml:space="preserve">T-04.2.3</t>
  </si>
  <si>
    <t xml:space="preserve">T-04.3.1</t>
  </si>
  <si>
    <t xml:space="preserve">T-04.3.2</t>
  </si>
  <si>
    <t xml:space="preserve">T-04.3.3</t>
  </si>
  <si>
    <t xml:space="preserve">Q070</t>
  </si>
  <si>
    <t xml:space="preserve">T-04.4.1</t>
  </si>
  <si>
    <t xml:space="preserve">Q071</t>
  </si>
  <si>
    <t xml:space="preserve">Q072</t>
  </si>
  <si>
    <t xml:space="preserve">Q073</t>
  </si>
  <si>
    <t xml:space="preserve">T-04.4.2</t>
  </si>
  <si>
    <t xml:space="preserve">Q074</t>
  </si>
  <si>
    <t xml:space="preserve">Q075</t>
  </si>
  <si>
    <t xml:space="preserve">Q076</t>
  </si>
  <si>
    <t xml:space="preserve">T-04.4.3</t>
  </si>
  <si>
    <t xml:space="preserve">Q077</t>
  </si>
  <si>
    <t xml:space="preserve">Q078</t>
  </si>
  <si>
    <t xml:space="preserve">T-04.5.1</t>
  </si>
  <si>
    <t xml:space="preserve">Linteaux et chaînages</t>
  </si>
  <si>
    <t xml:space="preserve">Maçonnerie d’agglos de 15 pour cloisons</t>
  </si>
  <si>
    <t xml:space="preserve">Maçonnerie d’agglos de 20 en façade</t>
  </si>
  <si>
    <t xml:space="preserve">Q082</t>
  </si>
  <si>
    <t xml:space="preserve">T-04.5.2</t>
  </si>
  <si>
    <t xml:space="preserve">Palier intermédiaire</t>
  </si>
  <si>
    <t xml:space="preserve">Q083</t>
  </si>
  <si>
    <t xml:space="preserve">Volée d’escalier en béton armé</t>
  </si>
  <si>
    <t xml:space="preserve">Q084</t>
  </si>
  <si>
    <t xml:space="preserve">T-04.5.3</t>
  </si>
  <si>
    <t xml:space="preserve">Acrotère en béton armé</t>
  </si>
  <si>
    <t xml:space="preserve">Q085</t>
  </si>
  <si>
    <t xml:space="preserve">Couvertine et relevé d’étanchéité</t>
  </si>
  <si>
    <t xml:space="preserve">Q086</t>
  </si>
  <si>
    <t xml:space="preserve">T-05.1.1</t>
  </si>
  <si>
    <t xml:space="preserve">Charpente métallique galvanisée</t>
  </si>
  <si>
    <t xml:space="preserve">Q087</t>
  </si>
  <si>
    <t xml:space="preserve">Platines d’ancrage et boulonnerie</t>
  </si>
  <si>
    <t xml:space="preserve">Q088</t>
  </si>
  <si>
    <t xml:space="preserve">T-05.1.2</t>
  </si>
  <si>
    <t xml:space="preserve">Bac acier laqué avec isolant</t>
  </si>
  <si>
    <t xml:space="preserve">Q089</t>
  </si>
  <si>
    <t xml:space="preserve">Faîtière, rive et accessoires</t>
  </si>
  <si>
    <t xml:space="preserve">Q090</t>
  </si>
  <si>
    <t xml:space="preserve">T-05.1.3</t>
  </si>
  <si>
    <t xml:space="preserve">Complexe d’étanchéité bicouche</t>
  </si>
  <si>
    <t xml:space="preserve">Q091</t>
  </si>
  <si>
    <t xml:space="preserve">Forme de pente en béton maigre</t>
  </si>
  <si>
    <t xml:space="preserve">Q092</t>
  </si>
  <si>
    <t xml:space="preserve">T-05.1.4</t>
  </si>
  <si>
    <t xml:space="preserve">Descente EP en PVC diamètre 110</t>
  </si>
  <si>
    <t xml:space="preserve">Q093</t>
  </si>
  <si>
    <t xml:space="preserve">Gouttière et dauphin en fonte</t>
  </si>
  <si>
    <t xml:space="preserve">T-06.1.1</t>
  </si>
  <si>
    <t xml:space="preserve">Cloison en agglos de 10</t>
  </si>
  <si>
    <t xml:space="preserve">Cloison légère en plaques de plâtre</t>
  </si>
  <si>
    <t xml:space="preserve">Q096</t>
  </si>
  <si>
    <t xml:space="preserve">T-06.1.2</t>
  </si>
  <si>
    <t xml:space="preserve">Enduit de ciment intérieur</t>
  </si>
  <si>
    <t xml:space="preserve">Q097</t>
  </si>
  <si>
    <t xml:space="preserve">T-06.1.3</t>
  </si>
  <si>
    <t xml:space="preserve">Enduit de ciment extérieur tyrolien</t>
  </si>
  <si>
    <t xml:space="preserve">Q098</t>
  </si>
  <si>
    <t xml:space="preserve">T-06.1.4</t>
  </si>
  <si>
    <t xml:space="preserve">Chape de ciment lissée</t>
  </si>
  <si>
    <t xml:space="preserve">Q099</t>
  </si>
  <si>
    <t xml:space="preserve">T-06.1.5</t>
  </si>
  <si>
    <t xml:space="preserve">Carrelage grès 40x40 pose collée</t>
  </si>
  <si>
    <t xml:space="preserve">Q100</t>
  </si>
  <si>
    <t xml:space="preserve">Faïence murale en pièces humides</t>
  </si>
  <si>
    <t xml:space="preserve">Q101</t>
  </si>
  <si>
    <t xml:space="preserve">Plinthe assortie</t>
  </si>
  <si>
    <t xml:space="preserve">Q102</t>
  </si>
  <si>
    <t xml:space="preserve">T-06.2.1</t>
  </si>
  <si>
    <t xml:space="preserve">Châssis coulissant aluminium vitré</t>
  </si>
  <si>
    <t xml:space="preserve">Q103</t>
  </si>
  <si>
    <t xml:space="preserve">Porte d’entrée aluminium vitrée</t>
  </si>
  <si>
    <t xml:space="preserve">Q104</t>
  </si>
  <si>
    <t xml:space="preserve">T-06.2.2</t>
  </si>
  <si>
    <t xml:space="preserve">Bloc-porte isoplane avec huisserie</t>
  </si>
  <si>
    <t xml:space="preserve">Q105</t>
  </si>
  <si>
    <t xml:space="preserve">Placard aménagé</t>
  </si>
  <si>
    <t xml:space="preserve">Q106</t>
  </si>
  <si>
    <t xml:space="preserve">T-06.2.3</t>
  </si>
  <si>
    <t xml:space="preserve">Garde-corps métallique de balcon</t>
  </si>
  <si>
    <t xml:space="preserve">Q107</t>
  </si>
  <si>
    <t xml:space="preserve">Main courante d’escalier</t>
  </si>
  <si>
    <t xml:space="preserve">T-07.1.1</t>
  </si>
  <si>
    <t xml:space="preserve">Robinet d’arrêt et nourrice</t>
  </si>
  <si>
    <t xml:space="preserve">Tuyauterie PPR encastrée</t>
  </si>
  <si>
    <t xml:space="preserve">Q110</t>
  </si>
  <si>
    <t xml:space="preserve">T-07.1.2</t>
  </si>
  <si>
    <t xml:space="preserve">Évacuation PVC diamètre 100</t>
  </si>
  <si>
    <t xml:space="preserve">Q111</t>
  </si>
  <si>
    <t xml:space="preserve">Évacuation PVC diamètre 50</t>
  </si>
  <si>
    <t xml:space="preserve">Q112</t>
  </si>
  <si>
    <t xml:space="preserve">T-07.1.3</t>
  </si>
  <si>
    <t xml:space="preserve">Chauffe-eau électrique 100 litres</t>
  </si>
  <si>
    <t xml:space="preserve">Q113</t>
  </si>
  <si>
    <t xml:space="preserve">Ensemble sanitaire complet par pièce d’eau</t>
  </si>
  <si>
    <t xml:space="preserve">T-07.2.1</t>
  </si>
  <si>
    <t xml:space="preserve">Boîtier d’encastrement</t>
  </si>
  <si>
    <t xml:space="preserve">Fourreau ICTA encastré</t>
  </si>
  <si>
    <t xml:space="preserve">Q116</t>
  </si>
  <si>
    <t xml:space="preserve">T-07.2.2</t>
  </si>
  <si>
    <t xml:space="preserve">Câble U1000 R2V et fils H07</t>
  </si>
  <si>
    <t xml:space="preserve">Q117</t>
  </si>
  <si>
    <t xml:space="preserve">Tableau divisionnaire équipé</t>
  </si>
  <si>
    <t xml:space="preserve">Q118</t>
  </si>
  <si>
    <t xml:space="preserve">Tableau général basse tension</t>
  </si>
  <si>
    <t xml:space="preserve">Q119</t>
  </si>
  <si>
    <t xml:space="preserve">T-07.2.3</t>
  </si>
  <si>
    <t xml:space="preserve">Point lumineux équipé</t>
  </si>
  <si>
    <t xml:space="preserve">Q120</t>
  </si>
  <si>
    <t xml:space="preserve">Prise de courant 16 A</t>
  </si>
  <si>
    <t xml:space="preserve">Q121</t>
  </si>
  <si>
    <t xml:space="preserve">T-07.3.1</t>
  </si>
  <si>
    <t xml:space="preserve">Liaison frigorifique pré-isolée</t>
  </si>
  <si>
    <t xml:space="preserve">Q122</t>
  </si>
  <si>
    <t xml:space="preserve">Support de groupe extérieur</t>
  </si>
  <si>
    <t xml:space="preserve">Q123</t>
  </si>
  <si>
    <t xml:space="preserve">T-07.3.2</t>
  </si>
  <si>
    <t xml:space="preserve">Split mural 12000 BTU posé</t>
  </si>
  <si>
    <t xml:space="preserve">Q124</t>
  </si>
  <si>
    <t xml:space="preserve">T-08.1.1</t>
  </si>
  <si>
    <t xml:space="preserve">Peinture vinylique sur murs et plafonds</t>
  </si>
  <si>
    <t xml:space="preserve">Q125</t>
  </si>
  <si>
    <t xml:space="preserve">T-08.1.2</t>
  </si>
  <si>
    <t xml:space="preserve">Peinture acrylique de façade</t>
  </si>
  <si>
    <t xml:space="preserve">Q126</t>
  </si>
  <si>
    <t xml:space="preserve">T-08.1.3</t>
  </si>
  <si>
    <t xml:space="preserve">Nettoyage de livraison</t>
  </si>
  <si>
    <t xml:space="preserve">Q127</t>
  </si>
  <si>
    <t xml:space="preserve">Reprises avant opérations préalables à la réception</t>
  </si>
  <si>
    <t xml:space="preserve">Q128</t>
  </si>
  <si>
    <t xml:space="preserve">T-08.2.1</t>
  </si>
  <si>
    <t xml:space="preserve">Bordure de trottoir préfabriquée</t>
  </si>
  <si>
    <t xml:space="preserve">Q129</t>
  </si>
  <si>
    <t xml:space="preserve">Pavé autobloquant sur lit de sable</t>
  </si>
  <si>
    <t xml:space="preserve">Q130</t>
  </si>
  <si>
    <t xml:space="preserve">T-08.2.2</t>
  </si>
  <si>
    <t xml:space="preserve">Engazonnement et terre végétale</t>
  </si>
  <si>
    <t xml:space="preserve">Q131</t>
  </si>
  <si>
    <t xml:space="preserve">Plantation d’arbustes</t>
  </si>
  <si>
    <t xml:space="preserve">Q132</t>
  </si>
  <si>
    <t xml:space="preserve">T-08.2.3</t>
  </si>
  <si>
    <t xml:space="preserve">Clôture en agglos avec couronnement</t>
  </si>
  <si>
    <t xml:space="preserve">Q133</t>
  </si>
  <si>
    <t xml:space="preserve">Portail coulissant motorisé</t>
  </si>
  <si>
    <t xml:space="preserve">Q134</t>
  </si>
  <si>
    <t xml:space="preserve">Portillon piéton</t>
  </si>
  <si>
    <t xml:space="preserve">Méthode</t>
  </si>
  <si>
    <t xml:space="preserve">Début prévu</t>
  </si>
  <si>
    <t xml:space="preserve">Durée</t>
  </si>
  <si>
    <t xml:space="preserve">Budget</t>
  </si>
  <si>
    <t xml:space="preserve">Budget arrondi</t>
  </si>
  <si>
    <t xml:space="preserve">Jour de début</t>
  </si>
  <si>
    <t xml:space="preserve">Avancement au 2026-05-15</t>
  </si>
  <si>
    <t xml:space="preserve">VA au 2026-05-15</t>
  </si>
  <si>
    <t xml:space="preserve">Prévu au 2026-05-15</t>
  </si>
  <si>
    <t xml:space="preserve">VP au 2026-05-15</t>
  </si>
  <si>
    <t xml:space="preserve">Avancement au 2026-07-31</t>
  </si>
  <si>
    <t xml:space="preserve">VA au 2026-07-31</t>
  </si>
  <si>
    <t xml:space="preserve">Prévu au 2026-07-31</t>
  </si>
  <si>
    <t xml:space="preserve">VP au 2026-07-31</t>
  </si>
  <si>
    <t xml:space="preserve">Avancement au 2026-09-27</t>
  </si>
  <si>
    <t xml:space="preserve">VA au 2026-09-27</t>
  </si>
  <si>
    <t xml:space="preserve">Prévu au 2026-09-27</t>
  </si>
  <si>
    <t xml:space="preserve">VP au 2026-09-27</t>
  </si>
  <si>
    <t xml:space="preserve">UNITES_PHYSIQUES</t>
  </si>
  <si>
    <t xml:space="preserve">JALONS_PONDERES</t>
  </si>
  <si>
    <t xml:space="preserve">ZERO_CENT</t>
  </si>
  <si>
    <t xml:space="preserve">Ouvriers LOT-01</t>
  </si>
  <si>
    <t xml:space="preserve">Encadrants LOT-01</t>
  </si>
  <si>
    <t xml:space="preserve">Ouvriers LOT-02</t>
  </si>
  <si>
    <t xml:space="preserve">Encadrants LOT-02</t>
  </si>
  <si>
    <t xml:space="preserve">Ouvriers LOT-03</t>
  </si>
  <si>
    <t xml:space="preserve">Encadrants LOT-03</t>
  </si>
  <si>
    <t xml:space="preserve">Ouvriers LOT-04</t>
  </si>
  <si>
    <t xml:space="preserve">Encadrants LOT-04</t>
  </si>
  <si>
    <t xml:space="preserve">Ouvriers LOT-05</t>
  </si>
  <si>
    <t xml:space="preserve">Encadrants LOT-05</t>
  </si>
  <si>
    <t xml:space="preserve">Ouvriers LOT-06</t>
  </si>
  <si>
    <t xml:space="preserve">Encadrants LOT-06</t>
  </si>
  <si>
    <t xml:space="preserve">Ouvriers LOT-07</t>
  </si>
  <si>
    <t xml:space="preserve">Encadrants LOT-07</t>
  </si>
  <si>
    <t xml:space="preserve">Ouvriers LOT-08</t>
  </si>
  <si>
    <t xml:space="preserve">Encadrants LOT-08</t>
  </si>
  <si>
    <t xml:space="preserve">Budget de vente</t>
  </si>
  <si>
    <t xml:space="preserve">Heures prévues</t>
  </si>
  <si>
    <t xml:space="preserve">Encadrement prévu</t>
  </si>
  <si>
    <t xml:space="preserve">Budget au coût</t>
  </si>
  <si>
    <t xml:space="preserve">Heures au 2026-05-15</t>
  </si>
  <si>
    <t xml:space="preserve">Encadrement au 2026-05-15</t>
  </si>
  <si>
    <t xml:space="preserve">Aléas au 2026-05-15</t>
  </si>
  <si>
    <t xml:space="preserve">Dépassements au 2026-05-15</t>
  </si>
  <si>
    <t xml:space="preserve">Engins au 2026-05-15</t>
  </si>
  <si>
    <t xml:space="preserve">CR au 2026-05-15</t>
  </si>
  <si>
    <t xml:space="preserve">Heures au 2026-07-31</t>
  </si>
  <si>
    <t xml:space="preserve">Encadrement au 2026-07-31</t>
  </si>
  <si>
    <t xml:space="preserve">Aléas au 2026-07-31</t>
  </si>
  <si>
    <t xml:space="preserve">Dépassements au 2026-07-31</t>
  </si>
  <si>
    <t xml:space="preserve">Engins au 2026-07-31</t>
  </si>
  <si>
    <t xml:space="preserve">CR au 2026-07-31</t>
  </si>
  <si>
    <t xml:space="preserve">Heures au 2026-09-27</t>
  </si>
  <si>
    <t xml:space="preserve">Encadrement au 2026-09-27</t>
  </si>
  <si>
    <t xml:space="preserve">Aléas au 2026-09-27</t>
  </si>
  <si>
    <t xml:space="preserve">Dépassements au 2026-09-27</t>
  </si>
  <si>
    <t xml:space="preserve">Engins au 2026-09-27</t>
  </si>
  <si>
    <t xml:space="preserve">CR au 2026-09-27</t>
  </si>
  <si>
    <t xml:space="preserve">Jour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</si>
</sst>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3" customFormat="false" ht="15" hidden="false" customHeight="false" outlineLevel="0" collapsed="false">
      <c r="A23" s="0" t="s">
        <v>17</v>
      </c>
    </row>
    <row r="25" customFormat="false" ht="15" hidden="false" customHeight="false" outlineLevel="0" collapsed="false">
      <c r="A25" s="0" t="s">
        <v>18</v>
      </c>
    </row>
    <row r="26" customFormat="false" ht="15" hidden="false" customHeight="false" outlineLevel="0" collapsed="false">
      <c r="A26" s="0" t="s">
        <v>19</v>
      </c>
    </row>
    <row r="28" customFormat="false" ht="15" hidden="false" customHeight="false" outlineLevel="0" collapsed="false">
      <c r="A2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n">
        <f aca="false">Dates!$B$2</f>
        <v>74</v>
      </c>
      <c r="D2" s="0" t="n">
        <f aca="false">Dates!$B$3</f>
        <v>151</v>
      </c>
      <c r="E2" s="0" t="n">
        <f aca="false">Dates!$B$4</f>
        <v>209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n">
        <f aca="false">Parametres!$B$10+SUMIFS(Actes!$C$2:$C$6,Actes!$A$2:$A$6,"AVENANT",Actes!$B$2:$B$6,"&lt;="&amp;Dates!$A$2)+SUMIFS(Actes!$C$2:$C$6,Actes!$A$2:$A$6,"PROLONGATION",Actes!$B$2:$B$6,"&lt;="&amp;Dates!$A$2)+MAX(0,SUMIFS(Actes!$C$2:$C$6,Actes!$A$2:$A$6,"INTEMPERIE",Actes!$B$2:$B$6,"&lt;="&amp;Dates!$A$2)-Parametres!$B$13)</f>
        <v>412</v>
      </c>
      <c r="D3" s="0" t="n">
        <f aca="false">Parametres!$B$10+SUMIFS(Actes!$C$2:$C$6,Actes!$A$2:$A$6,"AVENANT",Actes!$B$2:$B$6,"&lt;="&amp;Dates!$A$3)+SUMIFS(Actes!$C$2:$C$6,Actes!$A$2:$A$6,"PROLONGATION",Actes!$B$2:$B$6,"&lt;="&amp;Dates!$A$3)+MAX(0,SUMIFS(Actes!$C$2:$C$6,Actes!$A$2:$A$6,"INTEMPERIE",Actes!$B$2:$B$6,"&lt;="&amp;Dates!$A$3)-Parametres!$B$13)</f>
        <v>416</v>
      </c>
      <c r="E3" s="0" t="n">
        <f aca="false">Parametres!$B$10+SUMIFS(Actes!$C$2:$C$6,Actes!$A$2:$A$6,"AVENANT",Actes!$B$2:$B$6,"&lt;="&amp;Dates!$A$4)+SUMIFS(Actes!$C$2:$C$6,Actes!$A$2:$A$6,"PROLONGATION",Actes!$B$2:$B$6,"&lt;="&amp;Dates!$A$4)+MAX(0,SUMIFS(Actes!$C$2:$C$6,Actes!$A$2:$A$6,"INTEMPERIE",Actes!$B$2:$B$6,"&lt;="&amp;Dates!$A$4)-Parametres!$B$13)</f>
        <v>416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n">
        <f aca="false">Parametres!$B$11+SUMIFS(Actes!$D$2:$D$6,Actes!$A$2:$A$6,"AVENANT",Actes!$B$2:$B$6,"&lt;="&amp;Dates!$A$2)</f>
        <v>1156141200</v>
      </c>
      <c r="D4" s="0" t="n">
        <f aca="false">Parametres!$B$11+SUMIFS(Actes!$D$2:$D$6,Actes!$A$2:$A$6,"AVENANT",Actes!$B$2:$B$6,"&lt;="&amp;Dates!$A$3)</f>
        <v>1156141200</v>
      </c>
      <c r="E4" s="0" t="n">
        <f aca="false">Parametres!$B$11+SUMIFS(Actes!$D$2:$D$6,Actes!$A$2:$A$6,"AVENANT",Actes!$B$2:$B$6,"&lt;="&amp;Dates!$A$4)</f>
        <v>1156141200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n">
        <f aca="false">SUM(Taches!$G$2:$G$60)</f>
        <v>1156141200</v>
      </c>
      <c r="D5" s="0" t="n">
        <f aca="false">SUM(Taches!$G$2:$G$60)</f>
        <v>1156141200</v>
      </c>
      <c r="E5" s="0" t="n">
        <f aca="false">SUM(Taches!$G$2:$G$60)</f>
        <v>1156141200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n">
        <f aca="false">SUM(Lots!$E$2:$E$9)+ROUND(Parametres!$B$10*Parametres!$B$5,0)</f>
        <v>992847096</v>
      </c>
      <c r="D6" s="0" t="n">
        <f aca="false">SUM(Lots!$E$2:$E$9)+ROUND(Parametres!$B$10*Parametres!$B$5,0)</f>
        <v>992847096</v>
      </c>
      <c r="E6" s="0" t="n">
        <f aca="false">SUM(Lots!$E$2:$E$9)+ROUND(Parametres!$B$10*Parametres!$B$5,0)</f>
        <v>992847096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n">
        <f aca="false">C6/C5</f>
        <v>0.858759376449866</v>
      </c>
      <c r="D7" s="0" t="n">
        <f aca="false">D6/D5</f>
        <v>0.858759376449866</v>
      </c>
      <c r="E7" s="0" t="n">
        <f aca="false">E6/E5</f>
        <v>0.858759376449866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f aca="false">SUM(Lots!J2:J9)</f>
        <v>155926975</v>
      </c>
      <c r="D8" s="0" t="n">
        <f aca="false">SUM(Lots!R2:R9)</f>
        <v>347067400</v>
      </c>
      <c r="E8" s="0" t="n">
        <f aca="false">SUM(Lots!Z2:Z9)</f>
        <v>557272121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n">
        <f aca="false">SUM(Lots!I2:I9)</f>
        <v>142394678</v>
      </c>
      <c r="D9" s="0" t="n">
        <f aca="false">SUM(Lots!Q2:Q9)</f>
        <v>321113498</v>
      </c>
      <c r="E9" s="0" t="n">
        <f aca="false">SUM(Lots!Y2:Y9)</f>
        <v>504483806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n">
        <f aca="false">SUM(Lots!M2:M9)+(C2+1)*Parametres!$B$5+SUMIFS(Aleas!$C$2:$C$13,Aleas!$A$2:$A$13,"SANS-LOT",Aleas!$B$2:$B$13,"&lt;="&amp;Dates!$A$2)</f>
        <v>132154017</v>
      </c>
      <c r="D10" s="0" t="n">
        <f aca="false">SUM(Lots!U2:U9)+(D2+1)*Parametres!$B$5+SUMIFS(Aleas!$C$2:$C$13,Aleas!$A$2:$A$13,"SANS-LOT",Aleas!$B$2:$B$13,"&lt;="&amp;Dates!$A$3)</f>
        <v>315532211</v>
      </c>
      <c r="E10" s="0" t="n">
        <f aca="false">SUM(Lots!AC2:AC9)+(E2+1)*Parametres!$B$5+SUMIFS(Aleas!$C$2:$C$13,Aleas!$A$2:$A$13,"SANS-LOT",Aleas!$B$2:$B$13,"&lt;="&amp;Dates!$A$4)</f>
        <v>481218198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n">
        <f aca="false">C9/C5</f>
        <v>0.123163743321318</v>
      </c>
      <c r="D11" s="0" t="n">
        <f aca="false">D9/D5</f>
        <v>0.277745917194197</v>
      </c>
      <c r="E11" s="0" t="n">
        <f aca="false">E9/E5</f>
        <v>0.436351378188062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n">
        <f aca="false">ROUND(C7*C9-C10,0)</f>
        <v>-9871252</v>
      </c>
      <c r="D12" s="0" t="n">
        <f aca="false">ROUND(D7*D9-D10,0)</f>
        <v>-39772984</v>
      </c>
      <c r="E12" s="0" t="n">
        <f aca="false">ROUND(E7*E9-E10,0)</f>
        <v>-47987999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n">
        <f aca="false">C9-C8</f>
        <v>-13532297</v>
      </c>
      <c r="D13" s="0" t="n">
        <f aca="false">D9-D8</f>
        <v>-25953902</v>
      </c>
      <c r="E13" s="0" t="n">
        <f aca="false">E9-E8</f>
        <v>-52788315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0" t="n">
        <f aca="false">C7*C9/C10</f>
        <v>0.925304940893772</v>
      </c>
      <c r="D14" s="0" t="n">
        <f aca="false">D7*D9/D10</f>
        <v>0.873949529394054</v>
      </c>
      <c r="E14" s="0" t="n">
        <f aca="false">E7*E9/E10</f>
        <v>0.900278086884851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n">
        <f aca="false">C9/C8</f>
        <v>0.913213881049126</v>
      </c>
      <c r="D15" s="0" t="n">
        <f aca="false">D9/D8</f>
        <v>0.925219418476066</v>
      </c>
      <c r="E15" s="0" t="n">
        <f aca="false">E9/E8</f>
        <v>0.905273719946238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n">
        <f aca="false">ROUND(C7*C5,0)</f>
        <v>992847096</v>
      </c>
      <c r="D16" s="0" t="n">
        <f aca="false">ROUND(D7*D5,0)</f>
        <v>992847096</v>
      </c>
      <c r="E16" s="0" t="n">
        <f aca="false">ROUND(E7*E5,0)</f>
        <v>992847096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n">
        <f aca="false">ROUND(C16/C14,0)</f>
        <v>1072994482</v>
      </c>
      <c r="D17" s="0" t="n">
        <f aca="false">ROUND(D16/D14,0)</f>
        <v>1136046262</v>
      </c>
      <c r="E17" s="0" t="n">
        <f aca="false">ROUND(E16/E14,0)</f>
        <v>1102822684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0" t="n">
        <f aca="false">C17-C10</f>
        <v>940840465</v>
      </c>
      <c r="D18" s="0" t="n">
        <f aca="false">D17-D10</f>
        <v>820514051</v>
      </c>
      <c r="E18" s="0" t="n">
        <f aca="false">E17-E10</f>
        <v>621604486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0" t="n">
        <f aca="false">C16-C17</f>
        <v>-80147386</v>
      </c>
      <c r="D19" s="0" t="n">
        <f aca="false">D16-D17</f>
        <v>-143199166</v>
      </c>
      <c r="E19" s="0" t="n">
        <f aca="false">E16-E17</f>
        <v>-109975588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n">
        <f aca="false">ROUND(C3/C15,0)</f>
        <v>451</v>
      </c>
      <c r="D20" s="0" t="n">
        <f aca="false">ROUND(D3/D15,0)</f>
        <v>450</v>
      </c>
      <c r="E20" s="0" t="n">
        <f aca="false">ROUND(E3/E15,0)</f>
        <v>460</v>
      </c>
    </row>
    <row r="21" customFormat="false" ht="15" hidden="false" customHeight="false" outlineLevel="0" collapsed="false">
      <c r="A21" s="0" t="s">
        <v>64</v>
      </c>
      <c r="B21" s="0" t="s">
        <v>65</v>
      </c>
      <c r="C21" s="0" t="n">
        <f aca="false">MAX(0,C20-C3)</f>
        <v>39</v>
      </c>
      <c r="D21" s="0" t="n">
        <f aca="false">MAX(0,D20-D3)</f>
        <v>34</v>
      </c>
      <c r="E21" s="0" t="n">
        <f aca="false">MAX(0,E20-E3)</f>
        <v>44</v>
      </c>
    </row>
    <row r="22" customFormat="false" ht="15" hidden="false" customHeight="false" outlineLevel="0" collapsed="false">
      <c r="A22" s="0" t="s">
        <v>66</v>
      </c>
      <c r="B22" s="0" t="s">
        <v>67</v>
      </c>
      <c r="C22" s="0" t="n">
        <f aca="false">ROUND(C21*Parametres!$B$12*C4,0)</f>
        <v>45089507</v>
      </c>
      <c r="D22" s="0" t="n">
        <f aca="false">ROUND(D21*Parametres!$B$12*D4,0)</f>
        <v>39308801</v>
      </c>
      <c r="E22" s="0" t="n">
        <f aca="false">ROUND(E21*Parametres!$B$12*E4,0)</f>
        <v>50870213</v>
      </c>
    </row>
    <row r="23" customFormat="false" ht="15" hidden="false" customHeight="false" outlineLevel="0" collapsed="false">
      <c r="A23" s="0" t="s">
        <v>68</v>
      </c>
      <c r="B23" s="0" t="s">
        <v>69</v>
      </c>
      <c r="C23" s="0" t="n">
        <f aca="false">MATCH(C9,CourbeVP!$J$2:INDEX(CourbeVP!$J:$J,C2+2),1)-1</f>
        <v>70</v>
      </c>
      <c r="D23" s="0" t="n">
        <f aca="false">MATCH(D9,CourbeVP!$J$2:INDEX(CourbeVP!$J:$J,D2+2),1)-1</f>
        <v>138</v>
      </c>
      <c r="E23" s="0" t="n">
        <f aca="false">MATCH(E9,CourbeVP!$J$2:INDEX(CourbeVP!$J:$J,E2+2),1)-1</f>
        <v>195</v>
      </c>
    </row>
    <row r="24" customFormat="false" ht="15" hidden="false" customHeight="false" outlineLevel="0" collapsed="false">
      <c r="A24" s="0" t="s">
        <v>70</v>
      </c>
      <c r="B24" s="0" t="s">
        <v>71</v>
      </c>
      <c r="C24" s="0" t="n">
        <f aca="false">C2-(C23+IF(INDEX(CourbeVP!$J:$J,C23+2)=C9,0,(C9-INDEX(CourbeVP!$J:$J,C23+2))/(INDEX(CourbeVP!$J:$J,C23+3)-INDEX(CourbeVP!$J:$J,C23+2))))</f>
        <v>3.99663223491365</v>
      </c>
      <c r="D24" s="0" t="n">
        <f aca="false">D2-(D23+IF(INDEX(CourbeVP!$J:$J,D23+2)=D9,0,(D9-INDEX(CourbeVP!$J:$J,D23+2))/(INDEX(CourbeVP!$J:$J,D23+3)-INDEX(CourbeVP!$J:$J,D23+2))))</f>
        <v>12.7487740811482</v>
      </c>
      <c r="E24" s="0" t="n">
        <f aca="false">E2-(E23+IF(INDEX(CourbeVP!$J:$J,E23+2)=E9,0,(E9-INDEX(CourbeVP!$J:$J,E23+2))/(INDEX(CourbeVP!$J:$J,E23+3)-INDEX(CourbeVP!$J:$J,E23+2))))</f>
        <v>13.6690062228168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72</v>
      </c>
      <c r="B1" s="1" t="s">
        <v>73</v>
      </c>
    </row>
    <row r="2" customFormat="false" ht="15" hidden="false" customHeight="false" outlineLevel="0" collapsed="false">
      <c r="A2" s="0" t="s">
        <v>74</v>
      </c>
      <c r="B2" s="0" t="n">
        <v>1400</v>
      </c>
    </row>
    <row r="3" customFormat="false" ht="15" hidden="false" customHeight="false" outlineLevel="0" collapsed="false">
      <c r="A3" s="0" t="s">
        <v>75</v>
      </c>
      <c r="B3" s="0" t="n">
        <v>42000</v>
      </c>
    </row>
    <row r="4" customFormat="false" ht="15" hidden="false" customHeight="false" outlineLevel="0" collapsed="false">
      <c r="A4" s="0" t="s">
        <v>76</v>
      </c>
      <c r="B4" s="0" t="n">
        <v>0.58</v>
      </c>
    </row>
    <row r="5" customFormat="false" ht="15" hidden="false" customHeight="false" outlineLevel="0" collapsed="false">
      <c r="A5" s="0" t="s">
        <v>77</v>
      </c>
      <c r="B5" s="0" t="n">
        <v>300000</v>
      </c>
    </row>
    <row r="6" customFormat="false" ht="15" hidden="false" customHeight="false" outlineLevel="0" collapsed="false">
      <c r="A6" s="0" t="s">
        <v>78</v>
      </c>
      <c r="B6" s="0" t="n">
        <v>8</v>
      </c>
    </row>
    <row r="7" customFormat="false" ht="15" hidden="false" customHeight="false" outlineLevel="0" collapsed="false">
      <c r="A7" s="0" t="s">
        <v>79</v>
      </c>
      <c r="B7" s="0" t="n">
        <v>12</v>
      </c>
    </row>
    <row r="8" customFormat="false" ht="15" hidden="false" customHeight="false" outlineLevel="0" collapsed="false">
      <c r="A8" s="0" t="s">
        <v>80</v>
      </c>
    </row>
    <row r="9" customFormat="false" ht="15" hidden="false" customHeight="false" outlineLevel="0" collapsed="false">
      <c r="A9" s="0" t="s">
        <v>81</v>
      </c>
      <c r="B9" s="2" t="n">
        <v>46083</v>
      </c>
    </row>
    <row r="10" customFormat="false" ht="15" hidden="false" customHeight="false" outlineLevel="0" collapsed="false">
      <c r="A10" s="0" t="s">
        <v>82</v>
      </c>
      <c r="B10" s="0" t="n">
        <v>412</v>
      </c>
    </row>
    <row r="11" customFormat="false" ht="15" hidden="false" customHeight="false" outlineLevel="0" collapsed="false">
      <c r="A11" s="0" t="s">
        <v>83</v>
      </c>
      <c r="B11" s="0" t="n">
        <v>1156141200</v>
      </c>
    </row>
    <row r="12" customFormat="false" ht="15" hidden="false" customHeight="false" outlineLevel="0" collapsed="false">
      <c r="A12" s="0" t="s">
        <v>84</v>
      </c>
      <c r="B12" s="0" t="n">
        <v>0.001</v>
      </c>
    </row>
    <row r="13" customFormat="false" ht="15" hidden="false" customHeight="false" outlineLevel="0" collapsed="false">
      <c r="A13" s="0" t="s">
        <v>85</v>
      </c>
      <c r="B13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86</v>
      </c>
      <c r="B1" s="1" t="s">
        <v>87</v>
      </c>
    </row>
    <row r="2" customFormat="false" ht="15" hidden="false" customHeight="false" outlineLevel="0" collapsed="false">
      <c r="A2" s="2" t="n">
        <v>46157</v>
      </c>
      <c r="B2" s="3" t="n">
        <f aca="false">A2-Parametres!$B$9</f>
        <v>74</v>
      </c>
    </row>
    <row r="3" customFormat="false" ht="15" hidden="false" customHeight="false" outlineLevel="0" collapsed="false">
      <c r="A3" s="2" t="n">
        <v>46234</v>
      </c>
      <c r="B3" s="3" t="n">
        <f aca="false">A3-Parametres!$B$9</f>
        <v>151</v>
      </c>
    </row>
    <row r="4" customFormat="false" ht="15" hidden="false" customHeight="false" outlineLevel="0" collapsed="false">
      <c r="A4" s="2" t="n">
        <v>46292</v>
      </c>
      <c r="B4" s="3" t="n">
        <f aca="false">A4-Parametres!$B$9</f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88</v>
      </c>
      <c r="B1" s="1" t="s">
        <v>89</v>
      </c>
      <c r="C1" s="1" t="s">
        <v>90</v>
      </c>
      <c r="D1" s="1" t="s">
        <v>91</v>
      </c>
    </row>
    <row r="2" customFormat="false" ht="15" hidden="false" customHeight="false" outlineLevel="0" collapsed="false">
      <c r="A2" s="0" t="s">
        <v>92</v>
      </c>
      <c r="B2" s="2" t="n">
        <v>46120</v>
      </c>
      <c r="C2" s="0" t="n">
        <v>1</v>
      </c>
      <c r="D2" s="0" t="n">
        <v>0</v>
      </c>
    </row>
    <row r="3" customFormat="false" ht="15" hidden="false" customHeight="false" outlineLevel="0" collapsed="false">
      <c r="A3" s="0" t="s">
        <v>92</v>
      </c>
      <c r="B3" s="2" t="n">
        <v>46167</v>
      </c>
      <c r="C3" s="0" t="n">
        <v>1</v>
      </c>
      <c r="D3" s="0" t="n">
        <v>0</v>
      </c>
    </row>
    <row r="4" customFormat="false" ht="15" hidden="false" customHeight="false" outlineLevel="0" collapsed="false">
      <c r="A4" s="0" t="s">
        <v>92</v>
      </c>
      <c r="B4" s="2" t="n">
        <v>46177</v>
      </c>
      <c r="C4" s="0" t="n">
        <v>1</v>
      </c>
      <c r="D4" s="0" t="n">
        <v>0</v>
      </c>
    </row>
    <row r="5" customFormat="false" ht="15" hidden="false" customHeight="false" outlineLevel="0" collapsed="false">
      <c r="A5" s="0" t="s">
        <v>92</v>
      </c>
      <c r="B5" s="2" t="n">
        <v>46188</v>
      </c>
      <c r="C5" s="0" t="n">
        <v>6</v>
      </c>
      <c r="D5" s="0" t="n">
        <v>0</v>
      </c>
    </row>
    <row r="6" customFormat="false" ht="15" hidden="false" customHeight="false" outlineLevel="0" collapsed="false">
      <c r="A6" s="0" t="s">
        <v>92</v>
      </c>
      <c r="B6" s="2" t="n">
        <v>46202</v>
      </c>
      <c r="C6" s="0" t="n">
        <v>1</v>
      </c>
      <c r="D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93</v>
      </c>
      <c r="B1" s="1" t="s">
        <v>89</v>
      </c>
      <c r="C1" s="1" t="s">
        <v>94</v>
      </c>
    </row>
    <row r="2" customFormat="false" ht="15" hidden="false" customHeight="false" outlineLevel="0" collapsed="false">
      <c r="A2" s="0" t="s">
        <v>95</v>
      </c>
      <c r="B2" s="2" t="n">
        <v>46083</v>
      </c>
      <c r="C2" s="0" t="n">
        <v>20.669</v>
      </c>
    </row>
    <row r="3" customFormat="false" ht="15" hidden="false" customHeight="false" outlineLevel="0" collapsed="false">
      <c r="A3" s="0" t="s">
        <v>96</v>
      </c>
      <c r="B3" s="2" t="n">
        <v>46083</v>
      </c>
      <c r="C3" s="0" t="n">
        <v>50.877</v>
      </c>
    </row>
    <row r="4" customFormat="false" ht="15" hidden="false" customHeight="false" outlineLevel="0" collapsed="false">
      <c r="A4" s="0" t="s">
        <v>97</v>
      </c>
      <c r="B4" s="2" t="n">
        <v>46083</v>
      </c>
      <c r="C4" s="0" t="n">
        <v>0.159</v>
      </c>
    </row>
    <row r="5" customFormat="false" ht="15" hidden="false" customHeight="false" outlineLevel="0" collapsed="false">
      <c r="A5" s="0" t="s">
        <v>95</v>
      </c>
      <c r="B5" s="2" t="n">
        <v>46084</v>
      </c>
      <c r="C5" s="0" t="n">
        <v>28.07</v>
      </c>
    </row>
    <row r="6" customFormat="false" ht="15" hidden="false" customHeight="false" outlineLevel="0" collapsed="false">
      <c r="A6" s="0" t="s">
        <v>96</v>
      </c>
      <c r="B6" s="2" t="n">
        <v>46084</v>
      </c>
      <c r="C6" s="0" t="n">
        <v>69.095</v>
      </c>
    </row>
    <row r="7" customFormat="false" ht="15" hidden="false" customHeight="false" outlineLevel="0" collapsed="false">
      <c r="A7" s="0" t="s">
        <v>97</v>
      </c>
      <c r="B7" s="2" t="n">
        <v>46084</v>
      </c>
      <c r="C7" s="0" t="n">
        <v>0.216</v>
      </c>
    </row>
    <row r="8" customFormat="false" ht="15" hidden="false" customHeight="false" outlineLevel="0" collapsed="false">
      <c r="A8" s="0" t="s">
        <v>95</v>
      </c>
      <c r="B8" s="2" t="n">
        <v>46085</v>
      </c>
      <c r="C8" s="0" t="n">
        <v>28.645</v>
      </c>
    </row>
    <row r="9" customFormat="false" ht="15" hidden="false" customHeight="false" outlineLevel="0" collapsed="false">
      <c r="A9" s="0" t="s">
        <v>96</v>
      </c>
      <c r="B9" s="2" t="n">
        <v>46085</v>
      </c>
      <c r="C9" s="0" t="n">
        <v>70.511</v>
      </c>
    </row>
    <row r="10" customFormat="false" ht="15" hidden="false" customHeight="false" outlineLevel="0" collapsed="false">
      <c r="A10" s="0" t="s">
        <v>97</v>
      </c>
      <c r="B10" s="2" t="n">
        <v>46085</v>
      </c>
      <c r="C10" s="0" t="n">
        <v>0.22</v>
      </c>
    </row>
    <row r="11" customFormat="false" ht="15" hidden="false" customHeight="false" outlineLevel="0" collapsed="false">
      <c r="A11" s="0" t="s">
        <v>95</v>
      </c>
      <c r="B11" s="2" t="n">
        <v>46086</v>
      </c>
      <c r="C11" s="0" t="n">
        <v>26.603</v>
      </c>
    </row>
    <row r="12" customFormat="false" ht="15" hidden="false" customHeight="false" outlineLevel="0" collapsed="false">
      <c r="A12" s="0" t="s">
        <v>96</v>
      </c>
      <c r="B12" s="2" t="n">
        <v>46086</v>
      </c>
      <c r="C12" s="0" t="n">
        <v>65.486</v>
      </c>
    </row>
    <row r="13" customFormat="false" ht="15" hidden="false" customHeight="false" outlineLevel="0" collapsed="false">
      <c r="A13" s="0" t="s">
        <v>97</v>
      </c>
      <c r="B13" s="2" t="n">
        <v>46086</v>
      </c>
      <c r="C13" s="0" t="n">
        <v>0.205</v>
      </c>
    </row>
    <row r="14" customFormat="false" ht="15" hidden="false" customHeight="false" outlineLevel="0" collapsed="false">
      <c r="A14" s="0" t="s">
        <v>95</v>
      </c>
      <c r="B14" s="2" t="n">
        <v>46087</v>
      </c>
      <c r="C14" s="0" t="n">
        <v>22.506</v>
      </c>
    </row>
    <row r="15" customFormat="false" ht="15" hidden="false" customHeight="false" outlineLevel="0" collapsed="false">
      <c r="A15" s="0" t="s">
        <v>96</v>
      </c>
      <c r="B15" s="2" t="n">
        <v>46087</v>
      </c>
      <c r="C15" s="0" t="n">
        <v>55.399</v>
      </c>
    </row>
    <row r="16" customFormat="false" ht="15" hidden="false" customHeight="false" outlineLevel="0" collapsed="false">
      <c r="A16" s="0" t="s">
        <v>97</v>
      </c>
      <c r="B16" s="2" t="n">
        <v>46087</v>
      </c>
      <c r="C16" s="0" t="n">
        <v>0.173</v>
      </c>
    </row>
    <row r="17" customFormat="false" ht="15" hidden="false" customHeight="false" outlineLevel="0" collapsed="false">
      <c r="A17" s="0" t="s">
        <v>95</v>
      </c>
      <c r="B17" s="2" t="n">
        <v>46088</v>
      </c>
      <c r="C17" s="0" t="n">
        <v>29.198</v>
      </c>
    </row>
    <row r="18" customFormat="false" ht="15" hidden="false" customHeight="false" outlineLevel="0" collapsed="false">
      <c r="A18" s="0" t="s">
        <v>96</v>
      </c>
      <c r="B18" s="2" t="n">
        <v>46088</v>
      </c>
      <c r="C18" s="0" t="n">
        <v>71.872</v>
      </c>
    </row>
    <row r="19" customFormat="false" ht="15" hidden="false" customHeight="false" outlineLevel="0" collapsed="false">
      <c r="A19" s="0" t="s">
        <v>97</v>
      </c>
      <c r="B19" s="2" t="n">
        <v>46088</v>
      </c>
      <c r="C19" s="0" t="n">
        <v>0.225</v>
      </c>
    </row>
    <row r="20" customFormat="false" ht="15" hidden="false" customHeight="false" outlineLevel="0" collapsed="false">
      <c r="A20" s="0" t="s">
        <v>95</v>
      </c>
      <c r="B20" s="2" t="n">
        <v>46089</v>
      </c>
      <c r="C20" s="0" t="n">
        <v>24.082</v>
      </c>
    </row>
    <row r="21" customFormat="false" ht="15" hidden="false" customHeight="false" outlineLevel="0" collapsed="false">
      <c r="A21" s="0" t="s">
        <v>96</v>
      </c>
      <c r="B21" s="2" t="n">
        <v>46089</v>
      </c>
      <c r="C21" s="0" t="n">
        <v>59.279</v>
      </c>
    </row>
    <row r="22" customFormat="false" ht="15" hidden="false" customHeight="false" outlineLevel="0" collapsed="false">
      <c r="A22" s="0" t="s">
        <v>97</v>
      </c>
      <c r="B22" s="2" t="n">
        <v>46089</v>
      </c>
      <c r="C22" s="0" t="n">
        <v>0.185</v>
      </c>
    </row>
    <row r="23" customFormat="false" ht="15" hidden="false" customHeight="false" outlineLevel="0" collapsed="false">
      <c r="A23" s="0" t="s">
        <v>95</v>
      </c>
      <c r="B23" s="2" t="n">
        <v>46090</v>
      </c>
      <c r="C23" s="0" t="n">
        <v>22.53</v>
      </c>
    </row>
    <row r="24" customFormat="false" ht="15" hidden="false" customHeight="false" outlineLevel="0" collapsed="false">
      <c r="A24" s="0" t="s">
        <v>96</v>
      </c>
      <c r="B24" s="2" t="n">
        <v>46090</v>
      </c>
      <c r="C24" s="0" t="n">
        <v>55.457</v>
      </c>
    </row>
    <row r="25" customFormat="false" ht="15" hidden="false" customHeight="false" outlineLevel="0" collapsed="false">
      <c r="A25" s="0" t="s">
        <v>97</v>
      </c>
      <c r="B25" s="2" t="n">
        <v>46090</v>
      </c>
      <c r="C25" s="0" t="n">
        <v>0.173</v>
      </c>
    </row>
    <row r="26" customFormat="false" ht="15" hidden="false" customHeight="false" outlineLevel="0" collapsed="false">
      <c r="A26" s="0" t="s">
        <v>95</v>
      </c>
      <c r="B26" s="2" t="n">
        <v>46091</v>
      </c>
      <c r="C26" s="0" t="n">
        <v>25.327</v>
      </c>
    </row>
    <row r="27" customFormat="false" ht="15" hidden="false" customHeight="false" outlineLevel="0" collapsed="false">
      <c r="A27" s="0" t="s">
        <v>96</v>
      </c>
      <c r="B27" s="2" t="n">
        <v>46091</v>
      </c>
      <c r="C27" s="0" t="n">
        <v>62.344</v>
      </c>
    </row>
    <row r="28" customFormat="false" ht="15" hidden="false" customHeight="false" outlineLevel="0" collapsed="false">
      <c r="A28" s="0" t="s">
        <v>97</v>
      </c>
      <c r="B28" s="2" t="n">
        <v>46091</v>
      </c>
      <c r="C28" s="0" t="n">
        <v>0.195</v>
      </c>
    </row>
    <row r="29" customFormat="false" ht="15" hidden="false" customHeight="false" outlineLevel="0" collapsed="false">
      <c r="A29" s="0" t="s">
        <v>95</v>
      </c>
      <c r="B29" s="2" t="n">
        <v>46092</v>
      </c>
      <c r="C29" s="0" t="n">
        <v>29.19</v>
      </c>
    </row>
    <row r="30" customFormat="false" ht="15" hidden="false" customHeight="false" outlineLevel="0" collapsed="false">
      <c r="A30" s="0" t="s">
        <v>96</v>
      </c>
      <c r="B30" s="2" t="n">
        <v>46092</v>
      </c>
      <c r="C30" s="0" t="n">
        <v>71.853</v>
      </c>
    </row>
    <row r="31" customFormat="false" ht="15" hidden="false" customHeight="false" outlineLevel="0" collapsed="false">
      <c r="A31" s="0" t="s">
        <v>97</v>
      </c>
      <c r="B31" s="2" t="n">
        <v>46092</v>
      </c>
      <c r="C31" s="0" t="n">
        <v>0.225</v>
      </c>
    </row>
    <row r="32" customFormat="false" ht="15" hidden="false" customHeight="false" outlineLevel="0" collapsed="false">
      <c r="A32" s="0" t="s">
        <v>95</v>
      </c>
      <c r="B32" s="2" t="n">
        <v>46093</v>
      </c>
      <c r="C32" s="0" t="n">
        <v>3.18</v>
      </c>
    </row>
    <row r="33" customFormat="false" ht="15" hidden="false" customHeight="false" outlineLevel="0" collapsed="false">
      <c r="A33" s="0" t="s">
        <v>96</v>
      </c>
      <c r="B33" s="2" t="n">
        <v>46093</v>
      </c>
      <c r="C33" s="0" t="n">
        <v>7.827</v>
      </c>
    </row>
    <row r="34" customFormat="false" ht="15" hidden="false" customHeight="false" outlineLevel="0" collapsed="false">
      <c r="A34" s="0" t="s">
        <v>97</v>
      </c>
      <c r="B34" s="2" t="n">
        <v>46093</v>
      </c>
      <c r="C34" s="0" t="n">
        <v>0.024</v>
      </c>
    </row>
    <row r="35" customFormat="false" ht="15" hidden="false" customHeight="false" outlineLevel="0" collapsed="false">
      <c r="A35" s="0" t="s">
        <v>98</v>
      </c>
      <c r="B35" s="2" t="n">
        <v>46094</v>
      </c>
      <c r="C35" s="0" t="n">
        <v>88.54</v>
      </c>
    </row>
    <row r="36" customFormat="false" ht="15" hidden="false" customHeight="false" outlineLevel="0" collapsed="false">
      <c r="A36" s="0" t="s">
        <v>99</v>
      </c>
      <c r="B36" s="2" t="n">
        <v>46094</v>
      </c>
      <c r="C36" s="0" t="n">
        <v>0.225</v>
      </c>
    </row>
    <row r="37" customFormat="false" ht="15" hidden="false" customHeight="false" outlineLevel="0" collapsed="false">
      <c r="A37" s="0" t="s">
        <v>100</v>
      </c>
      <c r="B37" s="2" t="n">
        <v>46094</v>
      </c>
      <c r="C37" s="0" t="n">
        <v>0.3</v>
      </c>
    </row>
    <row r="38" customFormat="false" ht="15" hidden="false" customHeight="false" outlineLevel="0" collapsed="false">
      <c r="A38" s="0" t="s">
        <v>101</v>
      </c>
      <c r="B38" s="2" t="n">
        <v>46094</v>
      </c>
      <c r="C38" s="0" t="n">
        <v>28.455</v>
      </c>
    </row>
    <row r="39" customFormat="false" ht="15" hidden="false" customHeight="false" outlineLevel="0" collapsed="false">
      <c r="A39" s="0" t="s">
        <v>102</v>
      </c>
      <c r="B39" s="2" t="n">
        <v>46094</v>
      </c>
      <c r="C39" s="0" t="n">
        <v>406.997</v>
      </c>
    </row>
    <row r="40" customFormat="false" ht="15" hidden="false" customHeight="false" outlineLevel="0" collapsed="false">
      <c r="A40" s="0" t="s">
        <v>98</v>
      </c>
      <c r="B40" s="2" t="n">
        <v>46095</v>
      </c>
      <c r="C40" s="0" t="n">
        <v>72.905</v>
      </c>
    </row>
    <row r="41" customFormat="false" ht="15" hidden="false" customHeight="false" outlineLevel="0" collapsed="false">
      <c r="A41" s="0" t="s">
        <v>99</v>
      </c>
      <c r="B41" s="2" t="n">
        <v>46095</v>
      </c>
      <c r="C41" s="0" t="n">
        <v>0.249</v>
      </c>
    </row>
    <row r="42" customFormat="false" ht="15" hidden="false" customHeight="false" outlineLevel="0" collapsed="false">
      <c r="A42" s="0" t="s">
        <v>100</v>
      </c>
      <c r="B42" s="2" t="n">
        <v>46095</v>
      </c>
      <c r="C42" s="0" t="n">
        <v>0.332</v>
      </c>
    </row>
    <row r="43" customFormat="false" ht="15" hidden="false" customHeight="false" outlineLevel="0" collapsed="false">
      <c r="A43" s="0" t="s">
        <v>101</v>
      </c>
      <c r="B43" s="2" t="n">
        <v>46095</v>
      </c>
      <c r="C43" s="0" t="n">
        <v>31.585</v>
      </c>
    </row>
    <row r="44" customFormat="false" ht="15" hidden="false" customHeight="false" outlineLevel="0" collapsed="false">
      <c r="A44" s="0" t="s">
        <v>102</v>
      </c>
      <c r="B44" s="2" t="n">
        <v>46095</v>
      </c>
      <c r="C44" s="0" t="n">
        <v>335.13</v>
      </c>
    </row>
    <row r="45" customFormat="false" ht="15" hidden="false" customHeight="false" outlineLevel="0" collapsed="false">
      <c r="A45" s="0" t="s">
        <v>98</v>
      </c>
      <c r="B45" s="2" t="n">
        <v>46096</v>
      </c>
      <c r="C45" s="0" t="n">
        <v>66.973</v>
      </c>
    </row>
    <row r="46" customFormat="false" ht="15" hidden="false" customHeight="false" outlineLevel="0" collapsed="false">
      <c r="A46" s="0" t="s">
        <v>99</v>
      </c>
      <c r="B46" s="2" t="n">
        <v>46096</v>
      </c>
      <c r="C46" s="0" t="n">
        <v>0.215</v>
      </c>
    </row>
    <row r="47" customFormat="false" ht="15" hidden="false" customHeight="false" outlineLevel="0" collapsed="false">
      <c r="A47" s="0" t="s">
        <v>100</v>
      </c>
      <c r="B47" s="2" t="n">
        <v>46096</v>
      </c>
      <c r="C47" s="0" t="n">
        <v>0.287</v>
      </c>
    </row>
    <row r="48" customFormat="false" ht="15" hidden="false" customHeight="false" outlineLevel="0" collapsed="false">
      <c r="A48" s="0" t="s">
        <v>101</v>
      </c>
      <c r="B48" s="2" t="n">
        <v>46096</v>
      </c>
      <c r="C48" s="0" t="n">
        <v>27.288</v>
      </c>
    </row>
    <row r="49" customFormat="false" ht="15" hidden="false" customHeight="false" outlineLevel="0" collapsed="false">
      <c r="A49" s="0" t="s">
        <v>102</v>
      </c>
      <c r="B49" s="2" t="n">
        <v>46096</v>
      </c>
      <c r="C49" s="0" t="n">
        <v>307.858</v>
      </c>
    </row>
    <row r="50" customFormat="false" ht="15" hidden="false" customHeight="false" outlineLevel="0" collapsed="false">
      <c r="A50" s="0" t="s">
        <v>98</v>
      </c>
      <c r="B50" s="2" t="n">
        <v>46097</v>
      </c>
      <c r="C50" s="0" t="n">
        <v>77.481</v>
      </c>
    </row>
    <row r="51" customFormat="false" ht="15" hidden="false" customHeight="false" outlineLevel="0" collapsed="false">
      <c r="A51" s="0" t="s">
        <v>99</v>
      </c>
      <c r="B51" s="2" t="n">
        <v>46097</v>
      </c>
      <c r="C51" s="0" t="n">
        <v>0.206</v>
      </c>
    </row>
    <row r="52" customFormat="false" ht="15" hidden="false" customHeight="false" outlineLevel="0" collapsed="false">
      <c r="A52" s="0" t="s">
        <v>100</v>
      </c>
      <c r="B52" s="2" t="n">
        <v>46097</v>
      </c>
      <c r="C52" s="0" t="n">
        <v>0.274</v>
      </c>
    </row>
    <row r="53" customFormat="false" ht="15" hidden="false" customHeight="false" outlineLevel="0" collapsed="false">
      <c r="A53" s="0" t="s">
        <v>101</v>
      </c>
      <c r="B53" s="2" t="n">
        <v>46097</v>
      </c>
      <c r="C53" s="0" t="n">
        <v>26.049</v>
      </c>
    </row>
    <row r="54" customFormat="false" ht="15" hidden="false" customHeight="false" outlineLevel="0" collapsed="false">
      <c r="A54" s="0" t="s">
        <v>102</v>
      </c>
      <c r="B54" s="2" t="n">
        <v>46097</v>
      </c>
      <c r="C54" s="0" t="n">
        <v>356.162</v>
      </c>
    </row>
    <row r="55" customFormat="false" ht="15" hidden="false" customHeight="false" outlineLevel="0" collapsed="false">
      <c r="A55" s="0" t="s">
        <v>98</v>
      </c>
      <c r="B55" s="2" t="n">
        <v>46098</v>
      </c>
      <c r="C55" s="0" t="n">
        <v>78.414</v>
      </c>
    </row>
    <row r="56" customFormat="false" ht="15" hidden="false" customHeight="false" outlineLevel="0" collapsed="false">
      <c r="A56" s="0" t="s">
        <v>99</v>
      </c>
      <c r="B56" s="2" t="n">
        <v>46098</v>
      </c>
      <c r="C56" s="0" t="n">
        <v>0.233</v>
      </c>
    </row>
    <row r="57" customFormat="false" ht="15" hidden="false" customHeight="false" outlineLevel="0" collapsed="false">
      <c r="A57" s="0" t="s">
        <v>100</v>
      </c>
      <c r="B57" s="2" t="n">
        <v>46098</v>
      </c>
      <c r="C57" s="0" t="n">
        <v>0.31</v>
      </c>
    </row>
    <row r="58" customFormat="false" ht="15" hidden="false" customHeight="false" outlineLevel="0" collapsed="false">
      <c r="A58" s="0" t="s">
        <v>101</v>
      </c>
      <c r="B58" s="2" t="n">
        <v>46098</v>
      </c>
      <c r="C58" s="0" t="n">
        <v>29.444</v>
      </c>
    </row>
    <row r="59" customFormat="false" ht="15" hidden="false" customHeight="false" outlineLevel="0" collapsed="false">
      <c r="A59" s="0" t="s">
        <v>102</v>
      </c>
      <c r="B59" s="2" t="n">
        <v>46098</v>
      </c>
      <c r="C59" s="0" t="n">
        <v>360.453</v>
      </c>
    </row>
    <row r="60" customFormat="false" ht="15" hidden="false" customHeight="false" outlineLevel="0" collapsed="false">
      <c r="A60" s="0" t="s">
        <v>98</v>
      </c>
      <c r="B60" s="2" t="n">
        <v>46099</v>
      </c>
      <c r="C60" s="0" t="n">
        <v>88.135</v>
      </c>
    </row>
    <row r="61" customFormat="false" ht="15" hidden="false" customHeight="false" outlineLevel="0" collapsed="false">
      <c r="A61" s="0" t="s">
        <v>99</v>
      </c>
      <c r="B61" s="2" t="n">
        <v>46099</v>
      </c>
      <c r="C61" s="0" t="n">
        <v>0.281</v>
      </c>
    </row>
    <row r="62" customFormat="false" ht="15" hidden="false" customHeight="false" outlineLevel="0" collapsed="false">
      <c r="A62" s="0" t="s">
        <v>100</v>
      </c>
      <c r="B62" s="2" t="n">
        <v>46099</v>
      </c>
      <c r="C62" s="0" t="n">
        <v>0.376</v>
      </c>
    </row>
    <row r="63" customFormat="false" ht="15" hidden="false" customHeight="false" outlineLevel="0" collapsed="false">
      <c r="A63" s="0" t="s">
        <v>101</v>
      </c>
      <c r="B63" s="2" t="n">
        <v>46099</v>
      </c>
      <c r="C63" s="0" t="n">
        <v>35.701</v>
      </c>
    </row>
    <row r="64" customFormat="false" ht="15" hidden="false" customHeight="false" outlineLevel="0" collapsed="false">
      <c r="A64" s="0" t="s">
        <v>102</v>
      </c>
      <c r="B64" s="2" t="n">
        <v>46099</v>
      </c>
      <c r="C64" s="0" t="n">
        <v>405.136</v>
      </c>
    </row>
    <row r="65" customFormat="false" ht="15" hidden="false" customHeight="false" outlineLevel="0" collapsed="false">
      <c r="A65" s="0" t="s">
        <v>98</v>
      </c>
      <c r="B65" s="2" t="n">
        <v>46100</v>
      </c>
      <c r="C65" s="0" t="n">
        <v>79.959</v>
      </c>
    </row>
    <row r="66" customFormat="false" ht="15" hidden="false" customHeight="false" outlineLevel="0" collapsed="false">
      <c r="A66" s="0" t="s">
        <v>99</v>
      </c>
      <c r="B66" s="2" t="n">
        <v>46100</v>
      </c>
      <c r="C66" s="0" t="n">
        <v>0.228</v>
      </c>
    </row>
    <row r="67" customFormat="false" ht="15" hidden="false" customHeight="false" outlineLevel="0" collapsed="false">
      <c r="A67" s="0" t="s">
        <v>100</v>
      </c>
      <c r="B67" s="2" t="n">
        <v>46100</v>
      </c>
      <c r="C67" s="0" t="n">
        <v>0.303</v>
      </c>
    </row>
    <row r="68" customFormat="false" ht="15" hidden="false" customHeight="false" outlineLevel="0" collapsed="false">
      <c r="A68" s="0" t="s">
        <v>101</v>
      </c>
      <c r="B68" s="2" t="n">
        <v>46100</v>
      </c>
      <c r="C68" s="0" t="n">
        <v>28.814</v>
      </c>
    </row>
    <row r="69" customFormat="false" ht="15" hidden="false" customHeight="false" outlineLevel="0" collapsed="false">
      <c r="A69" s="0" t="s">
        <v>102</v>
      </c>
      <c r="B69" s="2" t="n">
        <v>46100</v>
      </c>
      <c r="C69" s="0" t="n">
        <v>367.554</v>
      </c>
    </row>
    <row r="70" customFormat="false" ht="15" hidden="false" customHeight="false" outlineLevel="0" collapsed="false">
      <c r="A70" s="0" t="s">
        <v>98</v>
      </c>
      <c r="B70" s="2" t="n">
        <v>46101</v>
      </c>
      <c r="C70" s="0" t="n">
        <v>67.593</v>
      </c>
    </row>
    <row r="71" customFormat="false" ht="15" hidden="false" customHeight="false" outlineLevel="0" collapsed="false">
      <c r="A71" s="0" t="s">
        <v>99</v>
      </c>
      <c r="B71" s="2" t="n">
        <v>46101</v>
      </c>
      <c r="C71" s="0" t="n">
        <v>0.284</v>
      </c>
    </row>
    <row r="72" customFormat="false" ht="15" hidden="false" customHeight="false" outlineLevel="0" collapsed="false">
      <c r="A72" s="0" t="s">
        <v>100</v>
      </c>
      <c r="B72" s="2" t="n">
        <v>46101</v>
      </c>
      <c r="C72" s="0" t="n">
        <v>0.379</v>
      </c>
    </row>
    <row r="73" customFormat="false" ht="15" hidden="false" customHeight="false" outlineLevel="0" collapsed="false">
      <c r="A73" s="0" t="s">
        <v>101</v>
      </c>
      <c r="B73" s="2" t="n">
        <v>46101</v>
      </c>
      <c r="C73" s="0" t="n">
        <v>35.987</v>
      </c>
    </row>
    <row r="74" customFormat="false" ht="15" hidden="false" customHeight="false" outlineLevel="0" collapsed="false">
      <c r="A74" s="0" t="s">
        <v>102</v>
      </c>
      <c r="B74" s="2" t="n">
        <v>46101</v>
      </c>
      <c r="C74" s="0" t="n">
        <v>310.71</v>
      </c>
    </row>
    <row r="75" customFormat="false" ht="15" hidden="false" customHeight="false" outlineLevel="0" collapsed="false">
      <c r="A75" s="0" t="s">
        <v>99</v>
      </c>
      <c r="B75" s="2" t="n">
        <v>46102</v>
      </c>
      <c r="C75" s="0" t="n">
        <v>0.209</v>
      </c>
    </row>
    <row r="76" customFormat="false" ht="15" hidden="false" customHeight="false" outlineLevel="0" collapsed="false">
      <c r="A76" s="0" t="s">
        <v>100</v>
      </c>
      <c r="B76" s="2" t="n">
        <v>46102</v>
      </c>
      <c r="C76" s="0" t="n">
        <v>0.279</v>
      </c>
    </row>
    <row r="77" customFormat="false" ht="15" hidden="false" customHeight="false" outlineLevel="0" collapsed="false">
      <c r="A77" s="0" t="s">
        <v>101</v>
      </c>
      <c r="B77" s="2" t="n">
        <v>46102</v>
      </c>
      <c r="C77" s="0" t="n">
        <v>26.435</v>
      </c>
    </row>
    <row r="78" customFormat="false" ht="15" hidden="false" customHeight="false" outlineLevel="0" collapsed="false">
      <c r="A78" s="0" t="s">
        <v>103</v>
      </c>
      <c r="B78" s="2" t="n">
        <v>46102</v>
      </c>
      <c r="C78" s="0" t="n">
        <v>158.608</v>
      </c>
    </row>
    <row r="79" customFormat="false" ht="15" hidden="false" customHeight="false" outlineLevel="0" collapsed="false">
      <c r="A79" s="0" t="s">
        <v>104</v>
      </c>
      <c r="B79" s="2" t="n">
        <v>46102</v>
      </c>
      <c r="C79" s="0" t="n">
        <v>127.278</v>
      </c>
    </row>
    <row r="80" customFormat="false" ht="15" hidden="false" customHeight="false" outlineLevel="0" collapsed="false">
      <c r="A80" s="0" t="s">
        <v>99</v>
      </c>
      <c r="B80" s="2" t="n">
        <v>46103</v>
      </c>
      <c r="C80" s="0" t="n">
        <v>0.284</v>
      </c>
    </row>
    <row r="81" customFormat="false" ht="15" hidden="false" customHeight="false" outlineLevel="0" collapsed="false">
      <c r="A81" s="0" t="s">
        <v>100</v>
      </c>
      <c r="B81" s="2" t="n">
        <v>46103</v>
      </c>
      <c r="C81" s="0" t="n">
        <v>0.379</v>
      </c>
    </row>
    <row r="82" customFormat="false" ht="15" hidden="false" customHeight="false" outlineLevel="0" collapsed="false">
      <c r="A82" s="0" t="s">
        <v>101</v>
      </c>
      <c r="B82" s="2" t="n">
        <v>46103</v>
      </c>
      <c r="C82" s="0" t="n">
        <v>36.068</v>
      </c>
    </row>
    <row r="83" customFormat="false" ht="15" hidden="false" customHeight="false" outlineLevel="0" collapsed="false">
      <c r="A83" s="0" t="s">
        <v>103</v>
      </c>
      <c r="B83" s="2" t="n">
        <v>46103</v>
      </c>
      <c r="C83" s="0" t="n">
        <v>186.517</v>
      </c>
    </row>
    <row r="84" customFormat="false" ht="15" hidden="false" customHeight="false" outlineLevel="0" collapsed="false">
      <c r="A84" s="0" t="s">
        <v>104</v>
      </c>
      <c r="B84" s="2" t="n">
        <v>46103</v>
      </c>
      <c r="C84" s="0" t="n">
        <v>149.674</v>
      </c>
    </row>
    <row r="85" customFormat="false" ht="15" hidden="false" customHeight="false" outlineLevel="0" collapsed="false">
      <c r="A85" s="0" t="s">
        <v>99</v>
      </c>
      <c r="B85" s="2" t="n">
        <v>46104</v>
      </c>
      <c r="C85" s="0" t="n">
        <v>0.283</v>
      </c>
    </row>
    <row r="86" customFormat="false" ht="15" hidden="false" customHeight="false" outlineLevel="0" collapsed="false">
      <c r="A86" s="0" t="s">
        <v>100</v>
      </c>
      <c r="B86" s="2" t="n">
        <v>46104</v>
      </c>
      <c r="C86" s="0" t="n">
        <v>0.378</v>
      </c>
    </row>
    <row r="87" customFormat="false" ht="15" hidden="false" customHeight="false" outlineLevel="0" collapsed="false">
      <c r="A87" s="0" t="s">
        <v>101</v>
      </c>
      <c r="B87" s="2" t="n">
        <v>46104</v>
      </c>
      <c r="C87" s="0" t="n">
        <v>35.848</v>
      </c>
    </row>
    <row r="88" customFormat="false" ht="15" hidden="false" customHeight="false" outlineLevel="0" collapsed="false">
      <c r="A88" s="0" t="s">
        <v>103</v>
      </c>
      <c r="B88" s="2" t="n">
        <v>46104</v>
      </c>
      <c r="C88" s="0" t="n">
        <v>193.275</v>
      </c>
    </row>
    <row r="89" customFormat="false" ht="15" hidden="false" customHeight="false" outlineLevel="0" collapsed="false">
      <c r="A89" s="0" t="s">
        <v>104</v>
      </c>
      <c r="B89" s="2" t="n">
        <v>46104</v>
      </c>
      <c r="C89" s="0" t="n">
        <v>155.098</v>
      </c>
    </row>
    <row r="90" customFormat="false" ht="15" hidden="false" customHeight="false" outlineLevel="0" collapsed="false">
      <c r="A90" s="0" t="s">
        <v>99</v>
      </c>
      <c r="B90" s="2" t="n">
        <v>46105</v>
      </c>
      <c r="C90" s="0" t="n">
        <v>0.268</v>
      </c>
    </row>
    <row r="91" customFormat="false" ht="15" hidden="false" customHeight="false" outlineLevel="0" collapsed="false">
      <c r="A91" s="0" t="s">
        <v>100</v>
      </c>
      <c r="B91" s="2" t="n">
        <v>46105</v>
      </c>
      <c r="C91" s="0" t="n">
        <v>0.356</v>
      </c>
    </row>
    <row r="92" customFormat="false" ht="15" hidden="false" customHeight="false" outlineLevel="0" collapsed="false">
      <c r="A92" s="0" t="s">
        <v>101</v>
      </c>
      <c r="B92" s="2" t="n">
        <v>46105</v>
      </c>
      <c r="C92" s="0" t="n">
        <v>33.882</v>
      </c>
    </row>
    <row r="93" customFormat="false" ht="15" hidden="false" customHeight="false" outlineLevel="0" collapsed="false">
      <c r="A93" s="0" t="s">
        <v>103</v>
      </c>
      <c r="B93" s="2" t="n">
        <v>46105</v>
      </c>
      <c r="C93" s="0" t="n">
        <v>192.831</v>
      </c>
    </row>
    <row r="94" customFormat="false" ht="15" hidden="false" customHeight="false" outlineLevel="0" collapsed="false">
      <c r="A94" s="0" t="s">
        <v>104</v>
      </c>
      <c r="B94" s="2" t="n">
        <v>46105</v>
      </c>
      <c r="C94" s="0" t="n">
        <v>154.741</v>
      </c>
    </row>
    <row r="95" customFormat="false" ht="15" hidden="false" customHeight="false" outlineLevel="0" collapsed="false">
      <c r="A95" s="0" t="s">
        <v>99</v>
      </c>
      <c r="B95" s="2" t="n">
        <v>46106</v>
      </c>
      <c r="C95" s="0" t="n">
        <v>0.035</v>
      </c>
    </row>
    <row r="96" customFormat="false" ht="15" hidden="false" customHeight="false" outlineLevel="0" collapsed="false">
      <c r="A96" s="0" t="s">
        <v>100</v>
      </c>
      <c r="B96" s="2" t="n">
        <v>46106</v>
      </c>
      <c r="C96" s="0" t="n">
        <v>0.047</v>
      </c>
    </row>
    <row r="97" customFormat="false" ht="15" hidden="false" customHeight="false" outlineLevel="0" collapsed="false">
      <c r="A97" s="0" t="s">
        <v>101</v>
      </c>
      <c r="B97" s="2" t="n">
        <v>46106</v>
      </c>
      <c r="C97" s="0" t="n">
        <v>4.444</v>
      </c>
    </row>
    <row r="98" customFormat="false" ht="15" hidden="false" customHeight="false" outlineLevel="0" collapsed="false">
      <c r="A98" s="0" t="s">
        <v>103</v>
      </c>
      <c r="B98" s="2" t="n">
        <v>46106</v>
      </c>
      <c r="C98" s="0" t="n">
        <v>215.488</v>
      </c>
    </row>
    <row r="99" customFormat="false" ht="15" hidden="false" customHeight="false" outlineLevel="0" collapsed="false">
      <c r="A99" s="0" t="s">
        <v>104</v>
      </c>
      <c r="B99" s="2" t="n">
        <v>46106</v>
      </c>
      <c r="C99" s="0" t="n">
        <v>172.922</v>
      </c>
    </row>
    <row r="100" customFormat="false" ht="15" hidden="false" customHeight="false" outlineLevel="0" collapsed="false">
      <c r="A100" s="0" t="s">
        <v>105</v>
      </c>
      <c r="B100" s="2" t="n">
        <v>46107</v>
      </c>
      <c r="C100" s="0" t="n">
        <v>7.256</v>
      </c>
    </row>
    <row r="101" customFormat="false" ht="15" hidden="false" customHeight="false" outlineLevel="0" collapsed="false">
      <c r="A101" s="0" t="s">
        <v>106</v>
      </c>
      <c r="B101" s="2" t="n">
        <v>46107</v>
      </c>
      <c r="C101" s="0" t="n">
        <v>0.173</v>
      </c>
    </row>
    <row r="102" customFormat="false" ht="15" hidden="false" customHeight="false" outlineLevel="0" collapsed="false">
      <c r="A102" s="0" t="s">
        <v>107</v>
      </c>
      <c r="B102" s="2" t="n">
        <v>46107</v>
      </c>
      <c r="C102" s="0" t="n">
        <v>0.126</v>
      </c>
    </row>
    <row r="103" customFormat="false" ht="15" hidden="false" customHeight="false" outlineLevel="0" collapsed="false">
      <c r="A103" s="0" t="s">
        <v>108</v>
      </c>
      <c r="B103" s="2" t="n">
        <v>46107</v>
      </c>
      <c r="C103" s="0" t="n">
        <v>0.126</v>
      </c>
    </row>
    <row r="104" customFormat="false" ht="15" hidden="false" customHeight="false" outlineLevel="0" collapsed="false">
      <c r="A104" s="0" t="s">
        <v>103</v>
      </c>
      <c r="B104" s="2" t="n">
        <v>46107</v>
      </c>
      <c r="C104" s="0" t="n">
        <v>138.798</v>
      </c>
    </row>
    <row r="105" customFormat="false" ht="15" hidden="false" customHeight="false" outlineLevel="0" collapsed="false">
      <c r="A105" s="0" t="s">
        <v>104</v>
      </c>
      <c r="B105" s="2" t="n">
        <v>46107</v>
      </c>
      <c r="C105" s="0" t="n">
        <v>111.381</v>
      </c>
    </row>
    <row r="106" customFormat="false" ht="15" hidden="false" customHeight="false" outlineLevel="0" collapsed="false">
      <c r="A106" s="0" t="s">
        <v>105</v>
      </c>
      <c r="B106" s="2" t="n">
        <v>46108</v>
      </c>
      <c r="C106" s="0" t="n">
        <v>7.072</v>
      </c>
    </row>
    <row r="107" customFormat="false" ht="15" hidden="false" customHeight="false" outlineLevel="0" collapsed="false">
      <c r="A107" s="0" t="s">
        <v>106</v>
      </c>
      <c r="B107" s="2" t="n">
        <v>46108</v>
      </c>
      <c r="C107" s="0" t="n">
        <v>0.168</v>
      </c>
    </row>
    <row r="108" customFormat="false" ht="15" hidden="false" customHeight="false" outlineLevel="0" collapsed="false">
      <c r="A108" s="0" t="s">
        <v>107</v>
      </c>
      <c r="B108" s="2" t="n">
        <v>46108</v>
      </c>
      <c r="C108" s="0" t="n">
        <v>0.128</v>
      </c>
    </row>
    <row r="109" customFormat="false" ht="15" hidden="false" customHeight="false" outlineLevel="0" collapsed="false">
      <c r="A109" s="0" t="s">
        <v>108</v>
      </c>
      <c r="B109" s="2" t="n">
        <v>46108</v>
      </c>
      <c r="C109" s="0" t="n">
        <v>0.128</v>
      </c>
    </row>
    <row r="110" customFormat="false" ht="15" hidden="false" customHeight="false" outlineLevel="0" collapsed="false">
      <c r="A110" s="0" t="s">
        <v>103</v>
      </c>
      <c r="B110" s="2" t="n">
        <v>46108</v>
      </c>
      <c r="C110" s="0" t="n">
        <v>145.82</v>
      </c>
    </row>
    <row r="111" customFormat="false" ht="15" hidden="false" customHeight="false" outlineLevel="0" collapsed="false">
      <c r="A111" s="0" t="s">
        <v>104</v>
      </c>
      <c r="B111" s="2" t="n">
        <v>46108</v>
      </c>
      <c r="C111" s="0" t="n">
        <v>117.016</v>
      </c>
    </row>
    <row r="112" customFormat="false" ht="15" hidden="false" customHeight="false" outlineLevel="0" collapsed="false">
      <c r="A112" s="0" t="s">
        <v>105</v>
      </c>
      <c r="B112" s="2" t="n">
        <v>46109</v>
      </c>
      <c r="C112" s="0" t="n">
        <v>6.055</v>
      </c>
    </row>
    <row r="113" customFormat="false" ht="15" hidden="false" customHeight="false" outlineLevel="0" collapsed="false">
      <c r="A113" s="0" t="s">
        <v>106</v>
      </c>
      <c r="B113" s="2" t="n">
        <v>46109</v>
      </c>
      <c r="C113" s="0" t="n">
        <v>0.144</v>
      </c>
    </row>
    <row r="114" customFormat="false" ht="15" hidden="false" customHeight="false" outlineLevel="0" collapsed="false">
      <c r="A114" s="0" t="s">
        <v>107</v>
      </c>
      <c r="B114" s="2" t="n">
        <v>46109</v>
      </c>
      <c r="C114" s="0" t="n">
        <v>0.137</v>
      </c>
    </row>
    <row r="115" customFormat="false" ht="15" hidden="false" customHeight="false" outlineLevel="0" collapsed="false">
      <c r="A115" s="0" t="s">
        <v>108</v>
      </c>
      <c r="B115" s="2" t="n">
        <v>46109</v>
      </c>
      <c r="C115" s="0" t="n">
        <v>0.137</v>
      </c>
    </row>
    <row r="116" customFormat="false" ht="15" hidden="false" customHeight="false" outlineLevel="0" collapsed="false">
      <c r="A116" s="0" t="s">
        <v>103</v>
      </c>
      <c r="B116" s="2" t="n">
        <v>46109</v>
      </c>
      <c r="C116" s="0" t="n">
        <v>170.975</v>
      </c>
    </row>
    <row r="117" customFormat="false" ht="15" hidden="false" customHeight="false" outlineLevel="0" collapsed="false">
      <c r="A117" s="0" t="s">
        <v>104</v>
      </c>
      <c r="B117" s="2" t="n">
        <v>46109</v>
      </c>
      <c r="C117" s="0" t="n">
        <v>137.202</v>
      </c>
    </row>
    <row r="118" customFormat="false" ht="15" hidden="false" customHeight="false" outlineLevel="0" collapsed="false">
      <c r="A118" s="0" t="s">
        <v>105</v>
      </c>
      <c r="B118" s="2" t="n">
        <v>46110</v>
      </c>
      <c r="C118" s="0" t="n">
        <v>7.436</v>
      </c>
    </row>
    <row r="119" customFormat="false" ht="15" hidden="false" customHeight="false" outlineLevel="0" collapsed="false">
      <c r="A119" s="0" t="s">
        <v>106</v>
      </c>
      <c r="B119" s="2" t="n">
        <v>46110</v>
      </c>
      <c r="C119" s="0" t="n">
        <v>0.177</v>
      </c>
    </row>
    <row r="120" customFormat="false" ht="15" hidden="false" customHeight="false" outlineLevel="0" collapsed="false">
      <c r="A120" s="0" t="s">
        <v>107</v>
      </c>
      <c r="B120" s="2" t="n">
        <v>46110</v>
      </c>
      <c r="C120" s="0" t="n">
        <v>0.116</v>
      </c>
    </row>
    <row r="121" customFormat="false" ht="15" hidden="false" customHeight="false" outlineLevel="0" collapsed="false">
      <c r="A121" s="0" t="s">
        <v>108</v>
      </c>
      <c r="B121" s="2" t="n">
        <v>46110</v>
      </c>
      <c r="C121" s="0" t="n">
        <v>0.116</v>
      </c>
    </row>
    <row r="122" customFormat="false" ht="15" hidden="false" customHeight="false" outlineLevel="0" collapsed="false">
      <c r="A122" s="0" t="s">
        <v>103</v>
      </c>
      <c r="B122" s="2" t="n">
        <v>46110</v>
      </c>
      <c r="C122" s="0" t="n">
        <v>185.233</v>
      </c>
    </row>
    <row r="123" customFormat="false" ht="15" hidden="false" customHeight="false" outlineLevel="0" collapsed="false">
      <c r="A123" s="0" t="s">
        <v>104</v>
      </c>
      <c r="B123" s="2" t="n">
        <v>46110</v>
      </c>
      <c r="C123" s="0" t="n">
        <v>148.644</v>
      </c>
    </row>
    <row r="124" customFormat="false" ht="15" hidden="false" customHeight="false" outlineLevel="0" collapsed="false">
      <c r="A124" s="0" t="s">
        <v>105</v>
      </c>
      <c r="B124" s="2" t="n">
        <v>46111</v>
      </c>
      <c r="C124" s="0" t="n">
        <v>8.481</v>
      </c>
    </row>
    <row r="125" customFormat="false" ht="15" hidden="false" customHeight="false" outlineLevel="0" collapsed="false">
      <c r="A125" s="0" t="s">
        <v>106</v>
      </c>
      <c r="B125" s="2" t="n">
        <v>46111</v>
      </c>
      <c r="C125" s="0" t="n">
        <v>0.202</v>
      </c>
    </row>
    <row r="126" customFormat="false" ht="15" hidden="false" customHeight="false" outlineLevel="0" collapsed="false">
      <c r="A126" s="0" t="s">
        <v>107</v>
      </c>
      <c r="B126" s="2" t="n">
        <v>46111</v>
      </c>
      <c r="C126" s="0" t="n">
        <v>0.124</v>
      </c>
    </row>
    <row r="127" customFormat="false" ht="15" hidden="false" customHeight="false" outlineLevel="0" collapsed="false">
      <c r="A127" s="0" t="s">
        <v>108</v>
      </c>
      <c r="B127" s="2" t="n">
        <v>46111</v>
      </c>
      <c r="C127" s="0" t="n">
        <v>0.124</v>
      </c>
    </row>
    <row r="128" customFormat="false" ht="15" hidden="false" customHeight="false" outlineLevel="0" collapsed="false">
      <c r="A128" s="0" t="s">
        <v>103</v>
      </c>
      <c r="B128" s="2" t="n">
        <v>46111</v>
      </c>
      <c r="C128" s="0" t="n">
        <v>194.013</v>
      </c>
    </row>
    <row r="129" customFormat="false" ht="15" hidden="false" customHeight="false" outlineLevel="0" collapsed="false">
      <c r="A129" s="0" t="s">
        <v>104</v>
      </c>
      <c r="B129" s="2" t="n">
        <v>46111</v>
      </c>
      <c r="C129" s="0" t="n">
        <v>155.689</v>
      </c>
    </row>
    <row r="130" customFormat="false" ht="15" hidden="false" customHeight="false" outlineLevel="0" collapsed="false">
      <c r="A130" s="0" t="s">
        <v>105</v>
      </c>
      <c r="B130" s="2" t="n">
        <v>46112</v>
      </c>
      <c r="C130" s="0" t="n">
        <v>5.7</v>
      </c>
    </row>
    <row r="131" customFormat="false" ht="15" hidden="false" customHeight="false" outlineLevel="0" collapsed="false">
      <c r="A131" s="0" t="s">
        <v>106</v>
      </c>
      <c r="B131" s="2" t="n">
        <v>46112</v>
      </c>
      <c r="C131" s="0" t="n">
        <v>0.136</v>
      </c>
    </row>
    <row r="132" customFormat="false" ht="15" hidden="false" customHeight="false" outlineLevel="0" collapsed="false">
      <c r="A132" s="0" t="s">
        <v>107</v>
      </c>
      <c r="B132" s="2" t="n">
        <v>46112</v>
      </c>
      <c r="C132" s="0" t="n">
        <v>0.113</v>
      </c>
    </row>
    <row r="133" customFormat="false" ht="15" hidden="false" customHeight="false" outlineLevel="0" collapsed="false">
      <c r="A133" s="0" t="s">
        <v>108</v>
      </c>
      <c r="B133" s="2" t="n">
        <v>46112</v>
      </c>
      <c r="C133" s="0" t="n">
        <v>0.113</v>
      </c>
    </row>
    <row r="134" customFormat="false" ht="15" hidden="false" customHeight="false" outlineLevel="0" collapsed="false">
      <c r="A134" s="0" t="s">
        <v>103</v>
      </c>
      <c r="B134" s="2" t="n">
        <v>46112</v>
      </c>
      <c r="C134" s="0" t="n">
        <v>205.383</v>
      </c>
    </row>
    <row r="135" customFormat="false" ht="15" hidden="false" customHeight="false" outlineLevel="0" collapsed="false">
      <c r="A135" s="0" t="s">
        <v>104</v>
      </c>
      <c r="B135" s="2" t="n">
        <v>46112</v>
      </c>
      <c r="C135" s="0" t="n">
        <v>164.814</v>
      </c>
    </row>
    <row r="136" customFormat="false" ht="15" hidden="false" customHeight="false" outlineLevel="0" collapsed="false">
      <c r="A136" s="0" t="s">
        <v>107</v>
      </c>
      <c r="B136" s="2" t="n">
        <v>46113</v>
      </c>
      <c r="C136" s="0" t="n">
        <v>0.126</v>
      </c>
    </row>
    <row r="137" customFormat="false" ht="15" hidden="false" customHeight="false" outlineLevel="0" collapsed="false">
      <c r="A137" s="0" t="s">
        <v>108</v>
      </c>
      <c r="B137" s="2" t="n">
        <v>46113</v>
      </c>
      <c r="C137" s="0" t="n">
        <v>0.126</v>
      </c>
    </row>
    <row r="138" customFormat="false" ht="15" hidden="false" customHeight="false" outlineLevel="0" collapsed="false">
      <c r="A138" s="0" t="s">
        <v>103</v>
      </c>
      <c r="B138" s="2" t="n">
        <v>46113</v>
      </c>
      <c r="C138" s="0" t="n">
        <v>191.179</v>
      </c>
    </row>
    <row r="139" customFormat="false" ht="15" hidden="false" customHeight="false" outlineLevel="0" collapsed="false">
      <c r="A139" s="0" t="s">
        <v>104</v>
      </c>
      <c r="B139" s="2" t="n">
        <v>46113</v>
      </c>
      <c r="C139" s="0" t="n">
        <v>153.415</v>
      </c>
    </row>
    <row r="140" customFormat="false" ht="15" hidden="false" customHeight="false" outlineLevel="0" collapsed="false">
      <c r="A140" s="0" t="s">
        <v>107</v>
      </c>
      <c r="B140" s="2" t="n">
        <v>46114</v>
      </c>
      <c r="C140" s="0" t="n">
        <v>0.119</v>
      </c>
    </row>
    <row r="141" customFormat="false" ht="15" hidden="false" customHeight="false" outlineLevel="0" collapsed="false">
      <c r="A141" s="0" t="s">
        <v>108</v>
      </c>
      <c r="B141" s="2" t="n">
        <v>46114</v>
      </c>
      <c r="C141" s="0" t="n">
        <v>0.119</v>
      </c>
    </row>
    <row r="142" customFormat="false" ht="15" hidden="false" customHeight="false" outlineLevel="0" collapsed="false">
      <c r="A142" s="0" t="s">
        <v>103</v>
      </c>
      <c r="B142" s="2" t="n">
        <v>46114</v>
      </c>
      <c r="C142" s="0" t="n">
        <v>219.958</v>
      </c>
    </row>
    <row r="143" customFormat="false" ht="15" hidden="false" customHeight="false" outlineLevel="0" collapsed="false">
      <c r="A143" s="0" t="s">
        <v>104</v>
      </c>
      <c r="B143" s="2" t="n">
        <v>46114</v>
      </c>
      <c r="C143" s="0" t="n">
        <v>176.509</v>
      </c>
    </row>
    <row r="144" customFormat="false" ht="15" hidden="false" customHeight="false" outlineLevel="0" collapsed="false">
      <c r="A144" s="0" t="s">
        <v>107</v>
      </c>
      <c r="B144" s="2" t="n">
        <v>46115</v>
      </c>
      <c r="C144" s="0" t="n">
        <v>0.011</v>
      </c>
    </row>
    <row r="145" customFormat="false" ht="15" hidden="false" customHeight="false" outlineLevel="0" collapsed="false">
      <c r="A145" s="0" t="s">
        <v>108</v>
      </c>
      <c r="B145" s="2" t="n">
        <v>46115</v>
      </c>
      <c r="C145" s="0" t="n">
        <v>0.011</v>
      </c>
    </row>
    <row r="146" customFormat="false" ht="15" hidden="false" customHeight="false" outlineLevel="0" collapsed="false">
      <c r="A146" s="0" t="s">
        <v>103</v>
      </c>
      <c r="B146" s="2" t="n">
        <v>46115</v>
      </c>
      <c r="C146" s="0" t="n">
        <v>159.652</v>
      </c>
    </row>
    <row r="147" customFormat="false" ht="15" hidden="false" customHeight="false" outlineLevel="0" collapsed="false">
      <c r="A147" s="0" t="s">
        <v>104</v>
      </c>
      <c r="B147" s="2" t="n">
        <v>46115</v>
      </c>
      <c r="C147" s="0" t="n">
        <v>128.116</v>
      </c>
    </row>
    <row r="148" customFormat="false" ht="15" hidden="false" customHeight="false" outlineLevel="0" collapsed="false">
      <c r="A148" s="0" t="s">
        <v>103</v>
      </c>
      <c r="B148" s="2" t="n">
        <v>46116</v>
      </c>
      <c r="C148" s="0" t="n">
        <v>167.209</v>
      </c>
    </row>
    <row r="149" customFormat="false" ht="15" hidden="false" customHeight="false" outlineLevel="0" collapsed="false">
      <c r="A149" s="0" t="s">
        <v>104</v>
      </c>
      <c r="B149" s="2" t="n">
        <v>46116</v>
      </c>
      <c r="C149" s="0" t="n">
        <v>134.181</v>
      </c>
    </row>
    <row r="150" customFormat="false" ht="15" hidden="false" customHeight="false" outlineLevel="0" collapsed="false">
      <c r="A150" s="0" t="s">
        <v>103</v>
      </c>
      <c r="B150" s="2" t="n">
        <v>46117</v>
      </c>
      <c r="C150" s="0" t="n">
        <v>179.224</v>
      </c>
    </row>
    <row r="151" customFormat="false" ht="15" hidden="false" customHeight="false" outlineLevel="0" collapsed="false">
      <c r="A151" s="0" t="s">
        <v>104</v>
      </c>
      <c r="B151" s="2" t="n">
        <v>46117</v>
      </c>
      <c r="C151" s="0" t="n">
        <v>143.821</v>
      </c>
    </row>
    <row r="152" customFormat="false" ht="15" hidden="false" customHeight="false" outlineLevel="0" collapsed="false">
      <c r="A152" s="0" t="s">
        <v>103</v>
      </c>
      <c r="B152" s="2" t="n">
        <v>46118</v>
      </c>
      <c r="C152" s="0" t="n">
        <v>154.864</v>
      </c>
    </row>
    <row r="153" customFormat="false" ht="15" hidden="false" customHeight="false" outlineLevel="0" collapsed="false">
      <c r="A153" s="0" t="s">
        <v>104</v>
      </c>
      <c r="B153" s="2" t="n">
        <v>46118</v>
      </c>
      <c r="C153" s="0" t="n">
        <v>124.274</v>
      </c>
    </row>
    <row r="154" customFormat="false" ht="15" hidden="false" customHeight="false" outlineLevel="0" collapsed="false">
      <c r="A154" s="0" t="s">
        <v>103</v>
      </c>
      <c r="B154" s="2" t="n">
        <v>46119</v>
      </c>
      <c r="C154" s="0" t="n">
        <v>173.514</v>
      </c>
    </row>
    <row r="155" customFormat="false" ht="15" hidden="false" customHeight="false" outlineLevel="0" collapsed="false">
      <c r="A155" s="0" t="s">
        <v>104</v>
      </c>
      <c r="B155" s="2" t="n">
        <v>46119</v>
      </c>
      <c r="C155" s="0" t="n">
        <v>139.239</v>
      </c>
    </row>
    <row r="156" customFormat="false" ht="15" hidden="false" customHeight="false" outlineLevel="0" collapsed="false">
      <c r="A156" s="0" t="s">
        <v>103</v>
      </c>
      <c r="B156" s="2" t="n">
        <v>46121</v>
      </c>
      <c r="C156" s="0" t="n">
        <v>7.459</v>
      </c>
    </row>
    <row r="157" customFormat="false" ht="15" hidden="false" customHeight="false" outlineLevel="0" collapsed="false">
      <c r="A157" s="0" t="s">
        <v>104</v>
      </c>
      <c r="B157" s="2" t="n">
        <v>46121</v>
      </c>
      <c r="C157" s="0" t="n">
        <v>5.986</v>
      </c>
    </row>
    <row r="158" customFormat="false" ht="15" hidden="false" customHeight="false" outlineLevel="0" collapsed="false">
      <c r="A158" s="0" t="s">
        <v>109</v>
      </c>
      <c r="B158" s="2" t="n">
        <v>46122</v>
      </c>
      <c r="C158" s="0" t="n">
        <v>24.554</v>
      </c>
    </row>
    <row r="159" customFormat="false" ht="15" hidden="false" customHeight="false" outlineLevel="0" collapsed="false">
      <c r="A159" s="0" t="s">
        <v>110</v>
      </c>
      <c r="B159" s="2" t="n">
        <v>46122</v>
      </c>
      <c r="C159" s="0" t="n">
        <v>38.247</v>
      </c>
    </row>
    <row r="160" customFormat="false" ht="15" hidden="false" customHeight="false" outlineLevel="0" collapsed="false">
      <c r="A160" s="0" t="s">
        <v>109</v>
      </c>
      <c r="B160" s="2" t="n">
        <v>46123</v>
      </c>
      <c r="C160" s="0" t="n">
        <v>20.398</v>
      </c>
    </row>
    <row r="161" customFormat="false" ht="15" hidden="false" customHeight="false" outlineLevel="0" collapsed="false">
      <c r="A161" s="0" t="s">
        <v>110</v>
      </c>
      <c r="B161" s="2" t="n">
        <v>46123</v>
      </c>
      <c r="C161" s="0" t="n">
        <v>31.775</v>
      </c>
    </row>
    <row r="162" customFormat="false" ht="15" hidden="false" customHeight="false" outlineLevel="0" collapsed="false">
      <c r="A162" s="0" t="s">
        <v>109</v>
      </c>
      <c r="B162" s="2" t="n">
        <v>46124</v>
      </c>
      <c r="C162" s="0" t="n">
        <v>22.566</v>
      </c>
    </row>
    <row r="163" customFormat="false" ht="15" hidden="false" customHeight="false" outlineLevel="0" collapsed="false">
      <c r="A163" s="0" t="s">
        <v>110</v>
      </c>
      <c r="B163" s="2" t="n">
        <v>46124</v>
      </c>
      <c r="C163" s="0" t="n">
        <v>35.151</v>
      </c>
    </row>
    <row r="164" customFormat="false" ht="15" hidden="false" customHeight="false" outlineLevel="0" collapsed="false">
      <c r="A164" s="0" t="s">
        <v>109</v>
      </c>
      <c r="B164" s="2" t="n">
        <v>46125</v>
      </c>
      <c r="C164" s="0" t="n">
        <v>26.536</v>
      </c>
    </row>
    <row r="165" customFormat="false" ht="15" hidden="false" customHeight="false" outlineLevel="0" collapsed="false">
      <c r="A165" s="0" t="s">
        <v>110</v>
      </c>
      <c r="B165" s="2" t="n">
        <v>46125</v>
      </c>
      <c r="C165" s="0" t="n">
        <v>41.334</v>
      </c>
    </row>
    <row r="166" customFormat="false" ht="15" hidden="false" customHeight="false" outlineLevel="0" collapsed="false">
      <c r="A166" s="0" t="s">
        <v>109</v>
      </c>
      <c r="B166" s="2" t="n">
        <v>46126</v>
      </c>
      <c r="C166" s="0" t="n">
        <v>25.322</v>
      </c>
    </row>
    <row r="167" customFormat="false" ht="15" hidden="false" customHeight="false" outlineLevel="0" collapsed="false">
      <c r="A167" s="0" t="s">
        <v>110</v>
      </c>
      <c r="B167" s="2" t="n">
        <v>46126</v>
      </c>
      <c r="C167" s="0" t="n">
        <v>39.444</v>
      </c>
    </row>
    <row r="168" customFormat="false" ht="15" hidden="false" customHeight="false" outlineLevel="0" collapsed="false">
      <c r="A168" s="0" t="s">
        <v>109</v>
      </c>
      <c r="B168" s="2" t="n">
        <v>46127</v>
      </c>
      <c r="C168" s="0" t="n">
        <v>21.59</v>
      </c>
    </row>
    <row r="169" customFormat="false" ht="15" hidden="false" customHeight="false" outlineLevel="0" collapsed="false">
      <c r="A169" s="0" t="s">
        <v>110</v>
      </c>
      <c r="B169" s="2" t="n">
        <v>46127</v>
      </c>
      <c r="C169" s="0" t="n">
        <v>33.631</v>
      </c>
    </row>
    <row r="170" customFormat="false" ht="15" hidden="false" customHeight="false" outlineLevel="0" collapsed="false">
      <c r="A170" s="0" t="s">
        <v>109</v>
      </c>
      <c r="B170" s="2" t="n">
        <v>46128</v>
      </c>
      <c r="C170" s="0" t="n">
        <v>20.232</v>
      </c>
    </row>
    <row r="171" customFormat="false" ht="15" hidden="false" customHeight="false" outlineLevel="0" collapsed="false">
      <c r="A171" s="0" t="s">
        <v>110</v>
      </c>
      <c r="B171" s="2" t="n">
        <v>46128</v>
      </c>
      <c r="C171" s="0" t="n">
        <v>31.514</v>
      </c>
    </row>
    <row r="172" customFormat="false" ht="15" hidden="false" customHeight="false" outlineLevel="0" collapsed="false">
      <c r="A172" s="0" t="s">
        <v>109</v>
      </c>
      <c r="B172" s="2" t="n">
        <v>46129</v>
      </c>
      <c r="C172" s="0" t="n">
        <v>23.777</v>
      </c>
    </row>
    <row r="173" customFormat="false" ht="15" hidden="false" customHeight="false" outlineLevel="0" collapsed="false">
      <c r="A173" s="0" t="s">
        <v>110</v>
      </c>
      <c r="B173" s="2" t="n">
        <v>46129</v>
      </c>
      <c r="C173" s="0" t="n">
        <v>37.038</v>
      </c>
    </row>
    <row r="174" customFormat="false" ht="15" hidden="false" customHeight="false" outlineLevel="0" collapsed="false">
      <c r="A174" s="0" t="s">
        <v>109</v>
      </c>
      <c r="B174" s="2" t="n">
        <v>46130</v>
      </c>
      <c r="C174" s="0" t="n">
        <v>17.035</v>
      </c>
    </row>
    <row r="175" customFormat="false" ht="15" hidden="false" customHeight="false" outlineLevel="0" collapsed="false">
      <c r="A175" s="0" t="s">
        <v>110</v>
      </c>
      <c r="B175" s="2" t="n">
        <v>46130</v>
      </c>
      <c r="C175" s="0" t="n">
        <v>26.536</v>
      </c>
    </row>
    <row r="176" customFormat="false" ht="15" hidden="false" customHeight="false" outlineLevel="0" collapsed="false">
      <c r="A176" s="0" t="s">
        <v>109</v>
      </c>
      <c r="B176" s="2" t="n">
        <v>46131</v>
      </c>
      <c r="C176" s="0" t="n">
        <v>22.29</v>
      </c>
    </row>
    <row r="177" customFormat="false" ht="15" hidden="false" customHeight="false" outlineLevel="0" collapsed="false">
      <c r="A177" s="0" t="s">
        <v>110</v>
      </c>
      <c r="B177" s="2" t="n">
        <v>46131</v>
      </c>
      <c r="C177" s="0" t="n">
        <v>34.721</v>
      </c>
    </row>
    <row r="178" customFormat="false" ht="15" hidden="false" customHeight="false" outlineLevel="0" collapsed="false">
      <c r="A178" s="0" t="s">
        <v>109</v>
      </c>
      <c r="B178" s="2" t="n">
        <v>46132</v>
      </c>
      <c r="C178" s="0" t="n">
        <v>18.46</v>
      </c>
    </row>
    <row r="179" customFormat="false" ht="15" hidden="false" customHeight="false" outlineLevel="0" collapsed="false">
      <c r="A179" s="0" t="s">
        <v>110</v>
      </c>
      <c r="B179" s="2" t="n">
        <v>46132</v>
      </c>
      <c r="C179" s="0" t="n">
        <v>28.755</v>
      </c>
    </row>
    <row r="180" customFormat="false" ht="15" hidden="false" customHeight="false" outlineLevel="0" collapsed="false">
      <c r="A180" s="0" t="s">
        <v>109</v>
      </c>
      <c r="B180" s="2" t="n">
        <v>46133</v>
      </c>
      <c r="C180" s="0" t="n">
        <v>25.817</v>
      </c>
    </row>
    <row r="181" customFormat="false" ht="15" hidden="false" customHeight="false" outlineLevel="0" collapsed="false">
      <c r="A181" s="0" t="s">
        <v>110</v>
      </c>
      <c r="B181" s="2" t="n">
        <v>46133</v>
      </c>
      <c r="C181" s="0" t="n">
        <v>40.214</v>
      </c>
    </row>
    <row r="182" customFormat="false" ht="15" hidden="false" customHeight="false" outlineLevel="0" collapsed="false">
      <c r="A182" s="0" t="s">
        <v>109</v>
      </c>
      <c r="B182" s="2" t="n">
        <v>46134</v>
      </c>
      <c r="C182" s="0" t="n">
        <v>23.987</v>
      </c>
    </row>
    <row r="183" customFormat="false" ht="15" hidden="false" customHeight="false" outlineLevel="0" collapsed="false">
      <c r="A183" s="0" t="s">
        <v>110</v>
      </c>
      <c r="B183" s="2" t="n">
        <v>46134</v>
      </c>
      <c r="C183" s="0" t="n">
        <v>37.364</v>
      </c>
    </row>
    <row r="184" customFormat="false" ht="15" hidden="false" customHeight="false" outlineLevel="0" collapsed="false">
      <c r="A184" s="0" t="s">
        <v>109</v>
      </c>
      <c r="B184" s="2" t="n">
        <v>46135</v>
      </c>
      <c r="C184" s="0" t="n">
        <v>19.436</v>
      </c>
    </row>
    <row r="185" customFormat="false" ht="15" hidden="false" customHeight="false" outlineLevel="0" collapsed="false">
      <c r="A185" s="0" t="s">
        <v>110</v>
      </c>
      <c r="B185" s="2" t="n">
        <v>46135</v>
      </c>
      <c r="C185" s="0" t="n">
        <v>30.276</v>
      </c>
    </row>
    <row r="186" customFormat="false" ht="15" hidden="false" customHeight="false" outlineLevel="0" collapsed="false">
      <c r="A186" s="0" t="s">
        <v>111</v>
      </c>
      <c r="B186" s="2" t="n">
        <v>46136</v>
      </c>
      <c r="C186" s="0" t="n">
        <v>10.892</v>
      </c>
    </row>
    <row r="187" customFormat="false" ht="15" hidden="false" customHeight="false" outlineLevel="0" collapsed="false">
      <c r="A187" s="0" t="s">
        <v>111</v>
      </c>
      <c r="B187" s="2" t="n">
        <v>46137</v>
      </c>
      <c r="C187" s="0" t="n">
        <v>8.07</v>
      </c>
    </row>
    <row r="188" customFormat="false" ht="15" hidden="false" customHeight="false" outlineLevel="0" collapsed="false">
      <c r="A188" s="0" t="s">
        <v>111</v>
      </c>
      <c r="B188" s="2" t="n">
        <v>46138</v>
      </c>
      <c r="C188" s="0" t="n">
        <v>8.369</v>
      </c>
    </row>
    <row r="189" customFormat="false" ht="15" hidden="false" customHeight="false" outlineLevel="0" collapsed="false">
      <c r="A189" s="0" t="s">
        <v>111</v>
      </c>
      <c r="B189" s="2" t="n">
        <v>46139</v>
      </c>
      <c r="C189" s="0" t="n">
        <v>9.828</v>
      </c>
    </row>
    <row r="190" customFormat="false" ht="15" hidden="false" customHeight="false" outlineLevel="0" collapsed="false">
      <c r="A190" s="0" t="s">
        <v>111</v>
      </c>
      <c r="B190" s="2" t="n">
        <v>46140</v>
      </c>
      <c r="C190" s="0" t="n">
        <v>10.224</v>
      </c>
    </row>
    <row r="191" customFormat="false" ht="15" hidden="false" customHeight="false" outlineLevel="0" collapsed="false">
      <c r="A191" s="0" t="s">
        <v>111</v>
      </c>
      <c r="B191" s="2" t="n">
        <v>46141</v>
      </c>
      <c r="C191" s="0" t="n">
        <v>9.657</v>
      </c>
    </row>
    <row r="192" customFormat="false" ht="15" hidden="false" customHeight="false" outlineLevel="0" collapsed="false">
      <c r="A192" s="0" t="s">
        <v>111</v>
      </c>
      <c r="B192" s="2" t="n">
        <v>46142</v>
      </c>
      <c r="C192" s="0" t="n">
        <v>0.96</v>
      </c>
    </row>
    <row r="193" customFormat="false" ht="15" hidden="false" customHeight="false" outlineLevel="0" collapsed="false">
      <c r="A193" s="0" t="s">
        <v>112</v>
      </c>
      <c r="B193" s="2" t="n">
        <v>46143</v>
      </c>
      <c r="C193" s="0" t="n">
        <v>13.572</v>
      </c>
    </row>
    <row r="194" customFormat="false" ht="15" hidden="false" customHeight="false" outlineLevel="0" collapsed="false">
      <c r="A194" s="0" t="s">
        <v>113</v>
      </c>
      <c r="B194" s="2" t="n">
        <v>46143</v>
      </c>
      <c r="C194" s="0" t="n">
        <v>735.921</v>
      </c>
    </row>
    <row r="195" customFormat="false" ht="15" hidden="false" customHeight="false" outlineLevel="0" collapsed="false">
      <c r="A195" s="0" t="s">
        <v>114</v>
      </c>
      <c r="B195" s="2" t="n">
        <v>46143</v>
      </c>
      <c r="C195" s="0" t="n">
        <v>8.028</v>
      </c>
    </row>
    <row r="196" customFormat="false" ht="15" hidden="false" customHeight="false" outlineLevel="0" collapsed="false">
      <c r="A196" s="0" t="s">
        <v>112</v>
      </c>
      <c r="B196" s="2" t="n">
        <v>46144</v>
      </c>
      <c r="C196" s="0" t="n">
        <v>15.873</v>
      </c>
    </row>
    <row r="197" customFormat="false" ht="15" hidden="false" customHeight="false" outlineLevel="0" collapsed="false">
      <c r="A197" s="0" t="s">
        <v>113</v>
      </c>
      <c r="B197" s="2" t="n">
        <v>46144</v>
      </c>
      <c r="C197" s="0" t="n">
        <v>860.746</v>
      </c>
    </row>
    <row r="198" customFormat="false" ht="15" hidden="false" customHeight="false" outlineLevel="0" collapsed="false">
      <c r="A198" s="0" t="s">
        <v>114</v>
      </c>
      <c r="B198" s="2" t="n">
        <v>46144</v>
      </c>
      <c r="C198" s="0" t="n">
        <v>9.39</v>
      </c>
    </row>
    <row r="199" customFormat="false" ht="15" hidden="false" customHeight="false" outlineLevel="0" collapsed="false">
      <c r="A199" s="0" t="s">
        <v>112</v>
      </c>
      <c r="B199" s="2" t="n">
        <v>46145</v>
      </c>
      <c r="C199" s="0" t="n">
        <v>13.92</v>
      </c>
    </row>
    <row r="200" customFormat="false" ht="15" hidden="false" customHeight="false" outlineLevel="0" collapsed="false">
      <c r="A200" s="0" t="s">
        <v>113</v>
      </c>
      <c r="B200" s="2" t="n">
        <v>46145</v>
      </c>
      <c r="C200" s="0" t="n">
        <v>754.835</v>
      </c>
    </row>
    <row r="201" customFormat="false" ht="15" hidden="false" customHeight="false" outlineLevel="0" collapsed="false">
      <c r="A201" s="0" t="s">
        <v>114</v>
      </c>
      <c r="B201" s="2" t="n">
        <v>46145</v>
      </c>
      <c r="C201" s="0" t="n">
        <v>8.235</v>
      </c>
    </row>
    <row r="202" customFormat="false" ht="15" hidden="false" customHeight="false" outlineLevel="0" collapsed="false">
      <c r="A202" s="0" t="s">
        <v>112</v>
      </c>
      <c r="B202" s="2" t="n">
        <v>46146</v>
      </c>
      <c r="C202" s="0" t="n">
        <v>12.788</v>
      </c>
    </row>
    <row r="203" customFormat="false" ht="15" hidden="false" customHeight="false" outlineLevel="0" collapsed="false">
      <c r="A203" s="0" t="s">
        <v>113</v>
      </c>
      <c r="B203" s="2" t="n">
        <v>46146</v>
      </c>
      <c r="C203" s="0" t="n">
        <v>693.426</v>
      </c>
    </row>
    <row r="204" customFormat="false" ht="15" hidden="false" customHeight="false" outlineLevel="0" collapsed="false">
      <c r="A204" s="0" t="s">
        <v>114</v>
      </c>
      <c r="B204" s="2" t="n">
        <v>46146</v>
      </c>
      <c r="C204" s="0" t="n">
        <v>7.564</v>
      </c>
    </row>
    <row r="205" customFormat="false" ht="15" hidden="false" customHeight="false" outlineLevel="0" collapsed="false">
      <c r="A205" s="0" t="s">
        <v>112</v>
      </c>
      <c r="B205" s="2" t="n">
        <v>46147</v>
      </c>
      <c r="C205" s="0" t="n">
        <v>14.092</v>
      </c>
    </row>
    <row r="206" customFormat="false" ht="15" hidden="false" customHeight="false" outlineLevel="0" collapsed="false">
      <c r="A206" s="0" t="s">
        <v>113</v>
      </c>
      <c r="B206" s="2" t="n">
        <v>46147</v>
      </c>
      <c r="C206" s="0" t="n">
        <v>764.148</v>
      </c>
    </row>
    <row r="207" customFormat="false" ht="15" hidden="false" customHeight="false" outlineLevel="0" collapsed="false">
      <c r="A207" s="0" t="s">
        <v>114</v>
      </c>
      <c r="B207" s="2" t="n">
        <v>46147</v>
      </c>
      <c r="C207" s="0" t="n">
        <v>8.337</v>
      </c>
    </row>
    <row r="208" customFormat="false" ht="15" hidden="false" customHeight="false" outlineLevel="0" collapsed="false">
      <c r="A208" s="0" t="s">
        <v>112</v>
      </c>
      <c r="B208" s="2" t="n">
        <v>46148</v>
      </c>
      <c r="C208" s="0" t="n">
        <v>14.49</v>
      </c>
    </row>
    <row r="209" customFormat="false" ht="15" hidden="false" customHeight="false" outlineLevel="0" collapsed="false">
      <c r="A209" s="0" t="s">
        <v>113</v>
      </c>
      <c r="B209" s="2" t="n">
        <v>46148</v>
      </c>
      <c r="C209" s="0" t="n">
        <v>785.702</v>
      </c>
    </row>
    <row r="210" customFormat="false" ht="15" hidden="false" customHeight="false" outlineLevel="0" collapsed="false">
      <c r="A210" s="0" t="s">
        <v>114</v>
      </c>
      <c r="B210" s="2" t="n">
        <v>46148</v>
      </c>
      <c r="C210" s="0" t="n">
        <v>8.571</v>
      </c>
    </row>
    <row r="211" customFormat="false" ht="15" hidden="false" customHeight="false" outlineLevel="0" collapsed="false">
      <c r="A211" s="0" t="s">
        <v>112</v>
      </c>
      <c r="B211" s="2" t="n">
        <v>46149</v>
      </c>
      <c r="C211" s="0" t="n">
        <v>15.044</v>
      </c>
    </row>
    <row r="212" customFormat="false" ht="15" hidden="false" customHeight="false" outlineLevel="0" collapsed="false">
      <c r="A212" s="0" t="s">
        <v>113</v>
      </c>
      <c r="B212" s="2" t="n">
        <v>46149</v>
      </c>
      <c r="C212" s="0" t="n">
        <v>815.76</v>
      </c>
    </row>
    <row r="213" customFormat="false" ht="15" hidden="false" customHeight="false" outlineLevel="0" collapsed="false">
      <c r="A213" s="0" t="s">
        <v>114</v>
      </c>
      <c r="B213" s="2" t="n">
        <v>46149</v>
      </c>
      <c r="C213" s="0" t="n">
        <v>8.899</v>
      </c>
    </row>
    <row r="214" customFormat="false" ht="15" hidden="false" customHeight="false" outlineLevel="0" collapsed="false">
      <c r="A214" s="0" t="s">
        <v>112</v>
      </c>
      <c r="B214" s="2" t="n">
        <v>46150</v>
      </c>
      <c r="C214" s="0" t="n">
        <v>13.971</v>
      </c>
    </row>
    <row r="215" customFormat="false" ht="15" hidden="false" customHeight="false" outlineLevel="0" collapsed="false">
      <c r="A215" s="0" t="s">
        <v>113</v>
      </c>
      <c r="B215" s="2" t="n">
        <v>46150</v>
      </c>
      <c r="C215" s="0" t="n">
        <v>757.618</v>
      </c>
    </row>
    <row r="216" customFormat="false" ht="15" hidden="false" customHeight="false" outlineLevel="0" collapsed="false">
      <c r="A216" s="0" t="s">
        <v>114</v>
      </c>
      <c r="B216" s="2" t="n">
        <v>46150</v>
      </c>
      <c r="C216" s="0" t="n">
        <v>8.265</v>
      </c>
    </row>
    <row r="217" customFormat="false" ht="15" hidden="false" customHeight="false" outlineLevel="0" collapsed="false">
      <c r="A217" s="0" t="s">
        <v>115</v>
      </c>
      <c r="B217" s="2" t="n">
        <v>46151</v>
      </c>
      <c r="C217" s="0" t="n">
        <v>8.121</v>
      </c>
    </row>
    <row r="218" customFormat="false" ht="15" hidden="false" customHeight="false" outlineLevel="0" collapsed="false">
      <c r="A218" s="0" t="s">
        <v>116</v>
      </c>
      <c r="B218" s="2" t="n">
        <v>46151</v>
      </c>
      <c r="C218" s="0" t="n">
        <v>713.844</v>
      </c>
    </row>
    <row r="219" customFormat="false" ht="15" hidden="false" customHeight="false" outlineLevel="0" collapsed="false">
      <c r="A219" s="0" t="s">
        <v>117</v>
      </c>
      <c r="B219" s="2" t="n">
        <v>46151</v>
      </c>
      <c r="C219" s="0" t="n">
        <v>20.433</v>
      </c>
    </row>
    <row r="220" customFormat="false" ht="15" hidden="false" customHeight="false" outlineLevel="0" collapsed="false">
      <c r="A220" s="0" t="s">
        <v>112</v>
      </c>
      <c r="B220" s="2" t="n">
        <v>46151</v>
      </c>
      <c r="C220" s="0" t="n">
        <v>14.079</v>
      </c>
    </row>
    <row r="221" customFormat="false" ht="15" hidden="false" customHeight="false" outlineLevel="0" collapsed="false">
      <c r="A221" s="0" t="s">
        <v>113</v>
      </c>
      <c r="B221" s="2" t="n">
        <v>46151</v>
      </c>
      <c r="C221" s="0" t="n">
        <v>763.391</v>
      </c>
    </row>
    <row r="222" customFormat="false" ht="15" hidden="false" customHeight="false" outlineLevel="0" collapsed="false">
      <c r="A222" s="0" t="s">
        <v>114</v>
      </c>
      <c r="B222" s="2" t="n">
        <v>46151</v>
      </c>
      <c r="C222" s="0" t="n">
        <v>8.328</v>
      </c>
    </row>
    <row r="223" customFormat="false" ht="15" hidden="false" customHeight="false" outlineLevel="0" collapsed="false">
      <c r="A223" s="0" t="s">
        <v>115</v>
      </c>
      <c r="B223" s="2" t="n">
        <v>46152</v>
      </c>
      <c r="C223" s="0" t="n">
        <v>7.605</v>
      </c>
    </row>
    <row r="224" customFormat="false" ht="15" hidden="false" customHeight="false" outlineLevel="0" collapsed="false">
      <c r="A224" s="0" t="s">
        <v>116</v>
      </c>
      <c r="B224" s="2" t="n">
        <v>46152</v>
      </c>
      <c r="C224" s="0" t="n">
        <v>668.562</v>
      </c>
    </row>
    <row r="225" customFormat="false" ht="15" hidden="false" customHeight="false" outlineLevel="0" collapsed="false">
      <c r="A225" s="0" t="s">
        <v>117</v>
      </c>
      <c r="B225" s="2" t="n">
        <v>46152</v>
      </c>
      <c r="C225" s="0" t="n">
        <v>19.137</v>
      </c>
    </row>
    <row r="226" customFormat="false" ht="15" hidden="false" customHeight="false" outlineLevel="0" collapsed="false">
      <c r="A226" s="0" t="s">
        <v>112</v>
      </c>
      <c r="B226" s="2" t="n">
        <v>46152</v>
      </c>
      <c r="C226" s="0" t="n">
        <v>12.737</v>
      </c>
    </row>
    <row r="227" customFormat="false" ht="15" hidden="false" customHeight="false" outlineLevel="0" collapsed="false">
      <c r="A227" s="0" t="s">
        <v>113</v>
      </c>
      <c r="B227" s="2" t="n">
        <v>46152</v>
      </c>
      <c r="C227" s="0" t="n">
        <v>690.713</v>
      </c>
    </row>
    <row r="228" customFormat="false" ht="15" hidden="false" customHeight="false" outlineLevel="0" collapsed="false">
      <c r="A228" s="0" t="s">
        <v>114</v>
      </c>
      <c r="B228" s="2" t="n">
        <v>46152</v>
      </c>
      <c r="C228" s="0" t="n">
        <v>7.535</v>
      </c>
    </row>
    <row r="229" customFormat="false" ht="15" hidden="false" customHeight="false" outlineLevel="0" collapsed="false">
      <c r="A229" s="0" t="s">
        <v>115</v>
      </c>
      <c r="B229" s="2" t="n">
        <v>46153</v>
      </c>
      <c r="C229" s="0" t="n">
        <v>7.58</v>
      </c>
    </row>
    <row r="230" customFormat="false" ht="15" hidden="false" customHeight="false" outlineLevel="0" collapsed="false">
      <c r="A230" s="0" t="s">
        <v>116</v>
      </c>
      <c r="B230" s="2" t="n">
        <v>46153</v>
      </c>
      <c r="C230" s="0" t="n">
        <v>666.304</v>
      </c>
    </row>
    <row r="231" customFormat="false" ht="15" hidden="false" customHeight="false" outlineLevel="0" collapsed="false">
      <c r="A231" s="0" t="s">
        <v>117</v>
      </c>
      <c r="B231" s="2" t="n">
        <v>46153</v>
      </c>
      <c r="C231" s="0" t="n">
        <v>19.072</v>
      </c>
    </row>
    <row r="232" customFormat="false" ht="15" hidden="false" customHeight="false" outlineLevel="0" collapsed="false">
      <c r="A232" s="0" t="s">
        <v>112</v>
      </c>
      <c r="B232" s="2" t="n">
        <v>46153</v>
      </c>
      <c r="C232" s="0" t="n">
        <v>12.153</v>
      </c>
    </row>
    <row r="233" customFormat="false" ht="15" hidden="false" customHeight="false" outlineLevel="0" collapsed="false">
      <c r="A233" s="0" t="s">
        <v>113</v>
      </c>
      <c r="B233" s="2" t="n">
        <v>46153</v>
      </c>
      <c r="C233" s="0" t="n">
        <v>658.982</v>
      </c>
    </row>
    <row r="234" customFormat="false" ht="15" hidden="false" customHeight="false" outlineLevel="0" collapsed="false">
      <c r="A234" s="0" t="s">
        <v>114</v>
      </c>
      <c r="B234" s="2" t="n">
        <v>46153</v>
      </c>
      <c r="C234" s="0" t="n">
        <v>7.189</v>
      </c>
    </row>
    <row r="235" customFormat="false" ht="15" hidden="false" customHeight="false" outlineLevel="0" collapsed="false">
      <c r="A235" s="0" t="s">
        <v>115</v>
      </c>
      <c r="B235" s="2" t="n">
        <v>46154</v>
      </c>
      <c r="C235" s="0" t="n">
        <v>8.08</v>
      </c>
    </row>
    <row r="236" customFormat="false" ht="15" hidden="false" customHeight="false" outlineLevel="0" collapsed="false">
      <c r="A236" s="0" t="s">
        <v>116</v>
      </c>
      <c r="B236" s="2" t="n">
        <v>46154</v>
      </c>
      <c r="C236" s="0" t="n">
        <v>710.263</v>
      </c>
    </row>
    <row r="237" customFormat="false" ht="15" hidden="false" customHeight="false" outlineLevel="0" collapsed="false">
      <c r="A237" s="0" t="s">
        <v>117</v>
      </c>
      <c r="B237" s="2" t="n">
        <v>46154</v>
      </c>
      <c r="C237" s="0" t="n">
        <v>20.33</v>
      </c>
    </row>
    <row r="238" customFormat="false" ht="15" hidden="false" customHeight="false" outlineLevel="0" collapsed="false">
      <c r="A238" s="0" t="s">
        <v>112</v>
      </c>
      <c r="B238" s="2" t="n">
        <v>46154</v>
      </c>
      <c r="C238" s="0" t="n">
        <v>13.972</v>
      </c>
    </row>
    <row r="239" customFormat="false" ht="15" hidden="false" customHeight="false" outlineLevel="0" collapsed="false">
      <c r="A239" s="0" t="s">
        <v>113</v>
      </c>
      <c r="B239" s="2" t="n">
        <v>46154</v>
      </c>
      <c r="C239" s="0" t="n">
        <v>757.654</v>
      </c>
    </row>
    <row r="240" customFormat="false" ht="15" hidden="false" customHeight="false" outlineLevel="0" collapsed="false">
      <c r="A240" s="0" t="s">
        <v>114</v>
      </c>
      <c r="B240" s="2" t="n">
        <v>46154</v>
      </c>
      <c r="C240" s="0" t="n">
        <v>8.265</v>
      </c>
    </row>
    <row r="241" customFormat="false" ht="15" hidden="false" customHeight="false" outlineLevel="0" collapsed="false">
      <c r="A241" s="0" t="s">
        <v>115</v>
      </c>
      <c r="B241" s="2" t="n">
        <v>46155</v>
      </c>
      <c r="C241" s="0" t="n">
        <v>7.68</v>
      </c>
    </row>
    <row r="242" customFormat="false" ht="15" hidden="false" customHeight="false" outlineLevel="0" collapsed="false">
      <c r="A242" s="0" t="s">
        <v>116</v>
      </c>
      <c r="B242" s="2" t="n">
        <v>46155</v>
      </c>
      <c r="C242" s="0" t="n">
        <v>675.011</v>
      </c>
    </row>
    <row r="243" customFormat="false" ht="15" hidden="false" customHeight="false" outlineLevel="0" collapsed="false">
      <c r="A243" s="0" t="s">
        <v>117</v>
      </c>
      <c r="B243" s="2" t="n">
        <v>46155</v>
      </c>
      <c r="C243" s="0" t="n">
        <v>19.322</v>
      </c>
    </row>
    <row r="244" customFormat="false" ht="15" hidden="false" customHeight="false" outlineLevel="0" collapsed="false">
      <c r="A244" s="0" t="s">
        <v>112</v>
      </c>
      <c r="B244" s="2" t="n">
        <v>46155</v>
      </c>
      <c r="C244" s="0" t="n">
        <v>14.62</v>
      </c>
    </row>
    <row r="245" customFormat="false" ht="15" hidden="false" customHeight="false" outlineLevel="0" collapsed="false">
      <c r="A245" s="0" t="s">
        <v>113</v>
      </c>
      <c r="B245" s="2" t="n">
        <v>46155</v>
      </c>
      <c r="C245" s="0" t="n">
        <v>792.762</v>
      </c>
    </row>
    <row r="246" customFormat="false" ht="15" hidden="false" customHeight="false" outlineLevel="0" collapsed="false">
      <c r="A246" s="0" t="s">
        <v>114</v>
      </c>
      <c r="B246" s="2" t="n">
        <v>46155</v>
      </c>
      <c r="C246" s="0" t="n">
        <v>8.648</v>
      </c>
    </row>
    <row r="247" customFormat="false" ht="15" hidden="false" customHeight="false" outlineLevel="0" collapsed="false">
      <c r="A247" s="0" t="s">
        <v>115</v>
      </c>
      <c r="B247" s="2" t="n">
        <v>46156</v>
      </c>
      <c r="C247" s="0" t="n">
        <v>7.952</v>
      </c>
    </row>
    <row r="248" customFormat="false" ht="15" hidden="false" customHeight="false" outlineLevel="0" collapsed="false">
      <c r="A248" s="0" t="s">
        <v>116</v>
      </c>
      <c r="B248" s="2" t="n">
        <v>46156</v>
      </c>
      <c r="C248" s="0" t="n">
        <v>699.028</v>
      </c>
    </row>
    <row r="249" customFormat="false" ht="15" hidden="false" customHeight="false" outlineLevel="0" collapsed="false">
      <c r="A249" s="0" t="s">
        <v>117</v>
      </c>
      <c r="B249" s="2" t="n">
        <v>46156</v>
      </c>
      <c r="C249" s="0" t="n">
        <v>20.009</v>
      </c>
    </row>
    <row r="250" customFormat="false" ht="15" hidden="false" customHeight="false" outlineLevel="0" collapsed="false">
      <c r="A250" s="0" t="s">
        <v>112</v>
      </c>
      <c r="B250" s="2" t="n">
        <v>46156</v>
      </c>
      <c r="C250" s="0" t="n">
        <v>14.512</v>
      </c>
    </row>
    <row r="251" customFormat="false" ht="15" hidden="false" customHeight="false" outlineLevel="0" collapsed="false">
      <c r="A251" s="0" t="s">
        <v>113</v>
      </c>
      <c r="B251" s="2" t="n">
        <v>46156</v>
      </c>
      <c r="C251" s="0" t="n">
        <v>786.916</v>
      </c>
    </row>
    <row r="252" customFormat="false" ht="15" hidden="false" customHeight="false" outlineLevel="0" collapsed="false">
      <c r="A252" s="0" t="s">
        <v>114</v>
      </c>
      <c r="B252" s="2" t="n">
        <v>46156</v>
      </c>
      <c r="C252" s="0" t="n">
        <v>8.585</v>
      </c>
    </row>
    <row r="253" customFormat="false" ht="15" hidden="false" customHeight="false" outlineLevel="0" collapsed="false">
      <c r="A253" s="0" t="s">
        <v>115</v>
      </c>
      <c r="B253" s="2" t="n">
        <v>46157</v>
      </c>
      <c r="C253" s="0" t="n">
        <v>8.508</v>
      </c>
    </row>
    <row r="254" customFormat="false" ht="15" hidden="false" customHeight="false" outlineLevel="0" collapsed="false">
      <c r="A254" s="0" t="s">
        <v>116</v>
      </c>
      <c r="B254" s="2" t="n">
        <v>46157</v>
      </c>
      <c r="C254" s="0" t="n">
        <v>747.878</v>
      </c>
    </row>
    <row r="255" customFormat="false" ht="15" hidden="false" customHeight="false" outlineLevel="0" collapsed="false">
      <c r="A255" s="0" t="s">
        <v>117</v>
      </c>
      <c r="B255" s="2" t="n">
        <v>46157</v>
      </c>
      <c r="C255" s="0" t="n">
        <v>21.407</v>
      </c>
    </row>
    <row r="256" customFormat="false" ht="15" hidden="false" customHeight="false" outlineLevel="0" collapsed="false">
      <c r="A256" s="0" t="s">
        <v>112</v>
      </c>
      <c r="B256" s="2" t="n">
        <v>46157</v>
      </c>
      <c r="C256" s="0" t="n">
        <v>15.071</v>
      </c>
    </row>
    <row r="257" customFormat="false" ht="15" hidden="false" customHeight="false" outlineLevel="0" collapsed="false">
      <c r="A257" s="0" t="s">
        <v>113</v>
      </c>
      <c r="B257" s="2" t="n">
        <v>46157</v>
      </c>
      <c r="C257" s="0" t="n">
        <v>817.249</v>
      </c>
    </row>
    <row r="258" customFormat="false" ht="15" hidden="false" customHeight="false" outlineLevel="0" collapsed="false">
      <c r="A258" s="0" t="s">
        <v>114</v>
      </c>
      <c r="B258" s="2" t="n">
        <v>46157</v>
      </c>
      <c r="C258" s="0" t="n">
        <v>8.915</v>
      </c>
    </row>
    <row r="259" customFormat="false" ht="15" hidden="false" customHeight="false" outlineLevel="0" collapsed="false">
      <c r="A259" s="0" t="s">
        <v>115</v>
      </c>
      <c r="B259" s="2" t="n">
        <v>46158</v>
      </c>
      <c r="C259" s="0" t="n">
        <v>7.082</v>
      </c>
    </row>
    <row r="260" customFormat="false" ht="15" hidden="false" customHeight="false" outlineLevel="0" collapsed="false">
      <c r="A260" s="0" t="s">
        <v>116</v>
      </c>
      <c r="B260" s="2" t="n">
        <v>46158</v>
      </c>
      <c r="C260" s="0" t="n">
        <v>622.521</v>
      </c>
    </row>
    <row r="261" customFormat="false" ht="15" hidden="false" customHeight="false" outlineLevel="0" collapsed="false">
      <c r="A261" s="0" t="s">
        <v>117</v>
      </c>
      <c r="B261" s="2" t="n">
        <v>46158</v>
      </c>
      <c r="C261" s="0" t="n">
        <v>17.819</v>
      </c>
    </row>
    <row r="262" customFormat="false" ht="15" hidden="false" customHeight="false" outlineLevel="0" collapsed="false">
      <c r="A262" s="0" t="s">
        <v>112</v>
      </c>
      <c r="B262" s="2" t="n">
        <v>46158</v>
      </c>
      <c r="C262" s="0" t="n">
        <v>15.593</v>
      </c>
    </row>
    <row r="263" customFormat="false" ht="15" hidden="false" customHeight="false" outlineLevel="0" collapsed="false">
      <c r="A263" s="0" t="s">
        <v>113</v>
      </c>
      <c r="B263" s="2" t="n">
        <v>46158</v>
      </c>
      <c r="C263" s="0" t="n">
        <v>845.539</v>
      </c>
    </row>
    <row r="264" customFormat="false" ht="15" hidden="false" customHeight="false" outlineLevel="0" collapsed="false">
      <c r="A264" s="0" t="s">
        <v>114</v>
      </c>
      <c r="B264" s="2" t="n">
        <v>46158</v>
      </c>
      <c r="C264" s="0" t="n">
        <v>9.224</v>
      </c>
    </row>
    <row r="265" customFormat="false" ht="15" hidden="false" customHeight="false" outlineLevel="0" collapsed="false">
      <c r="A265" s="0" t="s">
        <v>115</v>
      </c>
      <c r="B265" s="2" t="n">
        <v>46159</v>
      </c>
      <c r="C265" s="0" t="n">
        <v>7.059</v>
      </c>
    </row>
    <row r="266" customFormat="false" ht="15" hidden="false" customHeight="false" outlineLevel="0" collapsed="false">
      <c r="A266" s="0" t="s">
        <v>116</v>
      </c>
      <c r="B266" s="2" t="n">
        <v>46159</v>
      </c>
      <c r="C266" s="0" t="n">
        <v>620.57</v>
      </c>
    </row>
    <row r="267" customFormat="false" ht="15" hidden="false" customHeight="false" outlineLevel="0" collapsed="false">
      <c r="A267" s="0" t="s">
        <v>117</v>
      </c>
      <c r="B267" s="2" t="n">
        <v>46159</v>
      </c>
      <c r="C267" s="0" t="n">
        <v>17.763</v>
      </c>
    </row>
    <row r="268" customFormat="false" ht="15" hidden="false" customHeight="false" outlineLevel="0" collapsed="false">
      <c r="A268" s="0" t="s">
        <v>112</v>
      </c>
      <c r="B268" s="2" t="n">
        <v>46159</v>
      </c>
      <c r="C268" s="0" t="n">
        <v>15.572</v>
      </c>
    </row>
    <row r="269" customFormat="false" ht="15" hidden="false" customHeight="false" outlineLevel="0" collapsed="false">
      <c r="A269" s="0" t="s">
        <v>113</v>
      </c>
      <c r="B269" s="2" t="n">
        <v>46159</v>
      </c>
      <c r="C269" s="0" t="n">
        <v>844.397</v>
      </c>
    </row>
    <row r="270" customFormat="false" ht="15" hidden="false" customHeight="false" outlineLevel="0" collapsed="false">
      <c r="A270" s="0" t="s">
        <v>114</v>
      </c>
      <c r="B270" s="2" t="n">
        <v>46159</v>
      </c>
      <c r="C270" s="0" t="n">
        <v>9.212</v>
      </c>
    </row>
    <row r="271" customFormat="false" ht="15" hidden="false" customHeight="false" outlineLevel="0" collapsed="false">
      <c r="A271" s="0" t="s">
        <v>115</v>
      </c>
      <c r="B271" s="2" t="n">
        <v>46160</v>
      </c>
      <c r="C271" s="0" t="n">
        <v>7.534</v>
      </c>
    </row>
    <row r="272" customFormat="false" ht="15" hidden="false" customHeight="false" outlineLevel="0" collapsed="false">
      <c r="A272" s="0" t="s">
        <v>116</v>
      </c>
      <c r="B272" s="2" t="n">
        <v>46160</v>
      </c>
      <c r="C272" s="0" t="n">
        <v>662.255</v>
      </c>
    </row>
    <row r="273" customFormat="false" ht="15" hidden="false" customHeight="false" outlineLevel="0" collapsed="false">
      <c r="A273" s="0" t="s">
        <v>117</v>
      </c>
      <c r="B273" s="2" t="n">
        <v>46160</v>
      </c>
      <c r="C273" s="0" t="n">
        <v>18.956</v>
      </c>
    </row>
    <row r="274" customFormat="false" ht="15" hidden="false" customHeight="false" outlineLevel="0" collapsed="false">
      <c r="A274" s="0" t="s">
        <v>112</v>
      </c>
      <c r="B274" s="2" t="n">
        <v>46160</v>
      </c>
      <c r="C274" s="0" t="n">
        <v>14.872</v>
      </c>
    </row>
    <row r="275" customFormat="false" ht="15" hidden="false" customHeight="false" outlineLevel="0" collapsed="false">
      <c r="A275" s="0" t="s">
        <v>113</v>
      </c>
      <c r="B275" s="2" t="n">
        <v>46160</v>
      </c>
      <c r="C275" s="0" t="n">
        <v>806.42</v>
      </c>
    </row>
    <row r="276" customFormat="false" ht="15" hidden="false" customHeight="false" outlineLevel="0" collapsed="false">
      <c r="A276" s="0" t="s">
        <v>114</v>
      </c>
      <c r="B276" s="2" t="n">
        <v>46160</v>
      </c>
      <c r="C276" s="0" t="n">
        <v>8.797</v>
      </c>
    </row>
    <row r="277" customFormat="false" ht="15" hidden="false" customHeight="false" outlineLevel="0" collapsed="false">
      <c r="A277" s="0" t="s">
        <v>115</v>
      </c>
      <c r="B277" s="2" t="n">
        <v>46161</v>
      </c>
      <c r="C277" s="0" t="n">
        <v>6.98</v>
      </c>
    </row>
    <row r="278" customFormat="false" ht="15" hidden="false" customHeight="false" outlineLevel="0" collapsed="false">
      <c r="A278" s="0" t="s">
        <v>116</v>
      </c>
      <c r="B278" s="2" t="n">
        <v>46161</v>
      </c>
      <c r="C278" s="0" t="n">
        <v>613.544</v>
      </c>
    </row>
    <row r="279" customFormat="false" ht="15" hidden="false" customHeight="false" outlineLevel="0" collapsed="false">
      <c r="A279" s="0" t="s">
        <v>117</v>
      </c>
      <c r="B279" s="2" t="n">
        <v>46161</v>
      </c>
      <c r="C279" s="0" t="n">
        <v>17.562</v>
      </c>
    </row>
    <row r="280" customFormat="false" ht="15" hidden="false" customHeight="false" outlineLevel="0" collapsed="false">
      <c r="A280" s="0" t="s">
        <v>112</v>
      </c>
      <c r="B280" s="2" t="n">
        <v>46161</v>
      </c>
      <c r="C280" s="0" t="n">
        <v>11.936</v>
      </c>
    </row>
    <row r="281" customFormat="false" ht="15" hidden="false" customHeight="false" outlineLevel="0" collapsed="false">
      <c r="A281" s="0" t="s">
        <v>113</v>
      </c>
      <c r="B281" s="2" t="n">
        <v>46161</v>
      </c>
      <c r="C281" s="0" t="n">
        <v>647.245</v>
      </c>
    </row>
    <row r="282" customFormat="false" ht="15" hidden="false" customHeight="false" outlineLevel="0" collapsed="false">
      <c r="A282" s="0" t="s">
        <v>114</v>
      </c>
      <c r="B282" s="2" t="n">
        <v>46161</v>
      </c>
      <c r="C282" s="0" t="n">
        <v>7.061</v>
      </c>
    </row>
    <row r="283" customFormat="false" ht="15" hidden="false" customHeight="false" outlineLevel="0" collapsed="false">
      <c r="A283" s="0" t="s">
        <v>115</v>
      </c>
      <c r="B283" s="2" t="n">
        <v>46162</v>
      </c>
      <c r="C283" s="0" t="n">
        <v>8.943</v>
      </c>
    </row>
    <row r="284" customFormat="false" ht="15" hidden="false" customHeight="false" outlineLevel="0" collapsed="false">
      <c r="A284" s="0" t="s">
        <v>116</v>
      </c>
      <c r="B284" s="2" t="n">
        <v>46162</v>
      </c>
      <c r="C284" s="0" t="n">
        <v>786.083</v>
      </c>
    </row>
    <row r="285" customFormat="false" ht="15" hidden="false" customHeight="false" outlineLevel="0" collapsed="false">
      <c r="A285" s="0" t="s">
        <v>117</v>
      </c>
      <c r="B285" s="2" t="n">
        <v>46162</v>
      </c>
      <c r="C285" s="0" t="n">
        <v>22.501</v>
      </c>
    </row>
    <row r="286" customFormat="false" ht="15" hidden="false" customHeight="false" outlineLevel="0" collapsed="false">
      <c r="A286" s="0" t="s">
        <v>112</v>
      </c>
      <c r="B286" s="2" t="n">
        <v>46162</v>
      </c>
      <c r="C286" s="0" t="n">
        <v>15.133</v>
      </c>
    </row>
    <row r="287" customFormat="false" ht="15" hidden="false" customHeight="false" outlineLevel="0" collapsed="false">
      <c r="A287" s="0" t="s">
        <v>113</v>
      </c>
      <c r="B287" s="2" t="n">
        <v>46162</v>
      </c>
      <c r="C287" s="0" t="n">
        <v>820.576</v>
      </c>
    </row>
    <row r="288" customFormat="false" ht="15" hidden="false" customHeight="false" outlineLevel="0" collapsed="false">
      <c r="A288" s="0" t="s">
        <v>114</v>
      </c>
      <c r="B288" s="2" t="n">
        <v>46162</v>
      </c>
      <c r="C288" s="0" t="n">
        <v>8.952</v>
      </c>
    </row>
    <row r="289" customFormat="false" ht="15" hidden="false" customHeight="false" outlineLevel="0" collapsed="false">
      <c r="A289" s="0" t="s">
        <v>115</v>
      </c>
      <c r="B289" s="2" t="n">
        <v>46163</v>
      </c>
      <c r="C289" s="0" t="n">
        <v>7.864</v>
      </c>
    </row>
    <row r="290" customFormat="false" ht="15" hidden="false" customHeight="false" outlineLevel="0" collapsed="false">
      <c r="A290" s="0" t="s">
        <v>116</v>
      </c>
      <c r="B290" s="2" t="n">
        <v>46163</v>
      </c>
      <c r="C290" s="0" t="n">
        <v>691.309</v>
      </c>
    </row>
    <row r="291" customFormat="false" ht="15" hidden="false" customHeight="false" outlineLevel="0" collapsed="false">
      <c r="A291" s="0" t="s">
        <v>117</v>
      </c>
      <c r="B291" s="2" t="n">
        <v>46163</v>
      </c>
      <c r="C291" s="0" t="n">
        <v>19.788</v>
      </c>
    </row>
    <row r="292" customFormat="false" ht="15" hidden="false" customHeight="false" outlineLevel="0" collapsed="false">
      <c r="A292" s="0" t="s">
        <v>115</v>
      </c>
      <c r="B292" s="2" t="n">
        <v>46164</v>
      </c>
      <c r="C292" s="0" t="n">
        <v>7.142</v>
      </c>
    </row>
    <row r="293" customFormat="false" ht="15" hidden="false" customHeight="false" outlineLevel="0" collapsed="false">
      <c r="A293" s="0" t="s">
        <v>116</v>
      </c>
      <c r="B293" s="2" t="n">
        <v>46164</v>
      </c>
      <c r="C293" s="0" t="n">
        <v>627.762</v>
      </c>
    </row>
    <row r="294" customFormat="false" ht="15" hidden="false" customHeight="false" outlineLevel="0" collapsed="false">
      <c r="A294" s="0" t="s">
        <v>117</v>
      </c>
      <c r="B294" s="2" t="n">
        <v>46164</v>
      </c>
      <c r="C294" s="0" t="n">
        <v>17.969</v>
      </c>
    </row>
    <row r="295" customFormat="false" ht="15" hidden="false" customHeight="false" outlineLevel="0" collapsed="false">
      <c r="A295" s="0" t="s">
        <v>115</v>
      </c>
      <c r="B295" s="2" t="n">
        <v>46165</v>
      </c>
      <c r="C295" s="0" t="n">
        <v>7.689</v>
      </c>
    </row>
    <row r="296" customFormat="false" ht="15" hidden="false" customHeight="false" outlineLevel="0" collapsed="false">
      <c r="A296" s="0" t="s">
        <v>116</v>
      </c>
      <c r="B296" s="2" t="n">
        <v>46165</v>
      </c>
      <c r="C296" s="0" t="n">
        <v>675.922</v>
      </c>
    </row>
    <row r="297" customFormat="false" ht="15" hidden="false" customHeight="false" outlineLevel="0" collapsed="false">
      <c r="A297" s="0" t="s">
        <v>117</v>
      </c>
      <c r="B297" s="2" t="n">
        <v>46165</v>
      </c>
      <c r="C297" s="0" t="n">
        <v>19.347</v>
      </c>
    </row>
    <row r="298" customFormat="false" ht="15" hidden="false" customHeight="false" outlineLevel="0" collapsed="false">
      <c r="A298" s="0" t="s">
        <v>115</v>
      </c>
      <c r="B298" s="2" t="n">
        <v>46166</v>
      </c>
      <c r="C298" s="0" t="n">
        <v>8.181</v>
      </c>
    </row>
    <row r="299" customFormat="false" ht="15" hidden="false" customHeight="false" outlineLevel="0" collapsed="false">
      <c r="A299" s="0" t="s">
        <v>116</v>
      </c>
      <c r="B299" s="2" t="n">
        <v>46166</v>
      </c>
      <c r="C299" s="0" t="n">
        <v>719.144</v>
      </c>
    </row>
    <row r="300" customFormat="false" ht="15" hidden="false" customHeight="false" outlineLevel="0" collapsed="false">
      <c r="A300" s="0" t="s">
        <v>117</v>
      </c>
      <c r="B300" s="2" t="n">
        <v>46166</v>
      </c>
      <c r="C300" s="0" t="n">
        <v>20.585</v>
      </c>
    </row>
    <row r="301" customFormat="false" ht="15" hidden="false" customHeight="false" outlineLevel="0" collapsed="false">
      <c r="A301" s="0" t="s">
        <v>118</v>
      </c>
      <c r="B301" s="2" t="n">
        <v>46168</v>
      </c>
      <c r="C301" s="0" t="n">
        <v>25.475</v>
      </c>
    </row>
    <row r="302" customFormat="false" ht="15" hidden="false" customHeight="false" outlineLevel="0" collapsed="false">
      <c r="A302" s="0" t="s">
        <v>119</v>
      </c>
      <c r="B302" s="2" t="n">
        <v>46168</v>
      </c>
      <c r="C302" s="0" t="n">
        <v>587.129</v>
      </c>
    </row>
    <row r="303" customFormat="false" ht="15" hidden="false" customHeight="false" outlineLevel="0" collapsed="false">
      <c r="A303" s="0" t="s">
        <v>120</v>
      </c>
      <c r="B303" s="2" t="n">
        <v>46168</v>
      </c>
      <c r="C303" s="0" t="n">
        <v>4.777</v>
      </c>
    </row>
    <row r="304" customFormat="false" ht="15" hidden="false" customHeight="false" outlineLevel="0" collapsed="false">
      <c r="A304" s="0" t="s">
        <v>118</v>
      </c>
      <c r="B304" s="2" t="n">
        <v>46169</v>
      </c>
      <c r="C304" s="0" t="n">
        <v>24.73</v>
      </c>
    </row>
    <row r="305" customFormat="false" ht="15" hidden="false" customHeight="false" outlineLevel="0" collapsed="false">
      <c r="A305" s="0" t="s">
        <v>119</v>
      </c>
      <c r="B305" s="2" t="n">
        <v>46169</v>
      </c>
      <c r="C305" s="0" t="n">
        <v>569.937</v>
      </c>
    </row>
    <row r="306" customFormat="false" ht="15" hidden="false" customHeight="false" outlineLevel="0" collapsed="false">
      <c r="A306" s="0" t="s">
        <v>120</v>
      </c>
      <c r="B306" s="2" t="n">
        <v>46169</v>
      </c>
      <c r="C306" s="0" t="n">
        <v>4.636</v>
      </c>
    </row>
    <row r="307" customFormat="false" ht="15" hidden="false" customHeight="false" outlineLevel="0" collapsed="false">
      <c r="A307" s="0" t="s">
        <v>118</v>
      </c>
      <c r="B307" s="2" t="n">
        <v>46170</v>
      </c>
      <c r="C307" s="0" t="n">
        <v>33.618</v>
      </c>
    </row>
    <row r="308" customFormat="false" ht="15" hidden="false" customHeight="false" outlineLevel="0" collapsed="false">
      <c r="A308" s="0" t="s">
        <v>119</v>
      </c>
      <c r="B308" s="2" t="n">
        <v>46170</v>
      </c>
      <c r="C308" s="0" t="n">
        <v>774.794</v>
      </c>
    </row>
    <row r="309" customFormat="false" ht="15" hidden="false" customHeight="false" outlineLevel="0" collapsed="false">
      <c r="A309" s="0" t="s">
        <v>120</v>
      </c>
      <c r="B309" s="2" t="n">
        <v>46170</v>
      </c>
      <c r="C309" s="0" t="n">
        <v>6.304</v>
      </c>
    </row>
    <row r="310" customFormat="false" ht="15" hidden="false" customHeight="false" outlineLevel="0" collapsed="false">
      <c r="A310" s="0" t="s">
        <v>118</v>
      </c>
      <c r="B310" s="2" t="n">
        <v>46171</v>
      </c>
      <c r="C310" s="0" t="n">
        <v>22.662</v>
      </c>
    </row>
    <row r="311" customFormat="false" ht="15" hidden="false" customHeight="false" outlineLevel="0" collapsed="false">
      <c r="A311" s="0" t="s">
        <v>119</v>
      </c>
      <c r="B311" s="2" t="n">
        <v>46171</v>
      </c>
      <c r="C311" s="0" t="n">
        <v>522.279</v>
      </c>
    </row>
    <row r="312" customFormat="false" ht="15" hidden="false" customHeight="false" outlineLevel="0" collapsed="false">
      <c r="A312" s="0" t="s">
        <v>120</v>
      </c>
      <c r="B312" s="2" t="n">
        <v>46171</v>
      </c>
      <c r="C312" s="0" t="n">
        <v>4.249</v>
      </c>
    </row>
    <row r="313" customFormat="false" ht="15" hidden="false" customHeight="false" outlineLevel="0" collapsed="false">
      <c r="A313" s="0" t="s">
        <v>118</v>
      </c>
      <c r="B313" s="2" t="n">
        <v>46172</v>
      </c>
      <c r="C313" s="0" t="n">
        <v>25.259</v>
      </c>
    </row>
    <row r="314" customFormat="false" ht="15" hidden="false" customHeight="false" outlineLevel="0" collapsed="false">
      <c r="A314" s="0" t="s">
        <v>119</v>
      </c>
      <c r="B314" s="2" t="n">
        <v>46172</v>
      </c>
      <c r="C314" s="0" t="n">
        <v>582.147</v>
      </c>
    </row>
    <row r="315" customFormat="false" ht="15" hidden="false" customHeight="false" outlineLevel="0" collapsed="false">
      <c r="A315" s="0" t="s">
        <v>120</v>
      </c>
      <c r="B315" s="2" t="n">
        <v>46172</v>
      </c>
      <c r="C315" s="0" t="n">
        <v>4.736</v>
      </c>
    </row>
    <row r="316" customFormat="false" ht="15" hidden="false" customHeight="false" outlineLevel="0" collapsed="false">
      <c r="A316" s="0" t="s">
        <v>118</v>
      </c>
      <c r="B316" s="2" t="n">
        <v>46173</v>
      </c>
      <c r="C316" s="0" t="n">
        <v>25.583</v>
      </c>
    </row>
    <row r="317" customFormat="false" ht="15" hidden="false" customHeight="false" outlineLevel="0" collapsed="false">
      <c r="A317" s="0" t="s">
        <v>119</v>
      </c>
      <c r="B317" s="2" t="n">
        <v>46173</v>
      </c>
      <c r="C317" s="0" t="n">
        <v>589.614</v>
      </c>
    </row>
    <row r="318" customFormat="false" ht="15" hidden="false" customHeight="false" outlineLevel="0" collapsed="false">
      <c r="A318" s="0" t="s">
        <v>120</v>
      </c>
      <c r="B318" s="2" t="n">
        <v>46173</v>
      </c>
      <c r="C318" s="0" t="n">
        <v>4.797</v>
      </c>
    </row>
    <row r="319" customFormat="false" ht="15" hidden="false" customHeight="false" outlineLevel="0" collapsed="false">
      <c r="A319" s="0" t="s">
        <v>118</v>
      </c>
      <c r="B319" s="2" t="n">
        <v>46174</v>
      </c>
      <c r="C319" s="0" t="n">
        <v>28.963</v>
      </c>
    </row>
    <row r="320" customFormat="false" ht="15" hidden="false" customHeight="false" outlineLevel="0" collapsed="false">
      <c r="A320" s="0" t="s">
        <v>119</v>
      </c>
      <c r="B320" s="2" t="n">
        <v>46174</v>
      </c>
      <c r="C320" s="0" t="n">
        <v>667.495</v>
      </c>
    </row>
    <row r="321" customFormat="false" ht="15" hidden="false" customHeight="false" outlineLevel="0" collapsed="false">
      <c r="A321" s="0" t="s">
        <v>120</v>
      </c>
      <c r="B321" s="2" t="n">
        <v>46174</v>
      </c>
      <c r="C321" s="0" t="n">
        <v>5.43</v>
      </c>
    </row>
    <row r="322" customFormat="false" ht="15" hidden="false" customHeight="false" outlineLevel="0" collapsed="false">
      <c r="A322" s="0" t="s">
        <v>118</v>
      </c>
      <c r="B322" s="2" t="n">
        <v>46175</v>
      </c>
      <c r="C322" s="0" t="n">
        <v>28.49</v>
      </c>
    </row>
    <row r="323" customFormat="false" ht="15" hidden="false" customHeight="false" outlineLevel="0" collapsed="false">
      <c r="A323" s="0" t="s">
        <v>119</v>
      </c>
      <c r="B323" s="2" t="n">
        <v>46175</v>
      </c>
      <c r="C323" s="0" t="n">
        <v>656.602</v>
      </c>
    </row>
    <row r="324" customFormat="false" ht="15" hidden="false" customHeight="false" outlineLevel="0" collapsed="false">
      <c r="A324" s="0" t="s">
        <v>120</v>
      </c>
      <c r="B324" s="2" t="n">
        <v>46175</v>
      </c>
      <c r="C324" s="0" t="n">
        <v>5.342</v>
      </c>
    </row>
    <row r="325" customFormat="false" ht="15" hidden="false" customHeight="false" outlineLevel="0" collapsed="false">
      <c r="A325" s="0" t="s">
        <v>118</v>
      </c>
      <c r="B325" s="2" t="n">
        <v>46176</v>
      </c>
      <c r="C325" s="0" t="n">
        <v>29.355</v>
      </c>
    </row>
    <row r="326" customFormat="false" ht="15" hidden="false" customHeight="false" outlineLevel="0" collapsed="false">
      <c r="A326" s="0" t="s">
        <v>119</v>
      </c>
      <c r="B326" s="2" t="n">
        <v>46176</v>
      </c>
      <c r="C326" s="0" t="n">
        <v>676.549</v>
      </c>
    </row>
    <row r="327" customFormat="false" ht="15" hidden="false" customHeight="false" outlineLevel="0" collapsed="false">
      <c r="A327" s="0" t="s">
        <v>120</v>
      </c>
      <c r="B327" s="2" t="n">
        <v>46176</v>
      </c>
      <c r="C327" s="0" t="n">
        <v>5.504</v>
      </c>
    </row>
    <row r="328" customFormat="false" ht="15" hidden="false" customHeight="false" outlineLevel="0" collapsed="false">
      <c r="A328" s="0" t="s">
        <v>118</v>
      </c>
      <c r="B328" s="2" t="n">
        <v>46178</v>
      </c>
      <c r="C328" s="0" t="n">
        <v>27.81</v>
      </c>
    </row>
    <row r="329" customFormat="false" ht="15" hidden="false" customHeight="false" outlineLevel="0" collapsed="false">
      <c r="A329" s="0" t="s">
        <v>119</v>
      </c>
      <c r="B329" s="2" t="n">
        <v>46178</v>
      </c>
      <c r="C329" s="0" t="n">
        <v>640.942</v>
      </c>
    </row>
    <row r="330" customFormat="false" ht="15" hidden="false" customHeight="false" outlineLevel="0" collapsed="false">
      <c r="A330" s="0" t="s">
        <v>120</v>
      </c>
      <c r="B330" s="2" t="n">
        <v>46178</v>
      </c>
      <c r="C330" s="0" t="n">
        <v>5.215</v>
      </c>
    </row>
    <row r="331" customFormat="false" ht="15" hidden="false" customHeight="false" outlineLevel="0" collapsed="false">
      <c r="A331" s="0" t="s">
        <v>118</v>
      </c>
      <c r="B331" s="2" t="n">
        <v>46179</v>
      </c>
      <c r="C331" s="0" t="n">
        <v>29.173</v>
      </c>
    </row>
    <row r="332" customFormat="false" ht="15" hidden="false" customHeight="false" outlineLevel="0" collapsed="false">
      <c r="A332" s="0" t="s">
        <v>119</v>
      </c>
      <c r="B332" s="2" t="n">
        <v>46179</v>
      </c>
      <c r="C332" s="0" t="n">
        <v>672.331</v>
      </c>
    </row>
    <row r="333" customFormat="false" ht="15" hidden="false" customHeight="false" outlineLevel="0" collapsed="false">
      <c r="A333" s="0" t="s">
        <v>120</v>
      </c>
      <c r="B333" s="2" t="n">
        <v>46179</v>
      </c>
      <c r="C333" s="0" t="n">
        <v>5.47</v>
      </c>
    </row>
    <row r="334" customFormat="false" ht="15" hidden="false" customHeight="false" outlineLevel="0" collapsed="false">
      <c r="A334" s="0" t="s">
        <v>118</v>
      </c>
      <c r="B334" s="2" t="n">
        <v>46180</v>
      </c>
      <c r="C334" s="0" t="n">
        <v>25.712</v>
      </c>
    </row>
    <row r="335" customFormat="false" ht="15" hidden="false" customHeight="false" outlineLevel="0" collapsed="false">
      <c r="A335" s="0" t="s">
        <v>119</v>
      </c>
      <c r="B335" s="2" t="n">
        <v>46180</v>
      </c>
      <c r="C335" s="0" t="n">
        <v>592.587</v>
      </c>
    </row>
    <row r="336" customFormat="false" ht="15" hidden="false" customHeight="false" outlineLevel="0" collapsed="false">
      <c r="A336" s="0" t="s">
        <v>120</v>
      </c>
      <c r="B336" s="2" t="n">
        <v>46180</v>
      </c>
      <c r="C336" s="0" t="n">
        <v>4.821</v>
      </c>
    </row>
    <row r="337" customFormat="false" ht="15" hidden="false" customHeight="false" outlineLevel="0" collapsed="false">
      <c r="A337" s="0" t="s">
        <v>118</v>
      </c>
      <c r="B337" s="2" t="n">
        <v>46181</v>
      </c>
      <c r="C337" s="0" t="n">
        <v>30.835</v>
      </c>
    </row>
    <row r="338" customFormat="false" ht="15" hidden="false" customHeight="false" outlineLevel="0" collapsed="false">
      <c r="A338" s="0" t="s">
        <v>119</v>
      </c>
      <c r="B338" s="2" t="n">
        <v>46181</v>
      </c>
      <c r="C338" s="0" t="n">
        <v>710.649</v>
      </c>
    </row>
    <row r="339" customFormat="false" ht="15" hidden="false" customHeight="false" outlineLevel="0" collapsed="false">
      <c r="A339" s="0" t="s">
        <v>120</v>
      </c>
      <c r="B339" s="2" t="n">
        <v>46181</v>
      </c>
      <c r="C339" s="0" t="n">
        <v>5.781</v>
      </c>
    </row>
    <row r="340" customFormat="false" ht="15" hidden="false" customHeight="false" outlineLevel="0" collapsed="false">
      <c r="A340" s="0" t="s">
        <v>118</v>
      </c>
      <c r="B340" s="2" t="n">
        <v>46182</v>
      </c>
      <c r="C340" s="0" t="n">
        <v>27.802</v>
      </c>
    </row>
    <row r="341" customFormat="false" ht="15" hidden="false" customHeight="false" outlineLevel="0" collapsed="false">
      <c r="A341" s="0" t="s">
        <v>119</v>
      </c>
      <c r="B341" s="2" t="n">
        <v>46182</v>
      </c>
      <c r="C341" s="0" t="n">
        <v>640.754</v>
      </c>
    </row>
    <row r="342" customFormat="false" ht="15" hidden="false" customHeight="false" outlineLevel="0" collapsed="false">
      <c r="A342" s="0" t="s">
        <v>120</v>
      </c>
      <c r="B342" s="2" t="n">
        <v>46182</v>
      </c>
      <c r="C342" s="0" t="n">
        <v>5.213</v>
      </c>
    </row>
    <row r="343" customFormat="false" ht="15" hidden="false" customHeight="false" outlineLevel="0" collapsed="false">
      <c r="A343" s="0" t="s">
        <v>118</v>
      </c>
      <c r="B343" s="2" t="n">
        <v>46183</v>
      </c>
      <c r="C343" s="0" t="n">
        <v>25.203</v>
      </c>
    </row>
    <row r="344" customFormat="false" ht="15" hidden="false" customHeight="false" outlineLevel="0" collapsed="false">
      <c r="A344" s="0" t="s">
        <v>119</v>
      </c>
      <c r="B344" s="2" t="n">
        <v>46183</v>
      </c>
      <c r="C344" s="0" t="n">
        <v>580.844</v>
      </c>
    </row>
    <row r="345" customFormat="false" ht="15" hidden="false" customHeight="false" outlineLevel="0" collapsed="false">
      <c r="A345" s="0" t="s">
        <v>120</v>
      </c>
      <c r="B345" s="2" t="n">
        <v>46183</v>
      </c>
      <c r="C345" s="0" t="n">
        <v>4.726</v>
      </c>
    </row>
    <row r="346" customFormat="false" ht="15" hidden="false" customHeight="false" outlineLevel="0" collapsed="false">
      <c r="A346" s="0" t="s">
        <v>118</v>
      </c>
      <c r="B346" s="2" t="n">
        <v>46184</v>
      </c>
      <c r="C346" s="0" t="n">
        <v>25.36</v>
      </c>
    </row>
    <row r="347" customFormat="false" ht="15" hidden="false" customHeight="false" outlineLevel="0" collapsed="false">
      <c r="A347" s="0" t="s">
        <v>119</v>
      </c>
      <c r="B347" s="2" t="n">
        <v>46184</v>
      </c>
      <c r="C347" s="0" t="n">
        <v>584.469</v>
      </c>
    </row>
    <row r="348" customFormat="false" ht="15" hidden="false" customHeight="false" outlineLevel="0" collapsed="false">
      <c r="A348" s="0" t="s">
        <v>120</v>
      </c>
      <c r="B348" s="2" t="n">
        <v>46184</v>
      </c>
      <c r="C348" s="0" t="n">
        <v>4.755</v>
      </c>
    </row>
    <row r="349" customFormat="false" ht="15" hidden="false" customHeight="false" outlineLevel="0" collapsed="false">
      <c r="A349" s="0" t="s">
        <v>118</v>
      </c>
      <c r="B349" s="2" t="n">
        <v>46185</v>
      </c>
      <c r="C349" s="0" t="n">
        <v>25.79</v>
      </c>
    </row>
    <row r="350" customFormat="false" ht="15" hidden="false" customHeight="false" outlineLevel="0" collapsed="false">
      <c r="A350" s="0" t="s">
        <v>119</v>
      </c>
      <c r="B350" s="2" t="n">
        <v>46185</v>
      </c>
      <c r="C350" s="0" t="n">
        <v>594.385</v>
      </c>
    </row>
    <row r="351" customFormat="false" ht="15" hidden="false" customHeight="false" outlineLevel="0" collapsed="false">
      <c r="A351" s="0" t="s">
        <v>120</v>
      </c>
      <c r="B351" s="2" t="n">
        <v>46185</v>
      </c>
      <c r="C351" s="0" t="n">
        <v>4.835</v>
      </c>
    </row>
    <row r="352" customFormat="false" ht="15" hidden="false" customHeight="false" outlineLevel="0" collapsed="false">
      <c r="A352" s="0" t="s">
        <v>118</v>
      </c>
      <c r="B352" s="2" t="n">
        <v>46186</v>
      </c>
      <c r="C352" s="0" t="n">
        <v>25.34</v>
      </c>
    </row>
    <row r="353" customFormat="false" ht="15" hidden="false" customHeight="false" outlineLevel="0" collapsed="false">
      <c r="A353" s="0" t="s">
        <v>119</v>
      </c>
      <c r="B353" s="2" t="n">
        <v>46186</v>
      </c>
      <c r="C353" s="0" t="n">
        <v>584.007</v>
      </c>
    </row>
    <row r="354" customFormat="false" ht="15" hidden="false" customHeight="false" outlineLevel="0" collapsed="false">
      <c r="A354" s="0" t="s">
        <v>120</v>
      </c>
      <c r="B354" s="2" t="n">
        <v>46186</v>
      </c>
      <c r="C354" s="0" t="n">
        <v>4.751</v>
      </c>
    </row>
    <row r="355" customFormat="false" ht="15" hidden="false" customHeight="false" outlineLevel="0" collapsed="false">
      <c r="A355" s="0" t="s">
        <v>118</v>
      </c>
      <c r="B355" s="2" t="n">
        <v>46187</v>
      </c>
      <c r="C355" s="0" t="n">
        <v>24.84</v>
      </c>
    </row>
    <row r="356" customFormat="false" ht="15" hidden="false" customHeight="false" outlineLevel="0" collapsed="false">
      <c r="A356" s="0" t="s">
        <v>119</v>
      </c>
      <c r="B356" s="2" t="n">
        <v>46187</v>
      </c>
      <c r="C356" s="0" t="n">
        <v>572.486</v>
      </c>
    </row>
    <row r="357" customFormat="false" ht="15" hidden="false" customHeight="false" outlineLevel="0" collapsed="false">
      <c r="A357" s="0" t="s">
        <v>120</v>
      </c>
      <c r="B357" s="2" t="n">
        <v>46187</v>
      </c>
      <c r="C357" s="0" t="n">
        <v>4.658</v>
      </c>
    </row>
    <row r="358" customFormat="false" ht="15" hidden="false" customHeight="false" outlineLevel="0" collapsed="false">
      <c r="A358" s="0" t="s">
        <v>121</v>
      </c>
      <c r="B358" s="2" t="n">
        <v>46188</v>
      </c>
      <c r="C358" s="0" t="n">
        <v>4.043</v>
      </c>
    </row>
    <row r="359" customFormat="false" ht="15" hidden="false" customHeight="false" outlineLevel="0" collapsed="false">
      <c r="A359" s="0" t="s">
        <v>122</v>
      </c>
      <c r="B359" s="2" t="n">
        <v>46188</v>
      </c>
      <c r="C359" s="0" t="n">
        <v>34.453</v>
      </c>
    </row>
    <row r="360" customFormat="false" ht="15" hidden="false" customHeight="false" outlineLevel="0" collapsed="false">
      <c r="A360" s="0" t="s">
        <v>123</v>
      </c>
      <c r="B360" s="2" t="n">
        <v>46189</v>
      </c>
      <c r="C360" s="0" t="n">
        <v>27.485</v>
      </c>
    </row>
    <row r="361" customFormat="false" ht="15" hidden="false" customHeight="false" outlineLevel="0" collapsed="false">
      <c r="A361" s="0" t="s">
        <v>121</v>
      </c>
      <c r="B361" s="2" t="n">
        <v>46189</v>
      </c>
      <c r="C361" s="0" t="n">
        <v>3.731</v>
      </c>
    </row>
    <row r="362" customFormat="false" ht="15" hidden="false" customHeight="false" outlineLevel="0" collapsed="false">
      <c r="A362" s="0" t="s">
        <v>124</v>
      </c>
      <c r="B362" s="2" t="n">
        <v>46189</v>
      </c>
      <c r="C362" s="0" t="n">
        <v>95.388</v>
      </c>
    </row>
    <row r="363" customFormat="false" ht="15" hidden="false" customHeight="false" outlineLevel="0" collapsed="false">
      <c r="A363" s="0" t="s">
        <v>122</v>
      </c>
      <c r="B363" s="2" t="n">
        <v>46189</v>
      </c>
      <c r="C363" s="0" t="n">
        <v>31.795</v>
      </c>
    </row>
    <row r="364" customFormat="false" ht="15" hidden="false" customHeight="false" outlineLevel="0" collapsed="false">
      <c r="A364" s="0" t="s">
        <v>121</v>
      </c>
      <c r="B364" s="2" t="n">
        <v>46190</v>
      </c>
      <c r="C364" s="0" t="n">
        <v>3.962</v>
      </c>
    </row>
    <row r="365" customFormat="false" ht="15" hidden="false" customHeight="false" outlineLevel="0" collapsed="false">
      <c r="A365" s="0" t="s">
        <v>122</v>
      </c>
      <c r="B365" s="2" t="n">
        <v>46190</v>
      </c>
      <c r="C365" s="0" t="n">
        <v>33.762</v>
      </c>
    </row>
    <row r="366" customFormat="false" ht="15" hidden="false" customHeight="false" outlineLevel="0" collapsed="false">
      <c r="A366" s="0" t="s">
        <v>121</v>
      </c>
      <c r="B366" s="2" t="n">
        <v>46191</v>
      </c>
      <c r="C366" s="0" t="n">
        <v>4.342</v>
      </c>
    </row>
    <row r="367" customFormat="false" ht="15" hidden="false" customHeight="false" outlineLevel="0" collapsed="false">
      <c r="A367" s="0" t="s">
        <v>122</v>
      </c>
      <c r="B367" s="2" t="n">
        <v>46191</v>
      </c>
      <c r="C367" s="0" t="n">
        <v>37.004</v>
      </c>
    </row>
    <row r="368" customFormat="false" ht="15" hidden="false" customHeight="false" outlineLevel="0" collapsed="false">
      <c r="A368" s="0" t="s">
        <v>123</v>
      </c>
      <c r="B368" s="2" t="n">
        <v>46192</v>
      </c>
      <c r="C368" s="0" t="n">
        <v>31.05</v>
      </c>
    </row>
    <row r="369" customFormat="false" ht="15" hidden="false" customHeight="false" outlineLevel="0" collapsed="false">
      <c r="A369" s="0" t="s">
        <v>121</v>
      </c>
      <c r="B369" s="2" t="n">
        <v>46192</v>
      </c>
      <c r="C369" s="0" t="n">
        <v>3.343</v>
      </c>
    </row>
    <row r="370" customFormat="false" ht="15" hidden="false" customHeight="false" outlineLevel="0" collapsed="false">
      <c r="A370" s="0" t="s">
        <v>125</v>
      </c>
      <c r="B370" s="2" t="n">
        <v>46192</v>
      </c>
      <c r="C370" s="0" t="n">
        <v>4.141</v>
      </c>
    </row>
    <row r="371" customFormat="false" ht="15" hidden="false" customHeight="false" outlineLevel="0" collapsed="false">
      <c r="A371" s="0" t="s">
        <v>124</v>
      </c>
      <c r="B371" s="2" t="n">
        <v>46192</v>
      </c>
      <c r="C371" s="0" t="n">
        <v>107.761</v>
      </c>
    </row>
    <row r="372" customFormat="false" ht="15" hidden="false" customHeight="false" outlineLevel="0" collapsed="false">
      <c r="A372" s="0" t="s">
        <v>122</v>
      </c>
      <c r="B372" s="2" t="n">
        <v>46192</v>
      </c>
      <c r="C372" s="0" t="n">
        <v>28.484</v>
      </c>
    </row>
    <row r="373" customFormat="false" ht="15" hidden="false" customHeight="false" outlineLevel="0" collapsed="false">
      <c r="A373" s="0" t="s">
        <v>126</v>
      </c>
      <c r="B373" s="2" t="n">
        <v>46192</v>
      </c>
      <c r="C373" s="0" t="n">
        <v>33.132</v>
      </c>
    </row>
    <row r="374" customFormat="false" ht="15" hidden="false" customHeight="false" outlineLevel="0" collapsed="false">
      <c r="A374" s="0" t="s">
        <v>123</v>
      </c>
      <c r="B374" s="2" t="n">
        <v>46193</v>
      </c>
      <c r="C374" s="0" t="n">
        <v>28.025</v>
      </c>
    </row>
    <row r="375" customFormat="false" ht="15" hidden="false" customHeight="false" outlineLevel="0" collapsed="false">
      <c r="A375" s="0" t="s">
        <v>121</v>
      </c>
      <c r="B375" s="2" t="n">
        <v>46193</v>
      </c>
      <c r="C375" s="0" t="n">
        <v>4.196</v>
      </c>
    </row>
    <row r="376" customFormat="false" ht="15" hidden="false" customHeight="false" outlineLevel="0" collapsed="false">
      <c r="A376" s="0" t="s">
        <v>125</v>
      </c>
      <c r="B376" s="2" t="n">
        <v>46193</v>
      </c>
      <c r="C376" s="0" t="n">
        <v>5.201</v>
      </c>
    </row>
    <row r="377" customFormat="false" ht="15" hidden="false" customHeight="false" outlineLevel="0" collapsed="false">
      <c r="A377" s="0" t="s">
        <v>124</v>
      </c>
      <c r="B377" s="2" t="n">
        <v>46193</v>
      </c>
      <c r="C377" s="0" t="n">
        <v>97.266</v>
      </c>
    </row>
    <row r="378" customFormat="false" ht="15" hidden="false" customHeight="false" outlineLevel="0" collapsed="false">
      <c r="A378" s="0" t="s">
        <v>122</v>
      </c>
      <c r="B378" s="2" t="n">
        <v>46193</v>
      </c>
      <c r="C378" s="0" t="n">
        <v>35.758</v>
      </c>
    </row>
    <row r="379" customFormat="false" ht="15" hidden="false" customHeight="false" outlineLevel="0" collapsed="false">
      <c r="A379" s="0" t="s">
        <v>126</v>
      </c>
      <c r="B379" s="2" t="n">
        <v>46193</v>
      </c>
      <c r="C379" s="0" t="n">
        <v>41.608</v>
      </c>
    </row>
    <row r="380" customFormat="false" ht="15" hidden="false" customHeight="false" outlineLevel="0" collapsed="false">
      <c r="A380" s="0" t="s">
        <v>121</v>
      </c>
      <c r="B380" s="2" t="n">
        <v>46195</v>
      </c>
      <c r="C380" s="0" t="n">
        <v>4.074</v>
      </c>
    </row>
    <row r="381" customFormat="false" ht="15" hidden="false" customHeight="false" outlineLevel="0" collapsed="false">
      <c r="A381" s="0" t="s">
        <v>125</v>
      </c>
      <c r="B381" s="2" t="n">
        <v>46195</v>
      </c>
      <c r="C381" s="0" t="n">
        <v>4.75</v>
      </c>
    </row>
    <row r="382" customFormat="false" ht="15" hidden="false" customHeight="false" outlineLevel="0" collapsed="false">
      <c r="A382" s="0" t="s">
        <v>127</v>
      </c>
      <c r="B382" s="2" t="n">
        <v>46195</v>
      </c>
      <c r="C382" s="0" t="n">
        <v>597.539</v>
      </c>
    </row>
    <row r="383" customFormat="false" ht="15" hidden="false" customHeight="false" outlineLevel="0" collapsed="false">
      <c r="A383" s="0" t="s">
        <v>128</v>
      </c>
      <c r="B383" s="2" t="n">
        <v>46195</v>
      </c>
      <c r="C383" s="0" t="n">
        <v>566.897</v>
      </c>
    </row>
    <row r="384" customFormat="false" ht="15" hidden="false" customHeight="false" outlineLevel="0" collapsed="false">
      <c r="A384" s="0" t="s">
        <v>122</v>
      </c>
      <c r="B384" s="2" t="n">
        <v>46195</v>
      </c>
      <c r="C384" s="0" t="n">
        <v>34.723</v>
      </c>
    </row>
    <row r="385" customFormat="false" ht="15" hidden="false" customHeight="false" outlineLevel="0" collapsed="false">
      <c r="A385" s="0" t="s">
        <v>126</v>
      </c>
      <c r="B385" s="2" t="n">
        <v>46195</v>
      </c>
      <c r="C385" s="0" t="n">
        <v>37.997</v>
      </c>
    </row>
    <row r="386" customFormat="false" ht="15" hidden="false" customHeight="false" outlineLevel="0" collapsed="false">
      <c r="A386" s="0" t="s">
        <v>121</v>
      </c>
      <c r="B386" s="2" t="n">
        <v>46196</v>
      </c>
      <c r="C386" s="0" t="n">
        <v>3.823</v>
      </c>
    </row>
    <row r="387" customFormat="false" ht="15" hidden="false" customHeight="false" outlineLevel="0" collapsed="false">
      <c r="A387" s="0" t="s">
        <v>125</v>
      </c>
      <c r="B387" s="2" t="n">
        <v>46196</v>
      </c>
      <c r="C387" s="0" t="n">
        <v>4.035</v>
      </c>
    </row>
    <row r="388" customFormat="false" ht="15" hidden="false" customHeight="false" outlineLevel="0" collapsed="false">
      <c r="A388" s="0" t="s">
        <v>127</v>
      </c>
      <c r="B388" s="2" t="n">
        <v>46196</v>
      </c>
      <c r="C388" s="0" t="n">
        <v>507.656</v>
      </c>
    </row>
    <row r="389" customFormat="false" ht="15" hidden="false" customHeight="false" outlineLevel="0" collapsed="false">
      <c r="A389" s="0" t="s">
        <v>128</v>
      </c>
      <c r="B389" s="2" t="n">
        <v>46196</v>
      </c>
      <c r="C389" s="0" t="n">
        <v>531.785</v>
      </c>
    </row>
    <row r="390" customFormat="false" ht="15" hidden="false" customHeight="false" outlineLevel="0" collapsed="false">
      <c r="A390" s="0" t="s">
        <v>122</v>
      </c>
      <c r="B390" s="2" t="n">
        <v>46196</v>
      </c>
      <c r="C390" s="0" t="n">
        <v>32.571</v>
      </c>
    </row>
    <row r="391" customFormat="false" ht="15" hidden="false" customHeight="false" outlineLevel="0" collapsed="false">
      <c r="A391" s="0" t="s">
        <v>126</v>
      </c>
      <c r="B391" s="2" t="n">
        <v>46196</v>
      </c>
      <c r="C391" s="0" t="n">
        <v>32.282</v>
      </c>
    </row>
    <row r="392" customFormat="false" ht="15" hidden="false" customHeight="false" outlineLevel="0" collapsed="false">
      <c r="A392" s="0" t="s">
        <v>123</v>
      </c>
      <c r="B392" s="2" t="n">
        <v>46197</v>
      </c>
      <c r="C392" s="0" t="n">
        <v>24.262</v>
      </c>
    </row>
    <row r="393" customFormat="false" ht="15" hidden="false" customHeight="false" outlineLevel="0" collapsed="false">
      <c r="A393" s="0" t="s">
        <v>121</v>
      </c>
      <c r="B393" s="2" t="n">
        <v>46197</v>
      </c>
      <c r="C393" s="0" t="n">
        <v>3.598</v>
      </c>
    </row>
    <row r="394" customFormat="false" ht="15" hidden="false" customHeight="false" outlineLevel="0" collapsed="false">
      <c r="A394" s="0" t="s">
        <v>125</v>
      </c>
      <c r="B394" s="2" t="n">
        <v>46197</v>
      </c>
      <c r="C394" s="0" t="n">
        <v>4.038</v>
      </c>
    </row>
    <row r="395" customFormat="false" ht="15" hidden="false" customHeight="false" outlineLevel="0" collapsed="false">
      <c r="A395" s="0" t="s">
        <v>124</v>
      </c>
      <c r="B395" s="2" t="n">
        <v>46197</v>
      </c>
      <c r="C395" s="0" t="n">
        <v>84.203</v>
      </c>
    </row>
    <row r="396" customFormat="false" ht="15" hidden="false" customHeight="false" outlineLevel="0" collapsed="false">
      <c r="A396" s="0" t="s">
        <v>127</v>
      </c>
      <c r="B396" s="2" t="n">
        <v>46197</v>
      </c>
      <c r="C396" s="0" t="n">
        <v>507.976</v>
      </c>
    </row>
    <row r="397" customFormat="false" ht="15" hidden="false" customHeight="false" outlineLevel="0" collapsed="false">
      <c r="A397" s="0" t="s">
        <v>128</v>
      </c>
      <c r="B397" s="2" t="n">
        <v>46197</v>
      </c>
      <c r="C397" s="0" t="n">
        <v>500.628</v>
      </c>
    </row>
    <row r="398" customFormat="false" ht="15" hidden="false" customHeight="false" outlineLevel="0" collapsed="false">
      <c r="A398" s="0" t="s">
        <v>122</v>
      </c>
      <c r="B398" s="2" t="n">
        <v>46197</v>
      </c>
      <c r="C398" s="0" t="n">
        <v>30.664</v>
      </c>
    </row>
    <row r="399" customFormat="false" ht="15" hidden="false" customHeight="false" outlineLevel="0" collapsed="false">
      <c r="A399" s="0" t="s">
        <v>126</v>
      </c>
      <c r="B399" s="2" t="n">
        <v>46197</v>
      </c>
      <c r="C399" s="0" t="n">
        <v>32.302</v>
      </c>
    </row>
    <row r="400" customFormat="false" ht="15" hidden="false" customHeight="false" outlineLevel="0" collapsed="false">
      <c r="A400" s="0" t="s">
        <v>123</v>
      </c>
      <c r="B400" s="2" t="n">
        <v>46198</v>
      </c>
      <c r="C400" s="0" t="n">
        <v>25.727</v>
      </c>
    </row>
    <row r="401" customFormat="false" ht="15" hidden="false" customHeight="false" outlineLevel="0" collapsed="false">
      <c r="A401" s="0" t="s">
        <v>121</v>
      </c>
      <c r="B401" s="2" t="n">
        <v>46198</v>
      </c>
      <c r="C401" s="0" t="n">
        <v>4.572</v>
      </c>
    </row>
    <row r="402" customFormat="false" ht="15" hidden="false" customHeight="false" outlineLevel="0" collapsed="false">
      <c r="A402" s="0" t="s">
        <v>125</v>
      </c>
      <c r="B402" s="2" t="n">
        <v>46198</v>
      </c>
      <c r="C402" s="0" t="n">
        <v>4.921</v>
      </c>
    </row>
    <row r="403" customFormat="false" ht="15" hidden="false" customHeight="false" outlineLevel="0" collapsed="false">
      <c r="A403" s="0" t="s">
        <v>124</v>
      </c>
      <c r="B403" s="2" t="n">
        <v>46198</v>
      </c>
      <c r="C403" s="0" t="n">
        <v>89.286</v>
      </c>
    </row>
    <row r="404" customFormat="false" ht="15" hidden="false" customHeight="false" outlineLevel="0" collapsed="false">
      <c r="A404" s="0" t="s">
        <v>127</v>
      </c>
      <c r="B404" s="2" t="n">
        <v>46198</v>
      </c>
      <c r="C404" s="0" t="n">
        <v>619.019</v>
      </c>
    </row>
    <row r="405" customFormat="false" ht="15" hidden="false" customHeight="false" outlineLevel="0" collapsed="false">
      <c r="A405" s="0" t="s">
        <v>128</v>
      </c>
      <c r="B405" s="2" t="n">
        <v>46198</v>
      </c>
      <c r="C405" s="0" t="n">
        <v>636.073</v>
      </c>
    </row>
    <row r="406" customFormat="false" ht="15" hidden="false" customHeight="false" outlineLevel="0" collapsed="false">
      <c r="A406" s="0" t="s">
        <v>122</v>
      </c>
      <c r="B406" s="2" t="n">
        <v>46198</v>
      </c>
      <c r="C406" s="0" t="n">
        <v>38.959</v>
      </c>
    </row>
    <row r="407" customFormat="false" ht="15" hidden="false" customHeight="false" outlineLevel="0" collapsed="false">
      <c r="A407" s="0" t="s">
        <v>126</v>
      </c>
      <c r="B407" s="2" t="n">
        <v>46198</v>
      </c>
      <c r="C407" s="0" t="n">
        <v>39.363</v>
      </c>
    </row>
    <row r="408" customFormat="false" ht="15" hidden="false" customHeight="false" outlineLevel="0" collapsed="false">
      <c r="A408" s="0" t="s">
        <v>123</v>
      </c>
      <c r="B408" s="2" t="n">
        <v>46199</v>
      </c>
      <c r="C408" s="0" t="n">
        <v>27.966</v>
      </c>
    </row>
    <row r="409" customFormat="false" ht="15" hidden="false" customHeight="false" outlineLevel="0" collapsed="false">
      <c r="A409" s="0" t="s">
        <v>121</v>
      </c>
      <c r="B409" s="2" t="n">
        <v>46199</v>
      </c>
      <c r="C409" s="0" t="n">
        <v>4.232</v>
      </c>
    </row>
    <row r="410" customFormat="false" ht="15" hidden="false" customHeight="false" outlineLevel="0" collapsed="false">
      <c r="A410" s="0" t="s">
        <v>125</v>
      </c>
      <c r="B410" s="2" t="n">
        <v>46199</v>
      </c>
      <c r="C410" s="0" t="n">
        <v>4.4</v>
      </c>
    </row>
    <row r="411" customFormat="false" ht="15" hidden="false" customHeight="false" outlineLevel="0" collapsed="false">
      <c r="A411" s="0" t="s">
        <v>124</v>
      </c>
      <c r="B411" s="2" t="n">
        <v>46199</v>
      </c>
      <c r="C411" s="0" t="n">
        <v>97.06</v>
      </c>
    </row>
    <row r="412" customFormat="false" ht="15" hidden="false" customHeight="false" outlineLevel="0" collapsed="false">
      <c r="A412" s="0" t="s">
        <v>127</v>
      </c>
      <c r="B412" s="2" t="n">
        <v>46199</v>
      </c>
      <c r="C412" s="0" t="n">
        <v>553.555</v>
      </c>
    </row>
    <row r="413" customFormat="false" ht="15" hidden="false" customHeight="false" outlineLevel="0" collapsed="false">
      <c r="A413" s="0" t="s">
        <v>128</v>
      </c>
      <c r="B413" s="2" t="n">
        <v>46199</v>
      </c>
      <c r="C413" s="0" t="n">
        <v>588.893</v>
      </c>
    </row>
    <row r="414" customFormat="false" ht="15" hidden="false" customHeight="false" outlineLevel="0" collapsed="false">
      <c r="A414" s="0" t="s">
        <v>122</v>
      </c>
      <c r="B414" s="2" t="n">
        <v>46199</v>
      </c>
      <c r="C414" s="0" t="n">
        <v>36.07</v>
      </c>
    </row>
    <row r="415" customFormat="false" ht="15" hidden="false" customHeight="false" outlineLevel="0" collapsed="false">
      <c r="A415" s="0" t="s">
        <v>126</v>
      </c>
      <c r="B415" s="2" t="n">
        <v>46199</v>
      </c>
      <c r="C415" s="0" t="n">
        <v>35.201</v>
      </c>
    </row>
    <row r="416" customFormat="false" ht="15" hidden="false" customHeight="false" outlineLevel="0" collapsed="false">
      <c r="A416" s="0" t="s">
        <v>123</v>
      </c>
      <c r="B416" s="2" t="n">
        <v>46200</v>
      </c>
      <c r="C416" s="0" t="n">
        <v>28.1</v>
      </c>
    </row>
    <row r="417" customFormat="false" ht="15" hidden="false" customHeight="false" outlineLevel="0" collapsed="false">
      <c r="A417" s="0" t="s">
        <v>121</v>
      </c>
      <c r="B417" s="2" t="n">
        <v>46200</v>
      </c>
      <c r="C417" s="0" t="n">
        <v>2.084</v>
      </c>
    </row>
    <row r="418" customFormat="false" ht="15" hidden="false" customHeight="false" outlineLevel="0" collapsed="false">
      <c r="A418" s="0" t="s">
        <v>125</v>
      </c>
      <c r="B418" s="2" t="n">
        <v>46200</v>
      </c>
      <c r="C418" s="0" t="n">
        <v>3.998</v>
      </c>
    </row>
    <row r="419" customFormat="false" ht="15" hidden="false" customHeight="false" outlineLevel="0" collapsed="false">
      <c r="A419" s="0" t="s">
        <v>124</v>
      </c>
      <c r="B419" s="2" t="n">
        <v>46200</v>
      </c>
      <c r="C419" s="0" t="n">
        <v>97.524</v>
      </c>
    </row>
    <row r="420" customFormat="false" ht="15" hidden="false" customHeight="false" outlineLevel="0" collapsed="false">
      <c r="A420" s="0" t="s">
        <v>127</v>
      </c>
      <c r="B420" s="2" t="n">
        <v>46200</v>
      </c>
      <c r="C420" s="0" t="n">
        <v>503.043</v>
      </c>
    </row>
    <row r="421" customFormat="false" ht="15" hidden="false" customHeight="false" outlineLevel="0" collapsed="false">
      <c r="A421" s="0" t="s">
        <v>128</v>
      </c>
      <c r="B421" s="2" t="n">
        <v>46200</v>
      </c>
      <c r="C421" s="0" t="n">
        <v>583.366</v>
      </c>
    </row>
    <row r="422" customFormat="false" ht="15" hidden="false" customHeight="false" outlineLevel="0" collapsed="false">
      <c r="A422" s="0" t="s">
        <v>122</v>
      </c>
      <c r="B422" s="2" t="n">
        <v>46200</v>
      </c>
      <c r="C422" s="0" t="n">
        <v>17.757</v>
      </c>
    </row>
    <row r="423" customFormat="false" ht="15" hidden="false" customHeight="false" outlineLevel="0" collapsed="false">
      <c r="A423" s="0" t="s">
        <v>126</v>
      </c>
      <c r="B423" s="2" t="n">
        <v>46200</v>
      </c>
      <c r="C423" s="0" t="n">
        <v>31.988</v>
      </c>
    </row>
    <row r="424" customFormat="false" ht="15" hidden="false" customHeight="false" outlineLevel="0" collapsed="false">
      <c r="A424" s="0" t="s">
        <v>123</v>
      </c>
      <c r="B424" s="2" t="n">
        <v>46201</v>
      </c>
      <c r="C424" s="0" t="n">
        <v>30.349</v>
      </c>
    </row>
    <row r="425" customFormat="false" ht="15" hidden="false" customHeight="false" outlineLevel="0" collapsed="false">
      <c r="A425" s="0" t="s">
        <v>125</v>
      </c>
      <c r="B425" s="2" t="n">
        <v>46201</v>
      </c>
      <c r="C425" s="0" t="n">
        <v>3.505</v>
      </c>
    </row>
    <row r="426" customFormat="false" ht="15" hidden="false" customHeight="false" outlineLevel="0" collapsed="false">
      <c r="A426" s="0" t="s">
        <v>124</v>
      </c>
      <c r="B426" s="2" t="n">
        <v>46201</v>
      </c>
      <c r="C426" s="0" t="n">
        <v>105.329</v>
      </c>
    </row>
    <row r="427" customFormat="false" ht="15" hidden="false" customHeight="false" outlineLevel="0" collapsed="false">
      <c r="A427" s="0" t="s">
        <v>127</v>
      </c>
      <c r="B427" s="2" t="n">
        <v>46201</v>
      </c>
      <c r="C427" s="0" t="n">
        <v>440.946</v>
      </c>
    </row>
    <row r="428" customFormat="false" ht="15" hidden="false" customHeight="false" outlineLevel="0" collapsed="false">
      <c r="A428" s="0" t="s">
        <v>128</v>
      </c>
      <c r="B428" s="2" t="n">
        <v>46201</v>
      </c>
      <c r="C428" s="0" t="n">
        <v>466.489</v>
      </c>
    </row>
    <row r="429" customFormat="false" ht="15" hidden="false" customHeight="false" outlineLevel="0" collapsed="false">
      <c r="A429" s="0" t="s">
        <v>126</v>
      </c>
      <c r="B429" s="2" t="n">
        <v>46201</v>
      </c>
      <c r="C429" s="0" t="n">
        <v>28.04</v>
      </c>
    </row>
    <row r="430" customFormat="false" ht="15" hidden="false" customHeight="false" outlineLevel="0" collapsed="false">
      <c r="A430" s="0" t="s">
        <v>123</v>
      </c>
      <c r="B430" s="2" t="n">
        <v>46203</v>
      </c>
      <c r="C430" s="0" t="n">
        <v>32.42</v>
      </c>
    </row>
    <row r="431" customFormat="false" ht="15" hidden="false" customHeight="false" outlineLevel="0" collapsed="false">
      <c r="A431" s="0" t="s">
        <v>125</v>
      </c>
      <c r="B431" s="2" t="n">
        <v>46203</v>
      </c>
      <c r="C431" s="0" t="n">
        <v>3.936</v>
      </c>
    </row>
    <row r="432" customFormat="false" ht="15" hidden="false" customHeight="false" outlineLevel="0" collapsed="false">
      <c r="A432" s="0" t="s">
        <v>124</v>
      </c>
      <c r="B432" s="2" t="n">
        <v>46203</v>
      </c>
      <c r="C432" s="0" t="n">
        <v>112.516</v>
      </c>
    </row>
    <row r="433" customFormat="false" ht="15" hidden="false" customHeight="false" outlineLevel="0" collapsed="false">
      <c r="A433" s="0" t="s">
        <v>127</v>
      </c>
      <c r="B433" s="2" t="n">
        <v>46203</v>
      </c>
      <c r="C433" s="0" t="n">
        <v>495.155</v>
      </c>
    </row>
    <row r="434" customFormat="false" ht="15" hidden="false" customHeight="false" outlineLevel="0" collapsed="false">
      <c r="A434" s="0" t="s">
        <v>128</v>
      </c>
      <c r="B434" s="2" t="n">
        <v>46203</v>
      </c>
      <c r="C434" s="0" t="n">
        <v>532.445</v>
      </c>
    </row>
    <row r="435" customFormat="false" ht="15" hidden="false" customHeight="false" outlineLevel="0" collapsed="false">
      <c r="A435" s="0" t="s">
        <v>126</v>
      </c>
      <c r="B435" s="2" t="n">
        <v>46203</v>
      </c>
      <c r="C435" s="0" t="n">
        <v>31.486</v>
      </c>
    </row>
    <row r="436" customFormat="false" ht="15" hidden="false" customHeight="false" outlineLevel="0" collapsed="false">
      <c r="A436" s="0" t="s">
        <v>123</v>
      </c>
      <c r="B436" s="2" t="n">
        <v>46204</v>
      </c>
      <c r="C436" s="0" t="n">
        <v>29.736</v>
      </c>
    </row>
    <row r="437" customFormat="false" ht="15" hidden="false" customHeight="false" outlineLevel="0" collapsed="false">
      <c r="A437" s="0" t="s">
        <v>125</v>
      </c>
      <c r="B437" s="2" t="n">
        <v>46204</v>
      </c>
      <c r="C437" s="0" t="n">
        <v>4.216</v>
      </c>
    </row>
    <row r="438" customFormat="false" ht="15" hidden="false" customHeight="false" outlineLevel="0" collapsed="false">
      <c r="A438" s="0" t="s">
        <v>124</v>
      </c>
      <c r="B438" s="2" t="n">
        <v>46204</v>
      </c>
      <c r="C438" s="0" t="n">
        <v>103.201</v>
      </c>
    </row>
    <row r="439" customFormat="false" ht="15" hidden="false" customHeight="false" outlineLevel="0" collapsed="false">
      <c r="A439" s="0" t="s">
        <v>127</v>
      </c>
      <c r="B439" s="2" t="n">
        <v>46204</v>
      </c>
      <c r="C439" s="0" t="n">
        <v>530.395</v>
      </c>
    </row>
    <row r="440" customFormat="false" ht="15" hidden="false" customHeight="false" outlineLevel="0" collapsed="false">
      <c r="A440" s="0" t="s">
        <v>128</v>
      </c>
      <c r="B440" s="2" t="n">
        <v>46204</v>
      </c>
      <c r="C440" s="0" t="n">
        <v>570.444</v>
      </c>
    </row>
    <row r="441" customFormat="false" ht="15" hidden="false" customHeight="false" outlineLevel="0" collapsed="false">
      <c r="A441" s="0" t="s">
        <v>126</v>
      </c>
      <c r="B441" s="2" t="n">
        <v>46204</v>
      </c>
      <c r="C441" s="0" t="n">
        <v>33.728</v>
      </c>
    </row>
    <row r="442" customFormat="false" ht="15" hidden="false" customHeight="false" outlineLevel="0" collapsed="false">
      <c r="A442" s="0" t="s">
        <v>123</v>
      </c>
      <c r="B442" s="2" t="n">
        <v>46205</v>
      </c>
      <c r="C442" s="0" t="n">
        <v>22.514</v>
      </c>
    </row>
    <row r="443" customFormat="false" ht="15" hidden="false" customHeight="false" outlineLevel="0" collapsed="false">
      <c r="A443" s="0" t="s">
        <v>125</v>
      </c>
      <c r="B443" s="2" t="n">
        <v>46205</v>
      </c>
      <c r="C443" s="0" t="n">
        <v>4.109</v>
      </c>
    </row>
    <row r="444" customFormat="false" ht="15" hidden="false" customHeight="false" outlineLevel="0" collapsed="false">
      <c r="A444" s="0" t="s">
        <v>124</v>
      </c>
      <c r="B444" s="2" t="n">
        <v>46205</v>
      </c>
      <c r="C444" s="0" t="n">
        <v>78.138</v>
      </c>
    </row>
    <row r="445" customFormat="false" ht="15" hidden="false" customHeight="false" outlineLevel="0" collapsed="false">
      <c r="A445" s="0" t="s">
        <v>127</v>
      </c>
      <c r="B445" s="2" t="n">
        <v>46205</v>
      </c>
      <c r="C445" s="0" t="n">
        <v>517.007</v>
      </c>
    </row>
    <row r="446" customFormat="false" ht="15" hidden="false" customHeight="false" outlineLevel="0" collapsed="false">
      <c r="A446" s="0" t="s">
        <v>128</v>
      </c>
      <c r="B446" s="2" t="n">
        <v>46205</v>
      </c>
      <c r="C446" s="0" t="n">
        <v>642.364</v>
      </c>
    </row>
    <row r="447" customFormat="false" ht="15" hidden="false" customHeight="false" outlineLevel="0" collapsed="false">
      <c r="A447" s="0" t="s">
        <v>126</v>
      </c>
      <c r="B447" s="2" t="n">
        <v>46205</v>
      </c>
      <c r="C447" s="0" t="n">
        <v>32.876</v>
      </c>
    </row>
    <row r="448" customFormat="false" ht="15" hidden="false" customHeight="false" outlineLevel="0" collapsed="false">
      <c r="A448" s="0" t="s">
        <v>123</v>
      </c>
      <c r="B448" s="2" t="n">
        <v>46206</v>
      </c>
      <c r="C448" s="0" t="n">
        <v>31.967</v>
      </c>
    </row>
    <row r="449" customFormat="false" ht="15" hidden="false" customHeight="false" outlineLevel="0" collapsed="false">
      <c r="A449" s="0" t="s">
        <v>125</v>
      </c>
      <c r="B449" s="2" t="n">
        <v>46206</v>
      </c>
      <c r="C449" s="0" t="n">
        <v>3.591</v>
      </c>
    </row>
    <row r="450" customFormat="false" ht="15" hidden="false" customHeight="false" outlineLevel="0" collapsed="false">
      <c r="A450" s="0" t="s">
        <v>124</v>
      </c>
      <c r="B450" s="2" t="n">
        <v>46206</v>
      </c>
      <c r="C450" s="0" t="n">
        <v>110.943</v>
      </c>
    </row>
    <row r="451" customFormat="false" ht="15" hidden="false" customHeight="false" outlineLevel="0" collapsed="false">
      <c r="A451" s="0" t="s">
        <v>127</v>
      </c>
      <c r="B451" s="2" t="n">
        <v>46206</v>
      </c>
      <c r="C451" s="0" t="n">
        <v>451.699</v>
      </c>
    </row>
    <row r="452" customFormat="false" ht="15" hidden="false" customHeight="false" outlineLevel="0" collapsed="false">
      <c r="A452" s="0" t="s">
        <v>128</v>
      </c>
      <c r="B452" s="2" t="n">
        <v>46206</v>
      </c>
      <c r="C452" s="0" t="n">
        <v>443.049</v>
      </c>
    </row>
    <row r="453" customFormat="false" ht="15" hidden="false" customHeight="false" outlineLevel="0" collapsed="false">
      <c r="A453" s="0" t="s">
        <v>126</v>
      </c>
      <c r="B453" s="2" t="n">
        <v>46206</v>
      </c>
      <c r="C453" s="0" t="n">
        <v>28.724</v>
      </c>
    </row>
    <row r="454" customFormat="false" ht="15" hidden="false" customHeight="false" outlineLevel="0" collapsed="false">
      <c r="A454" s="0" t="s">
        <v>123</v>
      </c>
      <c r="B454" s="2" t="n">
        <v>46207</v>
      </c>
      <c r="C454" s="0" t="n">
        <v>0.399</v>
      </c>
    </row>
    <row r="455" customFormat="false" ht="15" hidden="false" customHeight="false" outlineLevel="0" collapsed="false">
      <c r="A455" s="0" t="s">
        <v>125</v>
      </c>
      <c r="B455" s="2" t="n">
        <v>46207</v>
      </c>
      <c r="C455" s="0" t="n">
        <v>4.807</v>
      </c>
    </row>
    <row r="456" customFormat="false" ht="15" hidden="false" customHeight="false" outlineLevel="0" collapsed="false">
      <c r="A456" s="0" t="s">
        <v>124</v>
      </c>
      <c r="B456" s="2" t="n">
        <v>46207</v>
      </c>
      <c r="C456" s="0" t="n">
        <v>1.385</v>
      </c>
    </row>
    <row r="457" customFormat="false" ht="15" hidden="false" customHeight="false" outlineLevel="0" collapsed="false">
      <c r="A457" s="0" t="s">
        <v>127</v>
      </c>
      <c r="B457" s="2" t="n">
        <v>46207</v>
      </c>
      <c r="C457" s="0" t="n">
        <v>604.807</v>
      </c>
    </row>
    <row r="458" customFormat="false" ht="15" hidden="false" customHeight="false" outlineLevel="0" collapsed="false">
      <c r="A458" s="0" t="s">
        <v>128</v>
      </c>
      <c r="B458" s="2" t="n">
        <v>46207</v>
      </c>
      <c r="C458" s="0" t="n">
        <v>337.567</v>
      </c>
    </row>
    <row r="459" customFormat="false" ht="15" hidden="false" customHeight="false" outlineLevel="0" collapsed="false">
      <c r="A459" s="0" t="s">
        <v>126</v>
      </c>
      <c r="B459" s="2" t="n">
        <v>46207</v>
      </c>
      <c r="C459" s="0" t="n">
        <v>38.459</v>
      </c>
    </row>
    <row r="460" customFormat="false" ht="15" hidden="false" customHeight="false" outlineLevel="0" collapsed="false">
      <c r="A460" s="0" t="s">
        <v>129</v>
      </c>
      <c r="B460" s="2" t="n">
        <v>46208</v>
      </c>
      <c r="C460" s="0" t="n">
        <v>45.501</v>
      </c>
    </row>
    <row r="461" customFormat="false" ht="15" hidden="false" customHeight="false" outlineLevel="0" collapsed="false">
      <c r="A461" s="0" t="s">
        <v>130</v>
      </c>
      <c r="B461" s="2" t="n">
        <v>46208</v>
      </c>
      <c r="C461" s="0" t="n">
        <v>12.924</v>
      </c>
    </row>
    <row r="462" customFormat="false" ht="15" hidden="false" customHeight="false" outlineLevel="0" collapsed="false">
      <c r="A462" s="0" t="s">
        <v>131</v>
      </c>
      <c r="B462" s="2" t="n">
        <v>46208</v>
      </c>
      <c r="C462" s="0" t="n">
        <v>0.764</v>
      </c>
    </row>
    <row r="463" customFormat="false" ht="15" hidden="false" customHeight="false" outlineLevel="0" collapsed="false">
      <c r="A463" s="0" t="s">
        <v>132</v>
      </c>
      <c r="B463" s="2" t="n">
        <v>46208</v>
      </c>
      <c r="C463" s="0" t="n">
        <v>43.511</v>
      </c>
    </row>
    <row r="464" customFormat="false" ht="15" hidden="false" customHeight="false" outlineLevel="0" collapsed="false">
      <c r="A464" s="0" t="s">
        <v>125</v>
      </c>
      <c r="B464" s="2" t="n">
        <v>46208</v>
      </c>
      <c r="C464" s="0" t="n">
        <v>2.352</v>
      </c>
    </row>
    <row r="465" customFormat="false" ht="15" hidden="false" customHeight="false" outlineLevel="0" collapsed="false">
      <c r="A465" s="0" t="s">
        <v>127</v>
      </c>
      <c r="B465" s="2" t="n">
        <v>46208</v>
      </c>
      <c r="C465" s="0" t="n">
        <v>576.794</v>
      </c>
    </row>
    <row r="466" customFormat="false" ht="15" hidden="false" customHeight="false" outlineLevel="0" collapsed="false">
      <c r="A466" s="0" t="s">
        <v>133</v>
      </c>
      <c r="B466" s="2" t="n">
        <v>46208</v>
      </c>
      <c r="C466" s="0" t="n">
        <v>0.139</v>
      </c>
    </row>
    <row r="467" customFormat="false" ht="15" hidden="false" customHeight="false" outlineLevel="0" collapsed="false">
      <c r="A467" s="0" t="s">
        <v>126</v>
      </c>
      <c r="B467" s="2" t="n">
        <v>46208</v>
      </c>
      <c r="C467" s="0" t="n">
        <v>18.814</v>
      </c>
    </row>
    <row r="468" customFormat="false" ht="15" hidden="false" customHeight="false" outlineLevel="0" collapsed="false">
      <c r="A468" s="0" t="s">
        <v>129</v>
      </c>
      <c r="B468" s="2" t="n">
        <v>46209</v>
      </c>
      <c r="C468" s="0" t="n">
        <v>51.69</v>
      </c>
    </row>
    <row r="469" customFormat="false" ht="15" hidden="false" customHeight="false" outlineLevel="0" collapsed="false">
      <c r="A469" s="0" t="s">
        <v>130</v>
      </c>
      <c r="B469" s="2" t="n">
        <v>46209</v>
      </c>
      <c r="C469" s="0" t="n">
        <v>10.498</v>
      </c>
    </row>
    <row r="470" customFormat="false" ht="15" hidden="false" customHeight="false" outlineLevel="0" collapsed="false">
      <c r="A470" s="0" t="s">
        <v>131</v>
      </c>
      <c r="B470" s="2" t="n">
        <v>46209</v>
      </c>
      <c r="C470" s="0" t="n">
        <v>0.621</v>
      </c>
    </row>
    <row r="471" customFormat="false" ht="15" hidden="false" customHeight="false" outlineLevel="0" collapsed="false">
      <c r="A471" s="0" t="s">
        <v>132</v>
      </c>
      <c r="B471" s="2" t="n">
        <v>46209</v>
      </c>
      <c r="C471" s="0" t="n">
        <v>49.428</v>
      </c>
    </row>
    <row r="472" customFormat="false" ht="15" hidden="false" customHeight="false" outlineLevel="0" collapsed="false">
      <c r="A472" s="0" t="s">
        <v>127</v>
      </c>
      <c r="B472" s="2" t="n">
        <v>46209</v>
      </c>
      <c r="C472" s="0" t="n">
        <v>500.221</v>
      </c>
    </row>
    <row r="473" customFormat="false" ht="15" hidden="false" customHeight="false" outlineLevel="0" collapsed="false">
      <c r="A473" s="0" t="s">
        <v>133</v>
      </c>
      <c r="B473" s="2" t="n">
        <v>46209</v>
      </c>
      <c r="C473" s="0" t="n">
        <v>0.113</v>
      </c>
    </row>
    <row r="474" customFormat="false" ht="15" hidden="false" customHeight="false" outlineLevel="0" collapsed="false">
      <c r="A474" s="0" t="s">
        <v>129</v>
      </c>
      <c r="B474" s="2" t="n">
        <v>46210</v>
      </c>
      <c r="C474" s="0" t="n">
        <v>47.385</v>
      </c>
    </row>
    <row r="475" customFormat="false" ht="15" hidden="false" customHeight="false" outlineLevel="0" collapsed="false">
      <c r="A475" s="0" t="s">
        <v>130</v>
      </c>
      <c r="B475" s="2" t="n">
        <v>46210</v>
      </c>
      <c r="C475" s="0" t="n">
        <v>9.901</v>
      </c>
    </row>
    <row r="476" customFormat="false" ht="15" hidden="false" customHeight="false" outlineLevel="0" collapsed="false">
      <c r="A476" s="0" t="s">
        <v>131</v>
      </c>
      <c r="B476" s="2" t="n">
        <v>46210</v>
      </c>
      <c r="C476" s="0" t="n">
        <v>0.586</v>
      </c>
    </row>
    <row r="477" customFormat="false" ht="15" hidden="false" customHeight="false" outlineLevel="0" collapsed="false">
      <c r="A477" s="0" t="s">
        <v>132</v>
      </c>
      <c r="B477" s="2" t="n">
        <v>46210</v>
      </c>
      <c r="C477" s="0" t="n">
        <v>45.311</v>
      </c>
    </row>
    <row r="478" customFormat="false" ht="15" hidden="false" customHeight="false" outlineLevel="0" collapsed="false">
      <c r="A478" s="0" t="s">
        <v>127</v>
      </c>
      <c r="B478" s="2" t="n">
        <v>46210</v>
      </c>
      <c r="C478" s="0" t="n">
        <v>394.188</v>
      </c>
    </row>
    <row r="479" customFormat="false" ht="15" hidden="false" customHeight="false" outlineLevel="0" collapsed="false">
      <c r="A479" s="0" t="s">
        <v>133</v>
      </c>
      <c r="B479" s="2" t="n">
        <v>46210</v>
      </c>
      <c r="C479" s="0" t="n">
        <v>0.106</v>
      </c>
    </row>
    <row r="480" customFormat="false" ht="15" hidden="false" customHeight="false" outlineLevel="0" collapsed="false">
      <c r="A480" s="0" t="s">
        <v>134</v>
      </c>
      <c r="B480" s="2" t="n">
        <v>46211</v>
      </c>
      <c r="C480" s="0" t="n">
        <v>7.716</v>
      </c>
    </row>
    <row r="481" customFormat="false" ht="15" hidden="false" customHeight="false" outlineLevel="0" collapsed="false">
      <c r="A481" s="0" t="s">
        <v>129</v>
      </c>
      <c r="B481" s="2" t="n">
        <v>46211</v>
      </c>
      <c r="C481" s="0" t="n">
        <v>49.233</v>
      </c>
    </row>
    <row r="482" customFormat="false" ht="15" hidden="false" customHeight="false" outlineLevel="0" collapsed="false">
      <c r="A482" s="0" t="s">
        <v>130</v>
      </c>
      <c r="B482" s="2" t="n">
        <v>46211</v>
      </c>
      <c r="C482" s="0" t="n">
        <v>11.072</v>
      </c>
    </row>
    <row r="483" customFormat="false" ht="15" hidden="false" customHeight="false" outlineLevel="0" collapsed="false">
      <c r="A483" s="0" t="s">
        <v>131</v>
      </c>
      <c r="B483" s="2" t="n">
        <v>46211</v>
      </c>
      <c r="C483" s="0" t="n">
        <v>0.655</v>
      </c>
    </row>
    <row r="484" customFormat="false" ht="15" hidden="false" customHeight="false" outlineLevel="0" collapsed="false">
      <c r="A484" s="0" t="s">
        <v>132</v>
      </c>
      <c r="B484" s="2" t="n">
        <v>46211</v>
      </c>
      <c r="C484" s="0" t="n">
        <v>47.08</v>
      </c>
    </row>
    <row r="485" customFormat="false" ht="15" hidden="false" customHeight="false" outlineLevel="0" collapsed="false">
      <c r="A485" s="0" t="s">
        <v>135</v>
      </c>
      <c r="B485" s="2" t="n">
        <v>46211</v>
      </c>
      <c r="C485" s="0" t="n">
        <v>771.568</v>
      </c>
    </row>
    <row r="486" customFormat="false" ht="15" hidden="false" customHeight="false" outlineLevel="0" collapsed="false">
      <c r="A486" s="0" t="s">
        <v>133</v>
      </c>
      <c r="B486" s="2" t="n">
        <v>46211</v>
      </c>
      <c r="C486" s="0" t="n">
        <v>0.119</v>
      </c>
    </row>
    <row r="487" customFormat="false" ht="15" hidden="false" customHeight="false" outlineLevel="0" collapsed="false">
      <c r="A487" s="0" t="s">
        <v>136</v>
      </c>
      <c r="B487" s="2" t="n">
        <v>46211</v>
      </c>
      <c r="C487" s="0" t="n">
        <v>39.818</v>
      </c>
    </row>
    <row r="488" customFormat="false" ht="15" hidden="false" customHeight="false" outlineLevel="0" collapsed="false">
      <c r="A488" s="0" t="s">
        <v>134</v>
      </c>
      <c r="B488" s="2" t="n">
        <v>46212</v>
      </c>
      <c r="C488" s="0" t="n">
        <v>6.054</v>
      </c>
    </row>
    <row r="489" customFormat="false" ht="15" hidden="false" customHeight="false" outlineLevel="0" collapsed="false">
      <c r="A489" s="0" t="s">
        <v>129</v>
      </c>
      <c r="B489" s="2" t="n">
        <v>46212</v>
      </c>
      <c r="C489" s="0" t="n">
        <v>41.046</v>
      </c>
    </row>
    <row r="490" customFormat="false" ht="15" hidden="false" customHeight="false" outlineLevel="0" collapsed="false">
      <c r="A490" s="0" t="s">
        <v>130</v>
      </c>
      <c r="B490" s="2" t="n">
        <v>46212</v>
      </c>
      <c r="C490" s="0" t="n">
        <v>13.528</v>
      </c>
    </row>
    <row r="491" customFormat="false" ht="15" hidden="false" customHeight="false" outlineLevel="0" collapsed="false">
      <c r="A491" s="0" t="s">
        <v>131</v>
      </c>
      <c r="B491" s="2" t="n">
        <v>46212</v>
      </c>
      <c r="C491" s="0" t="n">
        <v>0.8</v>
      </c>
    </row>
    <row r="492" customFormat="false" ht="15" hidden="false" customHeight="false" outlineLevel="0" collapsed="false">
      <c r="A492" s="0" t="s">
        <v>132</v>
      </c>
      <c r="B492" s="2" t="n">
        <v>46212</v>
      </c>
      <c r="C492" s="0" t="n">
        <v>39.25</v>
      </c>
    </row>
    <row r="493" customFormat="false" ht="15" hidden="false" customHeight="false" outlineLevel="0" collapsed="false">
      <c r="A493" s="0" t="s">
        <v>135</v>
      </c>
      <c r="B493" s="2" t="n">
        <v>46212</v>
      </c>
      <c r="C493" s="0" t="n">
        <v>605.383</v>
      </c>
    </row>
    <row r="494" customFormat="false" ht="15" hidden="false" customHeight="false" outlineLevel="0" collapsed="false">
      <c r="A494" s="0" t="s">
        <v>133</v>
      </c>
      <c r="B494" s="2" t="n">
        <v>46212</v>
      </c>
      <c r="C494" s="0" t="n">
        <v>0.146</v>
      </c>
    </row>
    <row r="495" customFormat="false" ht="15" hidden="false" customHeight="false" outlineLevel="0" collapsed="false">
      <c r="A495" s="0" t="s">
        <v>136</v>
      </c>
      <c r="B495" s="2" t="n">
        <v>46212</v>
      </c>
      <c r="C495" s="0" t="n">
        <v>31.243</v>
      </c>
    </row>
    <row r="496" customFormat="false" ht="15" hidden="false" customHeight="false" outlineLevel="0" collapsed="false">
      <c r="A496" s="0" t="s">
        <v>134</v>
      </c>
      <c r="B496" s="2" t="n">
        <v>46213</v>
      </c>
      <c r="C496" s="0" t="n">
        <v>5.577</v>
      </c>
    </row>
    <row r="497" customFormat="false" ht="15" hidden="false" customHeight="false" outlineLevel="0" collapsed="false">
      <c r="A497" s="0" t="s">
        <v>129</v>
      </c>
      <c r="B497" s="2" t="n">
        <v>46213</v>
      </c>
      <c r="C497" s="0" t="n">
        <v>51.053</v>
      </c>
    </row>
    <row r="498" customFormat="false" ht="15" hidden="false" customHeight="false" outlineLevel="0" collapsed="false">
      <c r="A498" s="0" t="s">
        <v>130</v>
      </c>
      <c r="B498" s="2" t="n">
        <v>46213</v>
      </c>
      <c r="C498" s="0" t="n">
        <v>11.954</v>
      </c>
    </row>
    <row r="499" customFormat="false" ht="15" hidden="false" customHeight="false" outlineLevel="0" collapsed="false">
      <c r="A499" s="0" t="s">
        <v>131</v>
      </c>
      <c r="B499" s="2" t="n">
        <v>46213</v>
      </c>
      <c r="C499" s="0" t="n">
        <v>0.706</v>
      </c>
    </row>
    <row r="500" customFormat="false" ht="15" hidden="false" customHeight="false" outlineLevel="0" collapsed="false">
      <c r="A500" s="0" t="s">
        <v>132</v>
      </c>
      <c r="B500" s="2" t="n">
        <v>46213</v>
      </c>
      <c r="C500" s="0" t="n">
        <v>48.819</v>
      </c>
    </row>
    <row r="501" customFormat="false" ht="15" hidden="false" customHeight="false" outlineLevel="0" collapsed="false">
      <c r="A501" s="0" t="s">
        <v>135</v>
      </c>
      <c r="B501" s="2" t="n">
        <v>46213</v>
      </c>
      <c r="C501" s="0" t="n">
        <v>557.711</v>
      </c>
    </row>
    <row r="502" customFormat="false" ht="15" hidden="false" customHeight="false" outlineLevel="0" collapsed="false">
      <c r="A502" s="0" t="s">
        <v>133</v>
      </c>
      <c r="B502" s="2" t="n">
        <v>46213</v>
      </c>
      <c r="C502" s="0" t="n">
        <v>0.128</v>
      </c>
    </row>
    <row r="503" customFormat="false" ht="15" hidden="false" customHeight="false" outlineLevel="0" collapsed="false">
      <c r="A503" s="0" t="s">
        <v>136</v>
      </c>
      <c r="B503" s="2" t="n">
        <v>46213</v>
      </c>
      <c r="C503" s="0" t="n">
        <v>28.781</v>
      </c>
    </row>
    <row r="504" customFormat="false" ht="15" hidden="false" customHeight="false" outlineLevel="0" collapsed="false">
      <c r="A504" s="0" t="s">
        <v>134</v>
      </c>
      <c r="B504" s="2" t="n">
        <v>46214</v>
      </c>
      <c r="C504" s="0" t="n">
        <v>5.851</v>
      </c>
    </row>
    <row r="505" customFormat="false" ht="15" hidden="false" customHeight="false" outlineLevel="0" collapsed="false">
      <c r="A505" s="0" t="s">
        <v>129</v>
      </c>
      <c r="B505" s="2" t="n">
        <v>46214</v>
      </c>
      <c r="C505" s="0" t="n">
        <v>48.394</v>
      </c>
    </row>
    <row r="506" customFormat="false" ht="15" hidden="false" customHeight="false" outlineLevel="0" collapsed="false">
      <c r="A506" s="0" t="s">
        <v>130</v>
      </c>
      <c r="B506" s="2" t="n">
        <v>46214</v>
      </c>
      <c r="C506" s="0" t="n">
        <v>12.261</v>
      </c>
    </row>
    <row r="507" customFormat="false" ht="15" hidden="false" customHeight="false" outlineLevel="0" collapsed="false">
      <c r="A507" s="0" t="s">
        <v>131</v>
      </c>
      <c r="B507" s="2" t="n">
        <v>46214</v>
      </c>
      <c r="C507" s="0" t="n">
        <v>0.726</v>
      </c>
    </row>
    <row r="508" customFormat="false" ht="15" hidden="false" customHeight="false" outlineLevel="0" collapsed="false">
      <c r="A508" s="0" t="s">
        <v>132</v>
      </c>
      <c r="B508" s="2" t="n">
        <v>46214</v>
      </c>
      <c r="C508" s="0" t="n">
        <v>46.277</v>
      </c>
    </row>
    <row r="509" customFormat="false" ht="15" hidden="false" customHeight="false" outlineLevel="0" collapsed="false">
      <c r="A509" s="0" t="s">
        <v>135</v>
      </c>
      <c r="B509" s="2" t="n">
        <v>46214</v>
      </c>
      <c r="C509" s="0" t="n">
        <v>585.175</v>
      </c>
    </row>
    <row r="510" customFormat="false" ht="15" hidden="false" customHeight="false" outlineLevel="0" collapsed="false">
      <c r="A510" s="0" t="s">
        <v>133</v>
      </c>
      <c r="B510" s="2" t="n">
        <v>46214</v>
      </c>
      <c r="C510" s="0" t="n">
        <v>0.132</v>
      </c>
    </row>
    <row r="511" customFormat="false" ht="15" hidden="false" customHeight="false" outlineLevel="0" collapsed="false">
      <c r="A511" s="0" t="s">
        <v>136</v>
      </c>
      <c r="B511" s="2" t="n">
        <v>46214</v>
      </c>
      <c r="C511" s="0" t="n">
        <v>30.2</v>
      </c>
    </row>
    <row r="512" customFormat="false" ht="15" hidden="false" customHeight="false" outlineLevel="0" collapsed="false">
      <c r="A512" s="0" t="s">
        <v>134</v>
      </c>
      <c r="B512" s="2" t="n">
        <v>46215</v>
      </c>
      <c r="C512" s="0" t="n">
        <v>6.327</v>
      </c>
    </row>
    <row r="513" customFormat="false" ht="15" hidden="false" customHeight="false" outlineLevel="0" collapsed="false">
      <c r="A513" s="0" t="s">
        <v>129</v>
      </c>
      <c r="B513" s="2" t="n">
        <v>46215</v>
      </c>
      <c r="C513" s="0" t="n">
        <v>45.363</v>
      </c>
    </row>
    <row r="514" customFormat="false" ht="15" hidden="false" customHeight="false" outlineLevel="0" collapsed="false">
      <c r="A514" s="0" t="s">
        <v>130</v>
      </c>
      <c r="B514" s="2" t="n">
        <v>46215</v>
      </c>
      <c r="C514" s="0" t="n">
        <v>10.929</v>
      </c>
    </row>
    <row r="515" customFormat="false" ht="15" hidden="false" customHeight="false" outlineLevel="0" collapsed="false">
      <c r="A515" s="0" t="s">
        <v>131</v>
      </c>
      <c r="B515" s="2" t="n">
        <v>46215</v>
      </c>
      <c r="C515" s="0" t="n">
        <v>0.646</v>
      </c>
    </row>
    <row r="516" customFormat="false" ht="15" hidden="false" customHeight="false" outlineLevel="0" collapsed="false">
      <c r="A516" s="0" t="s">
        <v>132</v>
      </c>
      <c r="B516" s="2" t="n">
        <v>46215</v>
      </c>
      <c r="C516" s="0" t="n">
        <v>43.379</v>
      </c>
    </row>
    <row r="517" customFormat="false" ht="15" hidden="false" customHeight="false" outlineLevel="0" collapsed="false">
      <c r="A517" s="0" t="s">
        <v>135</v>
      </c>
      <c r="B517" s="2" t="n">
        <v>46215</v>
      </c>
      <c r="C517" s="0" t="n">
        <v>632.671</v>
      </c>
    </row>
    <row r="518" customFormat="false" ht="15" hidden="false" customHeight="false" outlineLevel="0" collapsed="false">
      <c r="A518" s="0" t="s">
        <v>133</v>
      </c>
      <c r="B518" s="2" t="n">
        <v>46215</v>
      </c>
      <c r="C518" s="0" t="n">
        <v>0.118</v>
      </c>
    </row>
    <row r="519" customFormat="false" ht="15" hidden="false" customHeight="false" outlineLevel="0" collapsed="false">
      <c r="A519" s="0" t="s">
        <v>136</v>
      </c>
      <c r="B519" s="2" t="n">
        <v>46215</v>
      </c>
      <c r="C519" s="0" t="n">
        <v>32.65</v>
      </c>
    </row>
    <row r="520" customFormat="false" ht="15" hidden="false" customHeight="false" outlineLevel="0" collapsed="false">
      <c r="A520" s="0" t="s">
        <v>134</v>
      </c>
      <c r="B520" s="2" t="n">
        <v>46216</v>
      </c>
      <c r="C520" s="0" t="n">
        <v>7.019</v>
      </c>
    </row>
    <row r="521" customFormat="false" ht="15" hidden="false" customHeight="false" outlineLevel="0" collapsed="false">
      <c r="A521" s="0" t="s">
        <v>129</v>
      </c>
      <c r="B521" s="2" t="n">
        <v>46216</v>
      </c>
      <c r="C521" s="0" t="n">
        <v>50.309</v>
      </c>
    </row>
    <row r="522" customFormat="false" ht="15" hidden="false" customHeight="false" outlineLevel="0" collapsed="false">
      <c r="A522" s="0" t="s">
        <v>130</v>
      </c>
      <c r="B522" s="2" t="n">
        <v>46216</v>
      </c>
      <c r="C522" s="0" t="n">
        <v>11.996</v>
      </c>
    </row>
    <row r="523" customFormat="false" ht="15" hidden="false" customHeight="false" outlineLevel="0" collapsed="false">
      <c r="A523" s="0" t="s">
        <v>131</v>
      </c>
      <c r="B523" s="2" t="n">
        <v>46216</v>
      </c>
      <c r="C523" s="0" t="n">
        <v>0.709</v>
      </c>
    </row>
    <row r="524" customFormat="false" ht="15" hidden="false" customHeight="false" outlineLevel="0" collapsed="false">
      <c r="A524" s="0" t="s">
        <v>132</v>
      </c>
      <c r="B524" s="2" t="n">
        <v>46216</v>
      </c>
      <c r="C524" s="0" t="n">
        <v>48.108</v>
      </c>
    </row>
    <row r="525" customFormat="false" ht="15" hidden="false" customHeight="false" outlineLevel="0" collapsed="false">
      <c r="A525" s="0" t="s">
        <v>135</v>
      </c>
      <c r="B525" s="2" t="n">
        <v>46216</v>
      </c>
      <c r="C525" s="0" t="n">
        <v>701.855</v>
      </c>
    </row>
    <row r="526" customFormat="false" ht="15" hidden="false" customHeight="false" outlineLevel="0" collapsed="false">
      <c r="A526" s="0" t="s">
        <v>133</v>
      </c>
      <c r="B526" s="2" t="n">
        <v>46216</v>
      </c>
      <c r="C526" s="0" t="n">
        <v>0.129</v>
      </c>
    </row>
    <row r="527" customFormat="false" ht="15" hidden="false" customHeight="false" outlineLevel="0" collapsed="false">
      <c r="A527" s="0" t="s">
        <v>136</v>
      </c>
      <c r="B527" s="2" t="n">
        <v>46216</v>
      </c>
      <c r="C527" s="0" t="n">
        <v>36.221</v>
      </c>
    </row>
    <row r="528" customFormat="false" ht="15" hidden="false" customHeight="false" outlineLevel="0" collapsed="false">
      <c r="A528" s="0" t="s">
        <v>134</v>
      </c>
      <c r="B528" s="2" t="n">
        <v>46217</v>
      </c>
      <c r="C528" s="0" t="n">
        <v>5.827</v>
      </c>
    </row>
    <row r="529" customFormat="false" ht="15" hidden="false" customHeight="false" outlineLevel="0" collapsed="false">
      <c r="A529" s="0" t="s">
        <v>129</v>
      </c>
      <c r="B529" s="2" t="n">
        <v>46217</v>
      </c>
      <c r="C529" s="0" t="n">
        <v>47.28</v>
      </c>
    </row>
    <row r="530" customFormat="false" ht="15" hidden="false" customHeight="false" outlineLevel="0" collapsed="false">
      <c r="A530" s="0" t="s">
        <v>130</v>
      </c>
      <c r="B530" s="2" t="n">
        <v>46217</v>
      </c>
      <c r="C530" s="0" t="n">
        <v>12.717</v>
      </c>
    </row>
    <row r="531" customFormat="false" ht="15" hidden="false" customHeight="false" outlineLevel="0" collapsed="false">
      <c r="A531" s="0" t="s">
        <v>131</v>
      </c>
      <c r="B531" s="2" t="n">
        <v>46217</v>
      </c>
      <c r="C531" s="0" t="n">
        <v>0.752</v>
      </c>
    </row>
    <row r="532" customFormat="false" ht="15" hidden="false" customHeight="false" outlineLevel="0" collapsed="false">
      <c r="A532" s="0" t="s">
        <v>132</v>
      </c>
      <c r="B532" s="2" t="n">
        <v>46217</v>
      </c>
      <c r="C532" s="0" t="n">
        <v>45.211</v>
      </c>
    </row>
    <row r="533" customFormat="false" ht="15" hidden="false" customHeight="false" outlineLevel="0" collapsed="false">
      <c r="A533" s="0" t="s">
        <v>135</v>
      </c>
      <c r="B533" s="2" t="n">
        <v>46217</v>
      </c>
      <c r="C533" s="0" t="n">
        <v>582.752</v>
      </c>
    </row>
    <row r="534" customFormat="false" ht="15" hidden="false" customHeight="false" outlineLevel="0" collapsed="false">
      <c r="A534" s="0" t="s">
        <v>133</v>
      </c>
      <c r="B534" s="2" t="n">
        <v>46217</v>
      </c>
      <c r="C534" s="0" t="n">
        <v>0.136</v>
      </c>
    </row>
    <row r="535" customFormat="false" ht="15" hidden="false" customHeight="false" outlineLevel="0" collapsed="false">
      <c r="A535" s="0" t="s">
        <v>136</v>
      </c>
      <c r="B535" s="2" t="n">
        <v>46217</v>
      </c>
      <c r="C535" s="0" t="n">
        <v>30.074</v>
      </c>
    </row>
    <row r="536" customFormat="false" ht="15" hidden="false" customHeight="false" outlineLevel="0" collapsed="false">
      <c r="A536" s="0" t="s">
        <v>134</v>
      </c>
      <c r="B536" s="2" t="n">
        <v>46218</v>
      </c>
      <c r="C536" s="0" t="n">
        <v>5.416</v>
      </c>
    </row>
    <row r="537" customFormat="false" ht="15" hidden="false" customHeight="false" outlineLevel="0" collapsed="false">
      <c r="A537" s="0" t="s">
        <v>137</v>
      </c>
      <c r="B537" s="2" t="n">
        <v>46218</v>
      </c>
      <c r="C537" s="0" t="n">
        <v>0.409</v>
      </c>
    </row>
    <row r="538" customFormat="false" ht="15" hidden="false" customHeight="false" outlineLevel="0" collapsed="false">
      <c r="A538" s="0" t="s">
        <v>129</v>
      </c>
      <c r="B538" s="2" t="n">
        <v>46218</v>
      </c>
      <c r="C538" s="0" t="n">
        <v>44.58</v>
      </c>
    </row>
    <row r="539" customFormat="false" ht="15" hidden="false" customHeight="false" outlineLevel="0" collapsed="false">
      <c r="A539" s="0" t="s">
        <v>130</v>
      </c>
      <c r="B539" s="2" t="n">
        <v>46218</v>
      </c>
      <c r="C539" s="0" t="n">
        <v>11.06</v>
      </c>
    </row>
    <row r="540" customFormat="false" ht="15" hidden="false" customHeight="false" outlineLevel="0" collapsed="false">
      <c r="A540" s="0" t="s">
        <v>131</v>
      </c>
      <c r="B540" s="2" t="n">
        <v>46218</v>
      </c>
      <c r="C540" s="0" t="n">
        <v>0.655</v>
      </c>
    </row>
    <row r="541" customFormat="false" ht="15" hidden="false" customHeight="false" outlineLevel="0" collapsed="false">
      <c r="A541" s="0" t="s">
        <v>132</v>
      </c>
      <c r="B541" s="2" t="n">
        <v>46218</v>
      </c>
      <c r="C541" s="0" t="n">
        <v>42.63</v>
      </c>
    </row>
    <row r="542" customFormat="false" ht="15" hidden="false" customHeight="false" outlineLevel="0" collapsed="false">
      <c r="A542" s="0" t="s">
        <v>135</v>
      </c>
      <c r="B542" s="2" t="n">
        <v>46218</v>
      </c>
      <c r="C542" s="0" t="n">
        <v>541.618</v>
      </c>
    </row>
    <row r="543" customFormat="false" ht="15" hidden="false" customHeight="false" outlineLevel="0" collapsed="false">
      <c r="A543" s="0" t="s">
        <v>138</v>
      </c>
      <c r="B543" s="2" t="n">
        <v>46218</v>
      </c>
      <c r="C543" s="0" t="n">
        <v>17.177</v>
      </c>
    </row>
    <row r="544" customFormat="false" ht="15" hidden="false" customHeight="false" outlineLevel="0" collapsed="false">
      <c r="A544" s="0" t="s">
        <v>133</v>
      </c>
      <c r="B544" s="2" t="n">
        <v>46218</v>
      </c>
      <c r="C544" s="0" t="n">
        <v>0.119</v>
      </c>
    </row>
    <row r="545" customFormat="false" ht="15" hidden="false" customHeight="false" outlineLevel="0" collapsed="false">
      <c r="A545" s="0" t="s">
        <v>136</v>
      </c>
      <c r="B545" s="2" t="n">
        <v>46218</v>
      </c>
      <c r="C545" s="0" t="n">
        <v>27.951</v>
      </c>
    </row>
    <row r="546" customFormat="false" ht="15" hidden="false" customHeight="false" outlineLevel="0" collapsed="false">
      <c r="A546" s="0" t="s">
        <v>134</v>
      </c>
      <c r="B546" s="2" t="n">
        <v>46219</v>
      </c>
      <c r="C546" s="0" t="n">
        <v>5.951</v>
      </c>
    </row>
    <row r="547" customFormat="false" ht="15" hidden="false" customHeight="false" outlineLevel="0" collapsed="false">
      <c r="A547" s="0" t="s">
        <v>137</v>
      </c>
      <c r="B547" s="2" t="n">
        <v>46219</v>
      </c>
      <c r="C547" s="0" t="n">
        <v>0.397</v>
      </c>
    </row>
    <row r="548" customFormat="false" ht="15" hidden="false" customHeight="false" outlineLevel="0" collapsed="false">
      <c r="A548" s="0" t="s">
        <v>129</v>
      </c>
      <c r="B548" s="2" t="n">
        <v>46219</v>
      </c>
      <c r="C548" s="0" t="n">
        <v>47.991</v>
      </c>
    </row>
    <row r="549" customFormat="false" ht="15" hidden="false" customHeight="false" outlineLevel="0" collapsed="false">
      <c r="A549" s="0" t="s">
        <v>130</v>
      </c>
      <c r="B549" s="2" t="n">
        <v>46219</v>
      </c>
      <c r="C549" s="0" t="n">
        <v>12.62</v>
      </c>
    </row>
    <row r="550" customFormat="false" ht="15" hidden="false" customHeight="false" outlineLevel="0" collapsed="false">
      <c r="A550" s="0" t="s">
        <v>131</v>
      </c>
      <c r="B550" s="2" t="n">
        <v>46219</v>
      </c>
      <c r="C550" s="0" t="n">
        <v>0.746</v>
      </c>
    </row>
    <row r="551" customFormat="false" ht="15" hidden="false" customHeight="false" outlineLevel="0" collapsed="false">
      <c r="A551" s="0" t="s">
        <v>132</v>
      </c>
      <c r="B551" s="2" t="n">
        <v>46219</v>
      </c>
      <c r="C551" s="0" t="n">
        <v>45.891</v>
      </c>
    </row>
    <row r="552" customFormat="false" ht="15" hidden="false" customHeight="false" outlineLevel="0" collapsed="false">
      <c r="A552" s="0" t="s">
        <v>135</v>
      </c>
      <c r="B552" s="2" t="n">
        <v>46219</v>
      </c>
      <c r="C552" s="0" t="n">
        <v>595.058</v>
      </c>
    </row>
    <row r="553" customFormat="false" ht="15" hidden="false" customHeight="false" outlineLevel="0" collapsed="false">
      <c r="A553" s="0" t="s">
        <v>138</v>
      </c>
      <c r="B553" s="2" t="n">
        <v>46219</v>
      </c>
      <c r="C553" s="0" t="n">
        <v>16.695</v>
      </c>
    </row>
    <row r="554" customFormat="false" ht="15" hidden="false" customHeight="false" outlineLevel="0" collapsed="false">
      <c r="A554" s="0" t="s">
        <v>133</v>
      </c>
      <c r="B554" s="2" t="n">
        <v>46219</v>
      </c>
      <c r="C554" s="0" t="n">
        <v>0.136</v>
      </c>
    </row>
    <row r="555" customFormat="false" ht="15" hidden="false" customHeight="false" outlineLevel="0" collapsed="false">
      <c r="A555" s="0" t="s">
        <v>136</v>
      </c>
      <c r="B555" s="2" t="n">
        <v>46219</v>
      </c>
      <c r="C555" s="0" t="n">
        <v>30.709</v>
      </c>
    </row>
    <row r="556" customFormat="false" ht="15" hidden="false" customHeight="false" outlineLevel="0" collapsed="false">
      <c r="A556" s="0" t="s">
        <v>134</v>
      </c>
      <c r="B556" s="2" t="n">
        <v>46220</v>
      </c>
      <c r="C556" s="0" t="n">
        <v>7.04</v>
      </c>
    </row>
    <row r="557" customFormat="false" ht="15" hidden="false" customHeight="false" outlineLevel="0" collapsed="false">
      <c r="A557" s="0" t="s">
        <v>137</v>
      </c>
      <c r="B557" s="2" t="n">
        <v>46220</v>
      </c>
      <c r="C557" s="0" t="n">
        <v>0.403</v>
      </c>
    </row>
    <row r="558" customFormat="false" ht="15" hidden="false" customHeight="false" outlineLevel="0" collapsed="false">
      <c r="A558" s="0" t="s">
        <v>129</v>
      </c>
      <c r="B558" s="2" t="n">
        <v>46220</v>
      </c>
      <c r="C558" s="0" t="n">
        <v>43.881</v>
      </c>
    </row>
    <row r="559" customFormat="false" ht="15" hidden="false" customHeight="false" outlineLevel="0" collapsed="false">
      <c r="A559" s="0" t="s">
        <v>130</v>
      </c>
      <c r="B559" s="2" t="n">
        <v>46220</v>
      </c>
      <c r="C559" s="0" t="n">
        <v>9.751</v>
      </c>
    </row>
    <row r="560" customFormat="false" ht="15" hidden="false" customHeight="false" outlineLevel="0" collapsed="false">
      <c r="A560" s="0" t="s">
        <v>131</v>
      </c>
      <c r="B560" s="2" t="n">
        <v>46220</v>
      </c>
      <c r="C560" s="0" t="n">
        <v>0.577</v>
      </c>
    </row>
    <row r="561" customFormat="false" ht="15" hidden="false" customHeight="false" outlineLevel="0" collapsed="false">
      <c r="A561" s="0" t="s">
        <v>132</v>
      </c>
      <c r="B561" s="2" t="n">
        <v>46220</v>
      </c>
      <c r="C561" s="0" t="n">
        <v>41.962</v>
      </c>
    </row>
    <row r="562" customFormat="false" ht="15" hidden="false" customHeight="false" outlineLevel="0" collapsed="false">
      <c r="A562" s="0" t="s">
        <v>135</v>
      </c>
      <c r="B562" s="2" t="n">
        <v>46220</v>
      </c>
      <c r="C562" s="0" t="n">
        <v>704.007</v>
      </c>
    </row>
    <row r="563" customFormat="false" ht="15" hidden="false" customHeight="false" outlineLevel="0" collapsed="false">
      <c r="A563" s="0" t="s">
        <v>138</v>
      </c>
      <c r="B563" s="2" t="n">
        <v>46220</v>
      </c>
      <c r="C563" s="0" t="n">
        <v>16.926</v>
      </c>
    </row>
    <row r="564" customFormat="false" ht="15" hidden="false" customHeight="false" outlineLevel="0" collapsed="false">
      <c r="A564" s="0" t="s">
        <v>133</v>
      </c>
      <c r="B564" s="2" t="n">
        <v>46220</v>
      </c>
      <c r="C564" s="0" t="n">
        <v>0.105</v>
      </c>
    </row>
    <row r="565" customFormat="false" ht="15" hidden="false" customHeight="false" outlineLevel="0" collapsed="false">
      <c r="A565" s="0" t="s">
        <v>136</v>
      </c>
      <c r="B565" s="2" t="n">
        <v>46220</v>
      </c>
      <c r="C565" s="0" t="n">
        <v>36.332</v>
      </c>
    </row>
    <row r="566" customFormat="false" ht="15" hidden="false" customHeight="false" outlineLevel="0" collapsed="false">
      <c r="A566" s="0" t="s">
        <v>134</v>
      </c>
      <c r="B566" s="2" t="n">
        <v>46221</v>
      </c>
      <c r="C566" s="0" t="n">
        <v>6.337</v>
      </c>
    </row>
    <row r="567" customFormat="false" ht="15" hidden="false" customHeight="false" outlineLevel="0" collapsed="false">
      <c r="A567" s="0" t="s">
        <v>137</v>
      </c>
      <c r="B567" s="2" t="n">
        <v>46221</v>
      </c>
      <c r="C567" s="0" t="n">
        <v>0.358</v>
      </c>
    </row>
    <row r="568" customFormat="false" ht="15" hidden="false" customHeight="false" outlineLevel="0" collapsed="false">
      <c r="A568" s="0" t="s">
        <v>129</v>
      </c>
      <c r="B568" s="2" t="n">
        <v>46221</v>
      </c>
      <c r="C568" s="0" t="n">
        <v>26.294</v>
      </c>
    </row>
    <row r="569" customFormat="false" ht="15" hidden="false" customHeight="false" outlineLevel="0" collapsed="false">
      <c r="A569" s="0" t="s">
        <v>130</v>
      </c>
      <c r="B569" s="2" t="n">
        <v>46221</v>
      </c>
      <c r="C569" s="0" t="n">
        <v>12.835</v>
      </c>
    </row>
    <row r="570" customFormat="false" ht="15" hidden="false" customHeight="false" outlineLevel="0" collapsed="false">
      <c r="A570" s="0" t="s">
        <v>131</v>
      </c>
      <c r="B570" s="2" t="n">
        <v>46221</v>
      </c>
      <c r="C570" s="0" t="n">
        <v>0.759</v>
      </c>
    </row>
    <row r="571" customFormat="false" ht="15" hidden="false" customHeight="false" outlineLevel="0" collapsed="false">
      <c r="A571" s="0" t="s">
        <v>132</v>
      </c>
      <c r="B571" s="2" t="n">
        <v>46221</v>
      </c>
      <c r="C571" s="0" t="n">
        <v>25.143</v>
      </c>
    </row>
    <row r="572" customFormat="false" ht="15" hidden="false" customHeight="false" outlineLevel="0" collapsed="false">
      <c r="A572" s="0" t="s">
        <v>135</v>
      </c>
      <c r="B572" s="2" t="n">
        <v>46221</v>
      </c>
      <c r="C572" s="0" t="n">
        <v>633.718</v>
      </c>
    </row>
    <row r="573" customFormat="false" ht="15" hidden="false" customHeight="false" outlineLevel="0" collapsed="false">
      <c r="A573" s="0" t="s">
        <v>138</v>
      </c>
      <c r="B573" s="2" t="n">
        <v>46221</v>
      </c>
      <c r="C573" s="0" t="n">
        <v>15.022</v>
      </c>
    </row>
    <row r="574" customFormat="false" ht="15" hidden="false" customHeight="false" outlineLevel="0" collapsed="false">
      <c r="A574" s="0" t="s">
        <v>133</v>
      </c>
      <c r="B574" s="2" t="n">
        <v>46221</v>
      </c>
      <c r="C574" s="0" t="n">
        <v>0.138</v>
      </c>
    </row>
    <row r="575" customFormat="false" ht="15" hidden="false" customHeight="false" outlineLevel="0" collapsed="false">
      <c r="A575" s="0" t="s">
        <v>136</v>
      </c>
      <c r="B575" s="2" t="n">
        <v>46221</v>
      </c>
      <c r="C575" s="0" t="n">
        <v>32.705</v>
      </c>
    </row>
    <row r="576" customFormat="false" ht="15" hidden="false" customHeight="false" outlineLevel="0" collapsed="false">
      <c r="A576" s="0" t="s">
        <v>134</v>
      </c>
      <c r="B576" s="2" t="n">
        <v>46222</v>
      </c>
      <c r="C576" s="0" t="n">
        <v>5.71</v>
      </c>
    </row>
    <row r="577" customFormat="false" ht="15" hidden="false" customHeight="false" outlineLevel="0" collapsed="false">
      <c r="A577" s="0" t="s">
        <v>137</v>
      </c>
      <c r="B577" s="2" t="n">
        <v>46222</v>
      </c>
      <c r="C577" s="0" t="n">
        <v>0.432</v>
      </c>
    </row>
    <row r="578" customFormat="false" ht="15" hidden="false" customHeight="false" outlineLevel="0" collapsed="false">
      <c r="A578" s="0" t="s">
        <v>130</v>
      </c>
      <c r="B578" s="2" t="n">
        <v>46222</v>
      </c>
      <c r="C578" s="0" t="n">
        <v>14.145</v>
      </c>
    </row>
    <row r="579" customFormat="false" ht="15" hidden="false" customHeight="false" outlineLevel="0" collapsed="false">
      <c r="A579" s="0" t="s">
        <v>131</v>
      </c>
      <c r="B579" s="2" t="n">
        <v>46222</v>
      </c>
      <c r="C579" s="0" t="n">
        <v>0.836</v>
      </c>
    </row>
    <row r="580" customFormat="false" ht="15" hidden="false" customHeight="false" outlineLevel="0" collapsed="false">
      <c r="A580" s="0" t="s">
        <v>135</v>
      </c>
      <c r="B580" s="2" t="n">
        <v>46222</v>
      </c>
      <c r="C580" s="0" t="n">
        <v>570.954</v>
      </c>
    </row>
    <row r="581" customFormat="false" ht="15" hidden="false" customHeight="false" outlineLevel="0" collapsed="false">
      <c r="A581" s="0" t="s">
        <v>138</v>
      </c>
      <c r="B581" s="2" t="n">
        <v>46222</v>
      </c>
      <c r="C581" s="0" t="n">
        <v>18.151</v>
      </c>
    </row>
    <row r="582" customFormat="false" ht="15" hidden="false" customHeight="false" outlineLevel="0" collapsed="false">
      <c r="A582" s="0" t="s">
        <v>133</v>
      </c>
      <c r="B582" s="2" t="n">
        <v>46222</v>
      </c>
      <c r="C582" s="0" t="n">
        <v>0.152</v>
      </c>
    </row>
    <row r="583" customFormat="false" ht="15" hidden="false" customHeight="false" outlineLevel="0" collapsed="false">
      <c r="A583" s="0" t="s">
        <v>136</v>
      </c>
      <c r="B583" s="2" t="n">
        <v>46222</v>
      </c>
      <c r="C583" s="0" t="n">
        <v>29.465</v>
      </c>
    </row>
    <row r="584" customFormat="false" ht="15" hidden="false" customHeight="false" outlineLevel="0" collapsed="false">
      <c r="A584" s="0" t="s">
        <v>134</v>
      </c>
      <c r="B584" s="2" t="n">
        <v>46223</v>
      </c>
      <c r="C584" s="0" t="n">
        <v>5.733</v>
      </c>
    </row>
    <row r="585" customFormat="false" ht="15" hidden="false" customHeight="false" outlineLevel="0" collapsed="false">
      <c r="A585" s="0" t="s">
        <v>137</v>
      </c>
      <c r="B585" s="2" t="n">
        <v>46223</v>
      </c>
      <c r="C585" s="0" t="n">
        <v>0.377</v>
      </c>
    </row>
    <row r="586" customFormat="false" ht="15" hidden="false" customHeight="false" outlineLevel="0" collapsed="false">
      <c r="A586" s="0" t="s">
        <v>130</v>
      </c>
      <c r="B586" s="2" t="n">
        <v>46223</v>
      </c>
      <c r="C586" s="0" t="n">
        <v>7.809</v>
      </c>
    </row>
    <row r="587" customFormat="false" ht="15" hidden="false" customHeight="false" outlineLevel="0" collapsed="false">
      <c r="A587" s="0" t="s">
        <v>131</v>
      </c>
      <c r="B587" s="2" t="n">
        <v>46223</v>
      </c>
      <c r="C587" s="0" t="n">
        <v>0.462</v>
      </c>
    </row>
    <row r="588" customFormat="false" ht="15" hidden="false" customHeight="false" outlineLevel="0" collapsed="false">
      <c r="A588" s="0" t="s">
        <v>135</v>
      </c>
      <c r="B588" s="2" t="n">
        <v>46223</v>
      </c>
      <c r="C588" s="0" t="n">
        <v>573.335</v>
      </c>
    </row>
    <row r="589" customFormat="false" ht="15" hidden="false" customHeight="false" outlineLevel="0" collapsed="false">
      <c r="A589" s="0" t="s">
        <v>138</v>
      </c>
      <c r="B589" s="2" t="n">
        <v>46223</v>
      </c>
      <c r="C589" s="0" t="n">
        <v>15.802</v>
      </c>
    </row>
    <row r="590" customFormat="false" ht="15" hidden="false" customHeight="false" outlineLevel="0" collapsed="false">
      <c r="A590" s="0" t="s">
        <v>133</v>
      </c>
      <c r="B590" s="2" t="n">
        <v>46223</v>
      </c>
      <c r="C590" s="0" t="n">
        <v>0.084</v>
      </c>
    </row>
    <row r="591" customFormat="false" ht="15" hidden="false" customHeight="false" outlineLevel="0" collapsed="false">
      <c r="A591" s="0" t="s">
        <v>136</v>
      </c>
      <c r="B591" s="2" t="n">
        <v>46223</v>
      </c>
      <c r="C591" s="0" t="n">
        <v>29.588</v>
      </c>
    </row>
    <row r="592" customFormat="false" ht="15" hidden="false" customHeight="false" outlineLevel="0" collapsed="false">
      <c r="A592" s="0" t="s">
        <v>134</v>
      </c>
      <c r="B592" s="2" t="n">
        <v>46224</v>
      </c>
      <c r="C592" s="0" t="n">
        <v>6.52</v>
      </c>
    </row>
    <row r="593" customFormat="false" ht="15" hidden="false" customHeight="false" outlineLevel="0" collapsed="false">
      <c r="A593" s="0" t="s">
        <v>137</v>
      </c>
      <c r="B593" s="2" t="n">
        <v>46224</v>
      </c>
      <c r="C593" s="0" t="n">
        <v>0.384</v>
      </c>
    </row>
    <row r="594" customFormat="false" ht="15" hidden="false" customHeight="false" outlineLevel="0" collapsed="false">
      <c r="A594" s="0" t="s">
        <v>139</v>
      </c>
      <c r="B594" s="2" t="n">
        <v>46224</v>
      </c>
      <c r="C594" s="0" t="n">
        <v>21.893</v>
      </c>
    </row>
    <row r="595" customFormat="false" ht="15" hidden="false" customHeight="false" outlineLevel="0" collapsed="false">
      <c r="A595" s="0" t="s">
        <v>140</v>
      </c>
      <c r="B595" s="2" t="n">
        <v>46224</v>
      </c>
      <c r="C595" s="0" t="n">
        <v>0.818</v>
      </c>
    </row>
    <row r="596" customFormat="false" ht="15" hidden="false" customHeight="false" outlineLevel="0" collapsed="false">
      <c r="A596" s="0" t="s">
        <v>141</v>
      </c>
      <c r="B596" s="2" t="n">
        <v>46224</v>
      </c>
      <c r="C596" s="0" t="n">
        <v>9.821</v>
      </c>
    </row>
    <row r="597" customFormat="false" ht="15" hidden="false" customHeight="false" outlineLevel="0" collapsed="false">
      <c r="A597" s="0" t="s">
        <v>135</v>
      </c>
      <c r="B597" s="2" t="n">
        <v>46224</v>
      </c>
      <c r="C597" s="0" t="n">
        <v>652.03</v>
      </c>
    </row>
    <row r="598" customFormat="false" ht="15" hidden="false" customHeight="false" outlineLevel="0" collapsed="false">
      <c r="A598" s="0" t="s">
        <v>138</v>
      </c>
      <c r="B598" s="2" t="n">
        <v>46224</v>
      </c>
      <c r="C598" s="0" t="n">
        <v>16.163</v>
      </c>
    </row>
    <row r="599" customFormat="false" ht="15" hidden="false" customHeight="false" outlineLevel="0" collapsed="false">
      <c r="A599" s="0" t="s">
        <v>136</v>
      </c>
      <c r="B599" s="2" t="n">
        <v>46224</v>
      </c>
      <c r="C599" s="0" t="n">
        <v>33.649</v>
      </c>
    </row>
    <row r="600" customFormat="false" ht="15" hidden="false" customHeight="false" outlineLevel="0" collapsed="false">
      <c r="A600" s="0" t="s">
        <v>134</v>
      </c>
      <c r="B600" s="2" t="n">
        <v>46225</v>
      </c>
      <c r="C600" s="0" t="n">
        <v>6.871</v>
      </c>
    </row>
    <row r="601" customFormat="false" ht="15" hidden="false" customHeight="false" outlineLevel="0" collapsed="false">
      <c r="A601" s="0" t="s">
        <v>137</v>
      </c>
      <c r="B601" s="2" t="n">
        <v>46225</v>
      </c>
      <c r="C601" s="0" t="n">
        <v>0.413</v>
      </c>
    </row>
    <row r="602" customFormat="false" ht="15" hidden="false" customHeight="false" outlineLevel="0" collapsed="false">
      <c r="A602" s="0" t="s">
        <v>139</v>
      </c>
      <c r="B602" s="2" t="n">
        <v>46225</v>
      </c>
      <c r="C602" s="0" t="n">
        <v>17.667</v>
      </c>
    </row>
    <row r="603" customFormat="false" ht="15" hidden="false" customHeight="false" outlineLevel="0" collapsed="false">
      <c r="A603" s="0" t="s">
        <v>140</v>
      </c>
      <c r="B603" s="2" t="n">
        <v>46225</v>
      </c>
      <c r="C603" s="0" t="n">
        <v>0.661</v>
      </c>
    </row>
    <row r="604" customFormat="false" ht="15" hidden="false" customHeight="false" outlineLevel="0" collapsed="false">
      <c r="A604" s="0" t="s">
        <v>141</v>
      </c>
      <c r="B604" s="2" t="n">
        <v>46225</v>
      </c>
      <c r="C604" s="0" t="n">
        <v>7.925</v>
      </c>
    </row>
    <row r="605" customFormat="false" ht="15" hidden="false" customHeight="false" outlineLevel="0" collapsed="false">
      <c r="A605" s="0" t="s">
        <v>135</v>
      </c>
      <c r="B605" s="2" t="n">
        <v>46225</v>
      </c>
      <c r="C605" s="0" t="n">
        <v>687.054</v>
      </c>
    </row>
    <row r="606" customFormat="false" ht="15" hidden="false" customHeight="false" outlineLevel="0" collapsed="false">
      <c r="A606" s="0" t="s">
        <v>138</v>
      </c>
      <c r="B606" s="2" t="n">
        <v>46225</v>
      </c>
      <c r="C606" s="0" t="n">
        <v>17.339</v>
      </c>
    </row>
    <row r="607" customFormat="false" ht="15" hidden="false" customHeight="false" outlineLevel="0" collapsed="false">
      <c r="A607" s="0" t="s">
        <v>136</v>
      </c>
      <c r="B607" s="2" t="n">
        <v>46225</v>
      </c>
      <c r="C607" s="0" t="n">
        <v>35.457</v>
      </c>
    </row>
    <row r="608" customFormat="false" ht="15" hidden="false" customHeight="false" outlineLevel="0" collapsed="false">
      <c r="A608" s="0" t="s">
        <v>134</v>
      </c>
      <c r="B608" s="2" t="n">
        <v>46226</v>
      </c>
      <c r="C608" s="0" t="n">
        <v>7.6</v>
      </c>
    </row>
    <row r="609" customFormat="false" ht="15" hidden="false" customHeight="false" outlineLevel="0" collapsed="false">
      <c r="A609" s="0" t="s">
        <v>137</v>
      </c>
      <c r="B609" s="2" t="n">
        <v>46226</v>
      </c>
      <c r="C609" s="0" t="n">
        <v>0.392</v>
      </c>
    </row>
    <row r="610" customFormat="false" ht="15" hidden="false" customHeight="false" outlineLevel="0" collapsed="false">
      <c r="A610" s="0" t="s">
        <v>139</v>
      </c>
      <c r="B610" s="2" t="n">
        <v>46226</v>
      </c>
      <c r="C610" s="0" t="n">
        <v>16.379</v>
      </c>
    </row>
    <row r="611" customFormat="false" ht="15" hidden="false" customHeight="false" outlineLevel="0" collapsed="false">
      <c r="A611" s="0" t="s">
        <v>140</v>
      </c>
      <c r="B611" s="2" t="n">
        <v>46226</v>
      </c>
      <c r="C611" s="0" t="n">
        <v>0.612</v>
      </c>
    </row>
    <row r="612" customFormat="false" ht="15" hidden="false" customHeight="false" outlineLevel="0" collapsed="false">
      <c r="A612" s="0" t="s">
        <v>141</v>
      </c>
      <c r="B612" s="2" t="n">
        <v>46226</v>
      </c>
      <c r="C612" s="0" t="n">
        <v>7.348</v>
      </c>
    </row>
    <row r="613" customFormat="false" ht="15" hidden="false" customHeight="false" outlineLevel="0" collapsed="false">
      <c r="A613" s="0" t="s">
        <v>135</v>
      </c>
      <c r="B613" s="2" t="n">
        <v>46226</v>
      </c>
      <c r="C613" s="0" t="n">
        <v>760.052</v>
      </c>
    </row>
    <row r="614" customFormat="false" ht="15" hidden="false" customHeight="false" outlineLevel="0" collapsed="false">
      <c r="A614" s="0" t="s">
        <v>138</v>
      </c>
      <c r="B614" s="2" t="n">
        <v>46226</v>
      </c>
      <c r="C614" s="0" t="n">
        <v>16.454</v>
      </c>
    </row>
    <row r="615" customFormat="false" ht="15" hidden="false" customHeight="false" outlineLevel="0" collapsed="false">
      <c r="A615" s="0" t="s">
        <v>136</v>
      </c>
      <c r="B615" s="2" t="n">
        <v>46226</v>
      </c>
      <c r="C615" s="0" t="n">
        <v>39.224</v>
      </c>
    </row>
    <row r="616" customFormat="false" ht="15" hidden="false" customHeight="false" outlineLevel="0" collapsed="false">
      <c r="A616" s="0" t="s">
        <v>134</v>
      </c>
      <c r="B616" s="2" t="n">
        <v>46227</v>
      </c>
      <c r="C616" s="0" t="n">
        <v>6.367</v>
      </c>
    </row>
    <row r="617" customFormat="false" ht="15" hidden="false" customHeight="false" outlineLevel="0" collapsed="false">
      <c r="A617" s="0" t="s">
        <v>137</v>
      </c>
      <c r="B617" s="2" t="n">
        <v>46227</v>
      </c>
      <c r="C617" s="0" t="n">
        <v>0.435</v>
      </c>
    </row>
    <row r="618" customFormat="false" ht="15" hidden="false" customHeight="false" outlineLevel="0" collapsed="false">
      <c r="A618" s="0" t="s">
        <v>139</v>
      </c>
      <c r="B618" s="2" t="n">
        <v>46227</v>
      </c>
      <c r="C618" s="0" t="n">
        <v>20.013</v>
      </c>
    </row>
    <row r="619" customFormat="false" ht="15" hidden="false" customHeight="false" outlineLevel="0" collapsed="false">
      <c r="A619" s="0" t="s">
        <v>140</v>
      </c>
      <c r="B619" s="2" t="n">
        <v>46227</v>
      </c>
      <c r="C619" s="0" t="n">
        <v>0.748</v>
      </c>
    </row>
    <row r="620" customFormat="false" ht="15" hidden="false" customHeight="false" outlineLevel="0" collapsed="false">
      <c r="A620" s="0" t="s">
        <v>141</v>
      </c>
      <c r="B620" s="2" t="n">
        <v>46227</v>
      </c>
      <c r="C620" s="0" t="n">
        <v>8.978</v>
      </c>
    </row>
    <row r="621" customFormat="false" ht="15" hidden="false" customHeight="false" outlineLevel="0" collapsed="false">
      <c r="A621" s="0" t="s">
        <v>135</v>
      </c>
      <c r="B621" s="2" t="n">
        <v>46227</v>
      </c>
      <c r="C621" s="0" t="n">
        <v>636.673</v>
      </c>
    </row>
    <row r="622" customFormat="false" ht="15" hidden="false" customHeight="false" outlineLevel="0" collapsed="false">
      <c r="A622" s="0" t="s">
        <v>138</v>
      </c>
      <c r="B622" s="2" t="n">
        <v>46227</v>
      </c>
      <c r="C622" s="0" t="n">
        <v>18.271</v>
      </c>
    </row>
    <row r="623" customFormat="false" ht="15" hidden="false" customHeight="false" outlineLevel="0" collapsed="false">
      <c r="A623" s="0" t="s">
        <v>136</v>
      </c>
      <c r="B623" s="2" t="n">
        <v>46227</v>
      </c>
      <c r="C623" s="0" t="n">
        <v>32.857</v>
      </c>
    </row>
    <row r="624" customFormat="false" ht="15" hidden="false" customHeight="false" outlineLevel="0" collapsed="false">
      <c r="A624" s="0" t="s">
        <v>134</v>
      </c>
      <c r="B624" s="2" t="n">
        <v>46228</v>
      </c>
      <c r="C624" s="0" t="n">
        <v>4.084</v>
      </c>
    </row>
    <row r="625" customFormat="false" ht="15" hidden="false" customHeight="false" outlineLevel="0" collapsed="false">
      <c r="A625" s="0" t="s">
        <v>139</v>
      </c>
      <c r="B625" s="2" t="n">
        <v>46228</v>
      </c>
      <c r="C625" s="0" t="n">
        <v>17.446</v>
      </c>
    </row>
    <row r="626" customFormat="false" ht="15" hidden="false" customHeight="false" outlineLevel="0" collapsed="false">
      <c r="A626" s="0" t="s">
        <v>140</v>
      </c>
      <c r="B626" s="2" t="n">
        <v>46228</v>
      </c>
      <c r="C626" s="0" t="n">
        <v>0.653</v>
      </c>
    </row>
    <row r="627" customFormat="false" ht="15" hidden="false" customHeight="false" outlineLevel="0" collapsed="false">
      <c r="A627" s="0" t="s">
        <v>141</v>
      </c>
      <c r="B627" s="2" t="n">
        <v>46228</v>
      </c>
      <c r="C627" s="0" t="n">
        <v>7.826</v>
      </c>
    </row>
    <row r="628" customFormat="false" ht="15" hidden="false" customHeight="false" outlineLevel="0" collapsed="false">
      <c r="A628" s="0" t="s">
        <v>135</v>
      </c>
      <c r="B628" s="2" t="n">
        <v>46228</v>
      </c>
      <c r="C628" s="0" t="n">
        <v>408.386</v>
      </c>
    </row>
    <row r="629" customFormat="false" ht="15" hidden="false" customHeight="false" outlineLevel="0" collapsed="false">
      <c r="A629" s="0" t="s">
        <v>136</v>
      </c>
      <c r="B629" s="2" t="n">
        <v>46228</v>
      </c>
      <c r="C629" s="0" t="n">
        <v>21.076</v>
      </c>
    </row>
    <row r="630" customFormat="false" ht="15" hidden="false" customHeight="false" outlineLevel="0" collapsed="false">
      <c r="A630" s="0" t="s">
        <v>142</v>
      </c>
      <c r="B630" s="2" t="n">
        <v>46229</v>
      </c>
      <c r="C630" s="0" t="n">
        <v>30.398</v>
      </c>
    </row>
    <row r="631" customFormat="false" ht="15" hidden="false" customHeight="false" outlineLevel="0" collapsed="false">
      <c r="A631" s="0" t="s">
        <v>143</v>
      </c>
      <c r="B631" s="2" t="n">
        <v>46229</v>
      </c>
      <c r="C631" s="0" t="n">
        <v>493.155</v>
      </c>
    </row>
    <row r="632" customFormat="false" ht="15" hidden="false" customHeight="false" outlineLevel="0" collapsed="false">
      <c r="A632" s="0" t="s">
        <v>139</v>
      </c>
      <c r="B632" s="2" t="n">
        <v>46229</v>
      </c>
      <c r="C632" s="0" t="n">
        <v>18.647</v>
      </c>
    </row>
    <row r="633" customFormat="false" ht="15" hidden="false" customHeight="false" outlineLevel="0" collapsed="false">
      <c r="A633" s="0" t="s">
        <v>140</v>
      </c>
      <c r="B633" s="2" t="n">
        <v>46229</v>
      </c>
      <c r="C633" s="0" t="n">
        <v>0.697</v>
      </c>
    </row>
    <row r="634" customFormat="false" ht="15" hidden="false" customHeight="false" outlineLevel="0" collapsed="false">
      <c r="A634" s="0" t="s">
        <v>141</v>
      </c>
      <c r="B634" s="2" t="n">
        <v>46229</v>
      </c>
      <c r="C634" s="0" t="n">
        <v>8.365</v>
      </c>
    </row>
    <row r="635" customFormat="false" ht="15" hidden="false" customHeight="false" outlineLevel="0" collapsed="false">
      <c r="A635" s="0" t="s">
        <v>144</v>
      </c>
      <c r="B635" s="2" t="n">
        <v>46229</v>
      </c>
      <c r="C635" s="0" t="n">
        <v>3.557</v>
      </c>
    </row>
    <row r="636" customFormat="false" ht="15" hidden="false" customHeight="false" outlineLevel="0" collapsed="false">
      <c r="A636" s="0" t="s">
        <v>142</v>
      </c>
      <c r="B636" s="2" t="n">
        <v>46230</v>
      </c>
      <c r="C636" s="0" t="n">
        <v>31.592</v>
      </c>
    </row>
    <row r="637" customFormat="false" ht="15" hidden="false" customHeight="false" outlineLevel="0" collapsed="false">
      <c r="A637" s="0" t="s">
        <v>143</v>
      </c>
      <c r="B637" s="2" t="n">
        <v>46230</v>
      </c>
      <c r="C637" s="0" t="n">
        <v>512.534</v>
      </c>
    </row>
    <row r="638" customFormat="false" ht="15" hidden="false" customHeight="false" outlineLevel="0" collapsed="false">
      <c r="A638" s="0" t="s">
        <v>139</v>
      </c>
      <c r="B638" s="2" t="n">
        <v>46230</v>
      </c>
      <c r="C638" s="0" t="n">
        <v>17.359</v>
      </c>
    </row>
    <row r="639" customFormat="false" ht="15" hidden="false" customHeight="false" outlineLevel="0" collapsed="false">
      <c r="A639" s="0" t="s">
        <v>140</v>
      </c>
      <c r="B639" s="2" t="n">
        <v>46230</v>
      </c>
      <c r="C639" s="0" t="n">
        <v>0.649</v>
      </c>
    </row>
    <row r="640" customFormat="false" ht="15" hidden="false" customHeight="false" outlineLevel="0" collapsed="false">
      <c r="A640" s="0" t="s">
        <v>141</v>
      </c>
      <c r="B640" s="2" t="n">
        <v>46230</v>
      </c>
      <c r="C640" s="0" t="n">
        <v>7.787</v>
      </c>
    </row>
    <row r="641" customFormat="false" ht="15" hidden="false" customHeight="false" outlineLevel="0" collapsed="false">
      <c r="A641" s="0" t="s">
        <v>144</v>
      </c>
      <c r="B641" s="2" t="n">
        <v>46230</v>
      </c>
      <c r="C641" s="0" t="n">
        <v>3.697</v>
      </c>
    </row>
    <row r="642" customFormat="false" ht="15" hidden="false" customHeight="false" outlineLevel="0" collapsed="false">
      <c r="A642" s="0" t="s">
        <v>142</v>
      </c>
      <c r="B642" s="2" t="n">
        <v>46231</v>
      </c>
      <c r="C642" s="0" t="n">
        <v>29.3</v>
      </c>
    </row>
    <row r="643" customFormat="false" ht="15" hidden="false" customHeight="false" outlineLevel="0" collapsed="false">
      <c r="A643" s="0" t="s">
        <v>143</v>
      </c>
      <c r="B643" s="2" t="n">
        <v>46231</v>
      </c>
      <c r="C643" s="0" t="n">
        <v>475.345</v>
      </c>
    </row>
    <row r="644" customFormat="false" ht="15" hidden="false" customHeight="false" outlineLevel="0" collapsed="false">
      <c r="A644" s="0" t="s">
        <v>139</v>
      </c>
      <c r="B644" s="2" t="n">
        <v>46231</v>
      </c>
      <c r="C644" s="0" t="n">
        <v>16.634</v>
      </c>
    </row>
    <row r="645" customFormat="false" ht="15" hidden="false" customHeight="false" outlineLevel="0" collapsed="false">
      <c r="A645" s="0" t="s">
        <v>140</v>
      </c>
      <c r="B645" s="2" t="n">
        <v>46231</v>
      </c>
      <c r="C645" s="0" t="n">
        <v>0.621</v>
      </c>
    </row>
    <row r="646" customFormat="false" ht="15" hidden="false" customHeight="false" outlineLevel="0" collapsed="false">
      <c r="A646" s="0" t="s">
        <v>141</v>
      </c>
      <c r="B646" s="2" t="n">
        <v>46231</v>
      </c>
      <c r="C646" s="0" t="n">
        <v>7.462</v>
      </c>
    </row>
    <row r="647" customFormat="false" ht="15" hidden="false" customHeight="false" outlineLevel="0" collapsed="false">
      <c r="A647" s="0" t="s">
        <v>144</v>
      </c>
      <c r="B647" s="2" t="n">
        <v>46231</v>
      </c>
      <c r="C647" s="0" t="n">
        <v>3.429</v>
      </c>
    </row>
    <row r="648" customFormat="false" ht="15" hidden="false" customHeight="false" outlineLevel="0" collapsed="false">
      <c r="A648" s="0" t="s">
        <v>142</v>
      </c>
      <c r="B648" s="2" t="n">
        <v>46232</v>
      </c>
      <c r="C648" s="0" t="n">
        <v>26.625</v>
      </c>
    </row>
    <row r="649" customFormat="false" ht="15" hidden="false" customHeight="false" outlineLevel="0" collapsed="false">
      <c r="A649" s="0" t="s">
        <v>143</v>
      </c>
      <c r="B649" s="2" t="n">
        <v>46232</v>
      </c>
      <c r="C649" s="0" t="n">
        <v>431.956</v>
      </c>
    </row>
    <row r="650" customFormat="false" ht="15" hidden="false" customHeight="false" outlineLevel="0" collapsed="false">
      <c r="A650" s="0" t="s">
        <v>139</v>
      </c>
      <c r="B650" s="2" t="n">
        <v>46232</v>
      </c>
      <c r="C650" s="0" t="n">
        <v>16.628</v>
      </c>
    </row>
    <row r="651" customFormat="false" ht="15" hidden="false" customHeight="false" outlineLevel="0" collapsed="false">
      <c r="A651" s="0" t="s">
        <v>140</v>
      </c>
      <c r="B651" s="2" t="n">
        <v>46232</v>
      </c>
      <c r="C651" s="0" t="n">
        <v>0.622</v>
      </c>
    </row>
    <row r="652" customFormat="false" ht="15" hidden="false" customHeight="false" outlineLevel="0" collapsed="false">
      <c r="A652" s="0" t="s">
        <v>141</v>
      </c>
      <c r="B652" s="2" t="n">
        <v>46232</v>
      </c>
      <c r="C652" s="0" t="n">
        <v>7.459</v>
      </c>
    </row>
    <row r="653" customFormat="false" ht="15" hidden="false" customHeight="false" outlineLevel="0" collapsed="false">
      <c r="A653" s="0" t="s">
        <v>144</v>
      </c>
      <c r="B653" s="2" t="n">
        <v>46232</v>
      </c>
      <c r="C653" s="0" t="n">
        <v>3.116</v>
      </c>
    </row>
    <row r="654" customFormat="false" ht="15" hidden="false" customHeight="false" outlineLevel="0" collapsed="false">
      <c r="A654" s="0" t="s">
        <v>142</v>
      </c>
      <c r="B654" s="2" t="n">
        <v>46233</v>
      </c>
      <c r="C654" s="0" t="n">
        <v>28.403</v>
      </c>
    </row>
    <row r="655" customFormat="false" ht="15" hidden="false" customHeight="false" outlineLevel="0" collapsed="false">
      <c r="A655" s="0" t="s">
        <v>143</v>
      </c>
      <c r="B655" s="2" t="n">
        <v>46233</v>
      </c>
      <c r="C655" s="0" t="n">
        <v>460.793</v>
      </c>
    </row>
    <row r="656" customFormat="false" ht="15" hidden="false" customHeight="false" outlineLevel="0" collapsed="false">
      <c r="A656" s="0" t="s">
        <v>139</v>
      </c>
      <c r="B656" s="2" t="n">
        <v>46233</v>
      </c>
      <c r="C656" s="0" t="n">
        <v>19.721</v>
      </c>
    </row>
    <row r="657" customFormat="false" ht="15" hidden="false" customHeight="false" outlineLevel="0" collapsed="false">
      <c r="A657" s="0" t="s">
        <v>140</v>
      </c>
      <c r="B657" s="2" t="n">
        <v>46233</v>
      </c>
      <c r="C657" s="0" t="n">
        <v>0.737</v>
      </c>
    </row>
    <row r="658" customFormat="false" ht="15" hidden="false" customHeight="false" outlineLevel="0" collapsed="false">
      <c r="A658" s="0" t="s">
        <v>141</v>
      </c>
      <c r="B658" s="2" t="n">
        <v>46233</v>
      </c>
      <c r="C658" s="0" t="n">
        <v>8.848</v>
      </c>
    </row>
    <row r="659" customFormat="false" ht="15" hidden="false" customHeight="false" outlineLevel="0" collapsed="false">
      <c r="A659" s="0" t="s">
        <v>145</v>
      </c>
      <c r="B659" s="2" t="n">
        <v>46233</v>
      </c>
      <c r="C659" s="0" t="n">
        <v>4.482</v>
      </c>
    </row>
    <row r="660" customFormat="false" ht="15" hidden="false" customHeight="false" outlineLevel="0" collapsed="false">
      <c r="A660" s="0" t="s">
        <v>146</v>
      </c>
      <c r="B660" s="2" t="n">
        <v>46233</v>
      </c>
      <c r="C660" s="0" t="n">
        <v>36.002</v>
      </c>
    </row>
    <row r="661" customFormat="false" ht="15" hidden="false" customHeight="false" outlineLevel="0" collapsed="false">
      <c r="A661" s="0" t="s">
        <v>144</v>
      </c>
      <c r="B661" s="2" t="n">
        <v>46233</v>
      </c>
      <c r="C661" s="0" t="n">
        <v>3.323</v>
      </c>
    </row>
    <row r="662" customFormat="false" ht="15" hidden="false" customHeight="false" outlineLevel="0" collapsed="false">
      <c r="A662" s="0" t="s">
        <v>147</v>
      </c>
      <c r="B662" s="2" t="n">
        <v>46233</v>
      </c>
      <c r="C662" s="0" t="n">
        <v>560.192</v>
      </c>
    </row>
    <row r="663" customFormat="false" ht="15" hidden="false" customHeight="false" outlineLevel="0" collapsed="false">
      <c r="A663" s="0" t="s">
        <v>142</v>
      </c>
      <c r="B663" s="2" t="n">
        <v>46234</v>
      </c>
      <c r="C663" s="0" t="n">
        <v>27.831</v>
      </c>
    </row>
    <row r="664" customFormat="false" ht="15" hidden="false" customHeight="false" outlineLevel="0" collapsed="false">
      <c r="A664" s="0" t="s">
        <v>143</v>
      </c>
      <c r="B664" s="2" t="n">
        <v>46234</v>
      </c>
      <c r="C664" s="0" t="n">
        <v>451.502</v>
      </c>
    </row>
    <row r="665" customFormat="false" ht="15" hidden="false" customHeight="false" outlineLevel="0" collapsed="false">
      <c r="A665" s="0" t="s">
        <v>139</v>
      </c>
      <c r="B665" s="2" t="n">
        <v>46234</v>
      </c>
      <c r="C665" s="0" t="n">
        <v>16.74</v>
      </c>
    </row>
    <row r="666" customFormat="false" ht="15" hidden="false" customHeight="false" outlineLevel="0" collapsed="false">
      <c r="A666" s="0" t="s">
        <v>140</v>
      </c>
      <c r="B666" s="2" t="n">
        <v>46234</v>
      </c>
      <c r="C666" s="0" t="n">
        <v>0.626</v>
      </c>
    </row>
    <row r="667" customFormat="false" ht="15" hidden="false" customHeight="false" outlineLevel="0" collapsed="false">
      <c r="A667" s="0" t="s">
        <v>141</v>
      </c>
      <c r="B667" s="2" t="n">
        <v>46234</v>
      </c>
      <c r="C667" s="0" t="n">
        <v>7.509</v>
      </c>
    </row>
    <row r="668" customFormat="false" ht="15" hidden="false" customHeight="false" outlineLevel="0" collapsed="false">
      <c r="A668" s="0" t="s">
        <v>145</v>
      </c>
      <c r="B668" s="2" t="n">
        <v>46234</v>
      </c>
      <c r="C668" s="0" t="n">
        <v>4.417</v>
      </c>
    </row>
    <row r="669" customFormat="false" ht="15" hidden="false" customHeight="false" outlineLevel="0" collapsed="false">
      <c r="A669" s="0" t="s">
        <v>146</v>
      </c>
      <c r="B669" s="2" t="n">
        <v>46234</v>
      </c>
      <c r="C669" s="0" t="n">
        <v>35.487</v>
      </c>
    </row>
    <row r="670" customFormat="false" ht="15" hidden="false" customHeight="false" outlineLevel="0" collapsed="false">
      <c r="A670" s="0" t="s">
        <v>144</v>
      </c>
      <c r="B670" s="2" t="n">
        <v>46234</v>
      </c>
      <c r="C670" s="0" t="n">
        <v>3.257</v>
      </c>
    </row>
    <row r="671" customFormat="false" ht="15" hidden="false" customHeight="false" outlineLevel="0" collapsed="false">
      <c r="A671" s="0" t="s">
        <v>147</v>
      </c>
      <c r="B671" s="2" t="n">
        <v>46234</v>
      </c>
      <c r="C671" s="0" t="n">
        <v>552.182</v>
      </c>
    </row>
    <row r="672" customFormat="false" ht="15" hidden="false" customHeight="false" outlineLevel="0" collapsed="false">
      <c r="A672" s="0" t="s">
        <v>142</v>
      </c>
      <c r="B672" s="2" t="n">
        <v>46235</v>
      </c>
      <c r="C672" s="0" t="n">
        <v>32.018</v>
      </c>
    </row>
    <row r="673" customFormat="false" ht="15" hidden="false" customHeight="false" outlineLevel="0" collapsed="false">
      <c r="A673" s="0" t="s">
        <v>143</v>
      </c>
      <c r="B673" s="2" t="n">
        <v>46235</v>
      </c>
      <c r="C673" s="0" t="n">
        <v>519.45</v>
      </c>
    </row>
    <row r="674" customFormat="false" ht="15" hidden="false" customHeight="false" outlineLevel="0" collapsed="false">
      <c r="A674" s="0" t="s">
        <v>139</v>
      </c>
      <c r="B674" s="2" t="n">
        <v>46235</v>
      </c>
      <c r="C674" s="0" t="n">
        <v>14.553</v>
      </c>
    </row>
    <row r="675" customFormat="false" ht="15" hidden="false" customHeight="false" outlineLevel="0" collapsed="false">
      <c r="A675" s="0" t="s">
        <v>140</v>
      </c>
      <c r="B675" s="2" t="n">
        <v>46235</v>
      </c>
      <c r="C675" s="0" t="n">
        <v>0.544</v>
      </c>
    </row>
    <row r="676" customFormat="false" ht="15" hidden="false" customHeight="false" outlineLevel="0" collapsed="false">
      <c r="A676" s="0" t="s">
        <v>141</v>
      </c>
      <c r="B676" s="2" t="n">
        <v>46235</v>
      </c>
      <c r="C676" s="0" t="n">
        <v>6.529</v>
      </c>
    </row>
    <row r="677" customFormat="false" ht="15" hidden="false" customHeight="false" outlineLevel="0" collapsed="false">
      <c r="A677" s="0" t="s">
        <v>145</v>
      </c>
      <c r="B677" s="2" t="n">
        <v>46235</v>
      </c>
      <c r="C677" s="0" t="n">
        <v>3.662</v>
      </c>
    </row>
    <row r="678" customFormat="false" ht="15" hidden="false" customHeight="false" outlineLevel="0" collapsed="false">
      <c r="A678" s="0" t="s">
        <v>146</v>
      </c>
      <c r="B678" s="2" t="n">
        <v>46235</v>
      </c>
      <c r="C678" s="0" t="n">
        <v>29.415</v>
      </c>
    </row>
    <row r="679" customFormat="false" ht="15" hidden="false" customHeight="false" outlineLevel="0" collapsed="false">
      <c r="A679" s="0" t="s">
        <v>144</v>
      </c>
      <c r="B679" s="2" t="n">
        <v>46235</v>
      </c>
      <c r="C679" s="0" t="n">
        <v>3.747</v>
      </c>
    </row>
    <row r="680" customFormat="false" ht="15" hidden="false" customHeight="false" outlineLevel="0" collapsed="false">
      <c r="A680" s="0" t="s">
        <v>147</v>
      </c>
      <c r="B680" s="2" t="n">
        <v>46235</v>
      </c>
      <c r="C680" s="0" t="n">
        <v>457.715</v>
      </c>
    </row>
    <row r="681" customFormat="false" ht="15" hidden="false" customHeight="false" outlineLevel="0" collapsed="false">
      <c r="A681" s="0" t="s">
        <v>142</v>
      </c>
      <c r="B681" s="2" t="n">
        <v>46236</v>
      </c>
      <c r="C681" s="0" t="n">
        <v>30.603</v>
      </c>
    </row>
    <row r="682" customFormat="false" ht="15" hidden="false" customHeight="false" outlineLevel="0" collapsed="false">
      <c r="A682" s="0" t="s">
        <v>143</v>
      </c>
      <c r="B682" s="2" t="n">
        <v>46236</v>
      </c>
      <c r="C682" s="0" t="n">
        <v>496.48</v>
      </c>
    </row>
    <row r="683" customFormat="false" ht="15" hidden="false" customHeight="false" outlineLevel="0" collapsed="false">
      <c r="A683" s="0" t="s">
        <v>139</v>
      </c>
      <c r="B683" s="2" t="n">
        <v>46236</v>
      </c>
      <c r="C683" s="0" t="n">
        <v>0.32</v>
      </c>
    </row>
    <row r="684" customFormat="false" ht="15" hidden="false" customHeight="false" outlineLevel="0" collapsed="false">
      <c r="A684" s="0" t="s">
        <v>140</v>
      </c>
      <c r="B684" s="2" t="n">
        <v>46236</v>
      </c>
      <c r="C684" s="0" t="n">
        <v>0.012</v>
      </c>
    </row>
    <row r="685" customFormat="false" ht="15" hidden="false" customHeight="false" outlineLevel="0" collapsed="false">
      <c r="A685" s="0" t="s">
        <v>141</v>
      </c>
      <c r="B685" s="2" t="n">
        <v>46236</v>
      </c>
      <c r="C685" s="0" t="n">
        <v>0.143</v>
      </c>
    </row>
    <row r="686" customFormat="false" ht="15" hidden="false" customHeight="false" outlineLevel="0" collapsed="false">
      <c r="A686" s="0" t="s">
        <v>145</v>
      </c>
      <c r="B686" s="2" t="n">
        <v>46236</v>
      </c>
      <c r="C686" s="0" t="n">
        <v>4.017</v>
      </c>
    </row>
    <row r="687" customFormat="false" ht="15" hidden="false" customHeight="false" outlineLevel="0" collapsed="false">
      <c r="A687" s="0" t="s">
        <v>146</v>
      </c>
      <c r="B687" s="2" t="n">
        <v>46236</v>
      </c>
      <c r="C687" s="0" t="n">
        <v>32.277</v>
      </c>
    </row>
    <row r="688" customFormat="false" ht="15" hidden="false" customHeight="false" outlineLevel="0" collapsed="false">
      <c r="A688" s="0" t="s">
        <v>144</v>
      </c>
      <c r="B688" s="2" t="n">
        <v>46236</v>
      </c>
      <c r="C688" s="0" t="n">
        <v>3.581</v>
      </c>
    </row>
    <row r="689" customFormat="false" ht="15" hidden="false" customHeight="false" outlineLevel="0" collapsed="false">
      <c r="A689" s="0" t="s">
        <v>147</v>
      </c>
      <c r="B689" s="2" t="n">
        <v>46236</v>
      </c>
      <c r="C689" s="0" t="n">
        <v>502.222</v>
      </c>
    </row>
    <row r="690" customFormat="false" ht="15" hidden="false" customHeight="false" outlineLevel="0" collapsed="false">
      <c r="A690" s="0" t="s">
        <v>142</v>
      </c>
      <c r="B690" s="2" t="n">
        <v>46237</v>
      </c>
      <c r="C690" s="0" t="n">
        <v>32.37</v>
      </c>
    </row>
    <row r="691" customFormat="false" ht="15" hidden="false" customHeight="false" outlineLevel="0" collapsed="false">
      <c r="A691" s="0" t="s">
        <v>148</v>
      </c>
      <c r="B691" s="2" t="n">
        <v>46237</v>
      </c>
      <c r="C691" s="0" t="n">
        <v>0.633</v>
      </c>
    </row>
    <row r="692" customFormat="false" ht="15" hidden="false" customHeight="false" outlineLevel="0" collapsed="false">
      <c r="A692" s="0" t="s">
        <v>143</v>
      </c>
      <c r="B692" s="2" t="n">
        <v>46237</v>
      </c>
      <c r="C692" s="0" t="n">
        <v>525.157</v>
      </c>
    </row>
    <row r="693" customFormat="false" ht="15" hidden="false" customHeight="false" outlineLevel="0" collapsed="false">
      <c r="A693" s="0" t="s">
        <v>145</v>
      </c>
      <c r="B693" s="2" t="n">
        <v>46237</v>
      </c>
      <c r="C693" s="0" t="n">
        <v>4.271</v>
      </c>
    </row>
    <row r="694" customFormat="false" ht="15" hidden="false" customHeight="false" outlineLevel="0" collapsed="false">
      <c r="A694" s="0" t="s">
        <v>146</v>
      </c>
      <c r="B694" s="2" t="n">
        <v>46237</v>
      </c>
      <c r="C694" s="0" t="n">
        <v>34.306</v>
      </c>
    </row>
    <row r="695" customFormat="false" ht="15" hidden="false" customHeight="false" outlineLevel="0" collapsed="false">
      <c r="A695" s="0" t="s">
        <v>149</v>
      </c>
      <c r="B695" s="2" t="n">
        <v>46237</v>
      </c>
      <c r="C695" s="0" t="n">
        <v>24.471</v>
      </c>
    </row>
    <row r="696" customFormat="false" ht="15" hidden="false" customHeight="false" outlineLevel="0" collapsed="false">
      <c r="A696" s="0" t="s">
        <v>144</v>
      </c>
      <c r="B696" s="2" t="n">
        <v>46237</v>
      </c>
      <c r="C696" s="0" t="n">
        <v>3.788</v>
      </c>
    </row>
    <row r="697" customFormat="false" ht="15" hidden="false" customHeight="false" outlineLevel="0" collapsed="false">
      <c r="A697" s="0" t="s">
        <v>147</v>
      </c>
      <c r="B697" s="2" t="n">
        <v>46237</v>
      </c>
      <c r="C697" s="0" t="n">
        <v>533.813</v>
      </c>
    </row>
    <row r="698" customFormat="false" ht="15" hidden="false" customHeight="false" outlineLevel="0" collapsed="false">
      <c r="A698" s="0" t="s">
        <v>142</v>
      </c>
      <c r="B698" s="2" t="n">
        <v>46238</v>
      </c>
      <c r="C698" s="0" t="n">
        <v>32.202</v>
      </c>
    </row>
    <row r="699" customFormat="false" ht="15" hidden="false" customHeight="false" outlineLevel="0" collapsed="false">
      <c r="A699" s="0" t="s">
        <v>148</v>
      </c>
      <c r="B699" s="2" t="n">
        <v>46238</v>
      </c>
      <c r="C699" s="0" t="n">
        <v>0.497</v>
      </c>
    </row>
    <row r="700" customFormat="false" ht="15" hidden="false" customHeight="false" outlineLevel="0" collapsed="false">
      <c r="A700" s="0" t="s">
        <v>143</v>
      </c>
      <c r="B700" s="2" t="n">
        <v>46238</v>
      </c>
      <c r="C700" s="0" t="n">
        <v>522.425</v>
      </c>
    </row>
    <row r="701" customFormat="false" ht="15" hidden="false" customHeight="false" outlineLevel="0" collapsed="false">
      <c r="A701" s="0" t="s">
        <v>145</v>
      </c>
      <c r="B701" s="2" t="n">
        <v>46238</v>
      </c>
      <c r="C701" s="0" t="n">
        <v>4.291</v>
      </c>
    </row>
    <row r="702" customFormat="false" ht="15" hidden="false" customHeight="false" outlineLevel="0" collapsed="false">
      <c r="A702" s="0" t="s">
        <v>146</v>
      </c>
      <c r="B702" s="2" t="n">
        <v>46238</v>
      </c>
      <c r="C702" s="0" t="n">
        <v>34.47</v>
      </c>
    </row>
    <row r="703" customFormat="false" ht="15" hidden="false" customHeight="false" outlineLevel="0" collapsed="false">
      <c r="A703" s="0" t="s">
        <v>149</v>
      </c>
      <c r="B703" s="2" t="n">
        <v>46238</v>
      </c>
      <c r="C703" s="0" t="n">
        <v>19.239</v>
      </c>
    </row>
    <row r="704" customFormat="false" ht="15" hidden="false" customHeight="false" outlineLevel="0" collapsed="false">
      <c r="A704" s="0" t="s">
        <v>144</v>
      </c>
      <c r="B704" s="2" t="n">
        <v>46238</v>
      </c>
      <c r="C704" s="0" t="n">
        <v>3.768</v>
      </c>
    </row>
    <row r="705" customFormat="false" ht="15" hidden="false" customHeight="false" outlineLevel="0" collapsed="false">
      <c r="A705" s="0" t="s">
        <v>147</v>
      </c>
      <c r="B705" s="2" t="n">
        <v>46238</v>
      </c>
      <c r="C705" s="0" t="n">
        <v>536.361</v>
      </c>
    </row>
    <row r="706" customFormat="false" ht="15" hidden="false" customHeight="false" outlineLevel="0" collapsed="false">
      <c r="A706" s="0" t="s">
        <v>142</v>
      </c>
      <c r="B706" s="2" t="n">
        <v>46239</v>
      </c>
      <c r="C706" s="0" t="n">
        <v>30.919</v>
      </c>
    </row>
    <row r="707" customFormat="false" ht="15" hidden="false" customHeight="false" outlineLevel="0" collapsed="false">
      <c r="A707" s="0" t="s">
        <v>148</v>
      </c>
      <c r="B707" s="2" t="n">
        <v>46239</v>
      </c>
      <c r="C707" s="0" t="n">
        <v>0.607</v>
      </c>
    </row>
    <row r="708" customFormat="false" ht="15" hidden="false" customHeight="false" outlineLevel="0" collapsed="false">
      <c r="A708" s="0" t="s">
        <v>143</v>
      </c>
      <c r="B708" s="2" t="n">
        <v>46239</v>
      </c>
      <c r="C708" s="0" t="n">
        <v>501.602</v>
      </c>
    </row>
    <row r="709" customFormat="false" ht="15" hidden="false" customHeight="false" outlineLevel="0" collapsed="false">
      <c r="A709" s="0" t="s">
        <v>145</v>
      </c>
      <c r="B709" s="2" t="n">
        <v>46239</v>
      </c>
      <c r="C709" s="0" t="n">
        <v>4.374</v>
      </c>
    </row>
    <row r="710" customFormat="false" ht="15" hidden="false" customHeight="false" outlineLevel="0" collapsed="false">
      <c r="A710" s="0" t="s">
        <v>146</v>
      </c>
      <c r="B710" s="2" t="n">
        <v>46239</v>
      </c>
      <c r="C710" s="0" t="n">
        <v>35.14</v>
      </c>
    </row>
    <row r="711" customFormat="false" ht="15" hidden="false" customHeight="false" outlineLevel="0" collapsed="false">
      <c r="A711" s="0" t="s">
        <v>149</v>
      </c>
      <c r="B711" s="2" t="n">
        <v>46239</v>
      </c>
      <c r="C711" s="0" t="n">
        <v>23.458</v>
      </c>
    </row>
    <row r="712" customFormat="false" ht="15" hidden="false" customHeight="false" outlineLevel="0" collapsed="false">
      <c r="A712" s="0" t="s">
        <v>144</v>
      </c>
      <c r="B712" s="2" t="n">
        <v>46239</v>
      </c>
      <c r="C712" s="0" t="n">
        <v>3.619</v>
      </c>
    </row>
    <row r="713" customFormat="false" ht="15" hidden="false" customHeight="false" outlineLevel="0" collapsed="false">
      <c r="A713" s="0" t="s">
        <v>147</v>
      </c>
      <c r="B713" s="2" t="n">
        <v>46239</v>
      </c>
      <c r="C713" s="0" t="n">
        <v>546.788</v>
      </c>
    </row>
    <row r="714" customFormat="false" ht="15" hidden="false" customHeight="false" outlineLevel="0" collapsed="false">
      <c r="A714" s="0" t="s">
        <v>142</v>
      </c>
      <c r="B714" s="2" t="n">
        <v>46240</v>
      </c>
      <c r="C714" s="0" t="n">
        <v>32.955</v>
      </c>
    </row>
    <row r="715" customFormat="false" ht="15" hidden="false" customHeight="false" outlineLevel="0" collapsed="false">
      <c r="A715" s="0" t="s">
        <v>148</v>
      </c>
      <c r="B715" s="2" t="n">
        <v>46240</v>
      </c>
      <c r="C715" s="0" t="n">
        <v>0.603</v>
      </c>
    </row>
    <row r="716" customFormat="false" ht="15" hidden="false" customHeight="false" outlineLevel="0" collapsed="false">
      <c r="A716" s="0" t="s">
        <v>143</v>
      </c>
      <c r="B716" s="2" t="n">
        <v>46240</v>
      </c>
      <c r="C716" s="0" t="n">
        <v>534.643</v>
      </c>
    </row>
    <row r="717" customFormat="false" ht="15" hidden="false" customHeight="false" outlineLevel="0" collapsed="false">
      <c r="A717" s="0" t="s">
        <v>145</v>
      </c>
      <c r="B717" s="2" t="n">
        <v>46240</v>
      </c>
      <c r="C717" s="0" t="n">
        <v>4.139</v>
      </c>
    </row>
    <row r="718" customFormat="false" ht="15" hidden="false" customHeight="false" outlineLevel="0" collapsed="false">
      <c r="A718" s="0" t="s">
        <v>146</v>
      </c>
      <c r="B718" s="2" t="n">
        <v>46240</v>
      </c>
      <c r="C718" s="0" t="n">
        <v>33.25</v>
      </c>
    </row>
    <row r="719" customFormat="false" ht="15" hidden="false" customHeight="false" outlineLevel="0" collapsed="false">
      <c r="A719" s="0" t="s">
        <v>149</v>
      </c>
      <c r="B719" s="2" t="n">
        <v>46240</v>
      </c>
      <c r="C719" s="0" t="n">
        <v>23.298</v>
      </c>
    </row>
    <row r="720" customFormat="false" ht="15" hidden="false" customHeight="false" outlineLevel="0" collapsed="false">
      <c r="A720" s="0" t="s">
        <v>144</v>
      </c>
      <c r="B720" s="2" t="n">
        <v>46240</v>
      </c>
      <c r="C720" s="0" t="n">
        <v>3.856</v>
      </c>
    </row>
    <row r="721" customFormat="false" ht="15" hidden="false" customHeight="false" outlineLevel="0" collapsed="false">
      <c r="A721" s="0" t="s">
        <v>147</v>
      </c>
      <c r="B721" s="2" t="n">
        <v>46240</v>
      </c>
      <c r="C721" s="0" t="n">
        <v>517.366</v>
      </c>
    </row>
    <row r="722" customFormat="false" ht="15" hidden="false" customHeight="false" outlineLevel="0" collapsed="false">
      <c r="A722" s="0" t="s">
        <v>142</v>
      </c>
      <c r="B722" s="2" t="n">
        <v>46241</v>
      </c>
      <c r="C722" s="0" t="n">
        <v>10.784</v>
      </c>
    </row>
    <row r="723" customFormat="false" ht="15" hidden="false" customHeight="false" outlineLevel="0" collapsed="false">
      <c r="A723" s="0" t="s">
        <v>148</v>
      </c>
      <c r="B723" s="2" t="n">
        <v>46241</v>
      </c>
      <c r="C723" s="0" t="n">
        <v>0.698</v>
      </c>
    </row>
    <row r="724" customFormat="false" ht="15" hidden="false" customHeight="false" outlineLevel="0" collapsed="false">
      <c r="A724" s="0" t="s">
        <v>143</v>
      </c>
      <c r="B724" s="2" t="n">
        <v>46241</v>
      </c>
      <c r="C724" s="0" t="n">
        <v>174.958</v>
      </c>
    </row>
    <row r="725" customFormat="false" ht="15" hidden="false" customHeight="false" outlineLevel="0" collapsed="false">
      <c r="A725" s="0" t="s">
        <v>145</v>
      </c>
      <c r="B725" s="2" t="n">
        <v>46241</v>
      </c>
      <c r="C725" s="0" t="n">
        <v>3.512</v>
      </c>
    </row>
    <row r="726" customFormat="false" ht="15" hidden="false" customHeight="false" outlineLevel="0" collapsed="false">
      <c r="A726" s="0" t="s">
        <v>146</v>
      </c>
      <c r="B726" s="2" t="n">
        <v>46241</v>
      </c>
      <c r="C726" s="0" t="n">
        <v>28.211</v>
      </c>
    </row>
    <row r="727" customFormat="false" ht="15" hidden="false" customHeight="false" outlineLevel="0" collapsed="false">
      <c r="A727" s="0" t="s">
        <v>149</v>
      </c>
      <c r="B727" s="2" t="n">
        <v>46241</v>
      </c>
      <c r="C727" s="0" t="n">
        <v>27.022</v>
      </c>
    </row>
    <row r="728" customFormat="false" ht="15" hidden="false" customHeight="false" outlineLevel="0" collapsed="false">
      <c r="A728" s="0" t="s">
        <v>144</v>
      </c>
      <c r="B728" s="2" t="n">
        <v>46241</v>
      </c>
      <c r="C728" s="0" t="n">
        <v>1.262</v>
      </c>
    </row>
    <row r="729" customFormat="false" ht="15" hidden="false" customHeight="false" outlineLevel="0" collapsed="false">
      <c r="A729" s="0" t="s">
        <v>147</v>
      </c>
      <c r="B729" s="2" t="n">
        <v>46241</v>
      </c>
      <c r="C729" s="0" t="n">
        <v>438.978</v>
      </c>
    </row>
    <row r="730" customFormat="false" ht="15" hidden="false" customHeight="false" outlineLevel="0" collapsed="false">
      <c r="A730" s="0" t="s">
        <v>148</v>
      </c>
      <c r="B730" s="2" t="n">
        <v>46242</v>
      </c>
      <c r="C730" s="0" t="n">
        <v>0.578</v>
      </c>
    </row>
    <row r="731" customFormat="false" ht="15" hidden="false" customHeight="false" outlineLevel="0" collapsed="false">
      <c r="A731" s="0" t="s">
        <v>145</v>
      </c>
      <c r="B731" s="2" t="n">
        <v>46242</v>
      </c>
      <c r="C731" s="0" t="n">
        <v>4.235</v>
      </c>
    </row>
    <row r="732" customFormat="false" ht="15" hidden="false" customHeight="false" outlineLevel="0" collapsed="false">
      <c r="A732" s="0" t="s">
        <v>146</v>
      </c>
      <c r="B732" s="2" t="n">
        <v>46242</v>
      </c>
      <c r="C732" s="0" t="n">
        <v>34.025</v>
      </c>
    </row>
    <row r="733" customFormat="false" ht="15" hidden="false" customHeight="false" outlineLevel="0" collapsed="false">
      <c r="A733" s="0" t="s">
        <v>149</v>
      </c>
      <c r="B733" s="2" t="n">
        <v>46242</v>
      </c>
      <c r="C733" s="0" t="n">
        <v>22.335</v>
      </c>
    </row>
    <row r="734" customFormat="false" ht="15" hidden="false" customHeight="false" outlineLevel="0" collapsed="false">
      <c r="A734" s="0" t="s">
        <v>147</v>
      </c>
      <c r="B734" s="2" t="n">
        <v>46242</v>
      </c>
      <c r="C734" s="0" t="n">
        <v>529.425</v>
      </c>
    </row>
    <row r="735" customFormat="false" ht="15" hidden="false" customHeight="false" outlineLevel="0" collapsed="false">
      <c r="A735" s="0" t="s">
        <v>148</v>
      </c>
      <c r="B735" s="2" t="n">
        <v>46243</v>
      </c>
      <c r="C735" s="0" t="n">
        <v>0.696</v>
      </c>
    </row>
    <row r="736" customFormat="false" ht="15" hidden="false" customHeight="false" outlineLevel="0" collapsed="false">
      <c r="A736" s="0" t="s">
        <v>145</v>
      </c>
      <c r="B736" s="2" t="n">
        <v>46243</v>
      </c>
      <c r="C736" s="0" t="n">
        <v>4.253</v>
      </c>
    </row>
    <row r="737" customFormat="false" ht="15" hidden="false" customHeight="false" outlineLevel="0" collapsed="false">
      <c r="A737" s="0" t="s">
        <v>146</v>
      </c>
      <c r="B737" s="2" t="n">
        <v>46243</v>
      </c>
      <c r="C737" s="0" t="n">
        <v>34.161</v>
      </c>
    </row>
    <row r="738" customFormat="false" ht="15" hidden="false" customHeight="false" outlineLevel="0" collapsed="false">
      <c r="A738" s="0" t="s">
        <v>149</v>
      </c>
      <c r="B738" s="2" t="n">
        <v>46243</v>
      </c>
      <c r="C738" s="0" t="n">
        <v>26.888</v>
      </c>
    </row>
    <row r="739" customFormat="false" ht="15" hidden="false" customHeight="false" outlineLevel="0" collapsed="false">
      <c r="A739" s="0" t="s">
        <v>147</v>
      </c>
      <c r="B739" s="2" t="n">
        <v>46243</v>
      </c>
      <c r="C739" s="0" t="n">
        <v>531.562</v>
      </c>
    </row>
    <row r="740" customFormat="false" ht="15" hidden="false" customHeight="false" outlineLevel="0" collapsed="false">
      <c r="A740" s="0" t="s">
        <v>148</v>
      </c>
      <c r="B740" s="2" t="n">
        <v>46244</v>
      </c>
      <c r="C740" s="0" t="n">
        <v>0.53</v>
      </c>
    </row>
    <row r="741" customFormat="false" ht="15" hidden="false" customHeight="false" outlineLevel="0" collapsed="false">
      <c r="A741" s="0" t="s">
        <v>145</v>
      </c>
      <c r="B741" s="2" t="n">
        <v>46244</v>
      </c>
      <c r="C741" s="0" t="n">
        <v>4.036</v>
      </c>
    </row>
    <row r="742" customFormat="false" ht="15" hidden="false" customHeight="false" outlineLevel="0" collapsed="false">
      <c r="A742" s="0" t="s">
        <v>146</v>
      </c>
      <c r="B742" s="2" t="n">
        <v>46244</v>
      </c>
      <c r="C742" s="0" t="n">
        <v>32.424</v>
      </c>
    </row>
    <row r="743" customFormat="false" ht="15" hidden="false" customHeight="false" outlineLevel="0" collapsed="false">
      <c r="A743" s="0" t="s">
        <v>149</v>
      </c>
      <c r="B743" s="2" t="n">
        <v>46244</v>
      </c>
      <c r="C743" s="0" t="n">
        <v>20.527</v>
      </c>
    </row>
    <row r="744" customFormat="false" ht="15" hidden="false" customHeight="false" outlineLevel="0" collapsed="false">
      <c r="A744" s="0" t="s">
        <v>147</v>
      </c>
      <c r="B744" s="2" t="n">
        <v>46244</v>
      </c>
      <c r="C744" s="0" t="n">
        <v>504.521</v>
      </c>
    </row>
    <row r="745" customFormat="false" ht="15" hidden="false" customHeight="false" outlineLevel="0" collapsed="false">
      <c r="A745" s="0" t="s">
        <v>148</v>
      </c>
      <c r="B745" s="2" t="n">
        <v>46245</v>
      </c>
      <c r="C745" s="0" t="n">
        <v>0.591</v>
      </c>
    </row>
    <row r="746" customFormat="false" ht="15" hidden="false" customHeight="false" outlineLevel="0" collapsed="false">
      <c r="A746" s="0" t="s">
        <v>145</v>
      </c>
      <c r="B746" s="2" t="n">
        <v>46245</v>
      </c>
      <c r="C746" s="0" t="n">
        <v>5.158</v>
      </c>
    </row>
    <row r="747" customFormat="false" ht="15" hidden="false" customHeight="false" outlineLevel="0" collapsed="false">
      <c r="A747" s="0" t="s">
        <v>146</v>
      </c>
      <c r="B747" s="2" t="n">
        <v>46245</v>
      </c>
      <c r="C747" s="0" t="n">
        <v>41.44</v>
      </c>
    </row>
    <row r="748" customFormat="false" ht="15" hidden="false" customHeight="false" outlineLevel="0" collapsed="false">
      <c r="A748" s="0" t="s">
        <v>149</v>
      </c>
      <c r="B748" s="2" t="n">
        <v>46245</v>
      </c>
      <c r="C748" s="0" t="n">
        <v>22.828</v>
      </c>
    </row>
    <row r="749" customFormat="false" ht="15" hidden="false" customHeight="false" outlineLevel="0" collapsed="false">
      <c r="A749" s="0" t="s">
        <v>147</v>
      </c>
      <c r="B749" s="2" t="n">
        <v>46245</v>
      </c>
      <c r="C749" s="0" t="n">
        <v>644.802</v>
      </c>
    </row>
    <row r="750" customFormat="false" ht="15" hidden="false" customHeight="false" outlineLevel="0" collapsed="false">
      <c r="A750" s="0" t="s">
        <v>148</v>
      </c>
      <c r="B750" s="2" t="n">
        <v>46246</v>
      </c>
      <c r="C750" s="0" t="n">
        <v>0.496</v>
      </c>
    </row>
    <row r="751" customFormat="false" ht="15" hidden="false" customHeight="false" outlineLevel="0" collapsed="false">
      <c r="A751" s="0" t="s">
        <v>145</v>
      </c>
      <c r="B751" s="2" t="n">
        <v>46246</v>
      </c>
      <c r="C751" s="0" t="n">
        <v>4.91</v>
      </c>
    </row>
    <row r="752" customFormat="false" ht="15" hidden="false" customHeight="false" outlineLevel="0" collapsed="false">
      <c r="A752" s="0" t="s">
        <v>146</v>
      </c>
      <c r="B752" s="2" t="n">
        <v>46246</v>
      </c>
      <c r="C752" s="0" t="n">
        <v>39.439</v>
      </c>
    </row>
    <row r="753" customFormat="false" ht="15" hidden="false" customHeight="false" outlineLevel="0" collapsed="false">
      <c r="A753" s="0" t="s">
        <v>149</v>
      </c>
      <c r="B753" s="2" t="n">
        <v>46246</v>
      </c>
      <c r="C753" s="0" t="n">
        <v>19.171</v>
      </c>
    </row>
    <row r="754" customFormat="false" ht="15" hidden="false" customHeight="false" outlineLevel="0" collapsed="false">
      <c r="A754" s="0" t="s">
        <v>147</v>
      </c>
      <c r="B754" s="2" t="n">
        <v>46246</v>
      </c>
      <c r="C754" s="0" t="n">
        <v>613.677</v>
      </c>
    </row>
    <row r="755" customFormat="false" ht="15" hidden="false" customHeight="false" outlineLevel="0" collapsed="false">
      <c r="A755" s="0" t="s">
        <v>148</v>
      </c>
      <c r="B755" s="2" t="n">
        <v>46247</v>
      </c>
      <c r="C755" s="0" t="n">
        <v>0.071</v>
      </c>
    </row>
    <row r="756" customFormat="false" ht="15" hidden="false" customHeight="false" outlineLevel="0" collapsed="false">
      <c r="A756" s="0" t="s">
        <v>145</v>
      </c>
      <c r="B756" s="2" t="n">
        <v>46247</v>
      </c>
      <c r="C756" s="0" t="n">
        <v>0.243</v>
      </c>
    </row>
    <row r="757" customFormat="false" ht="15" hidden="false" customHeight="false" outlineLevel="0" collapsed="false">
      <c r="A757" s="0" t="s">
        <v>146</v>
      </c>
      <c r="B757" s="2" t="n">
        <v>46247</v>
      </c>
      <c r="C757" s="0" t="n">
        <v>1.953</v>
      </c>
    </row>
    <row r="758" customFormat="false" ht="15" hidden="false" customHeight="false" outlineLevel="0" collapsed="false">
      <c r="A758" s="0" t="s">
        <v>149</v>
      </c>
      <c r="B758" s="2" t="n">
        <v>46247</v>
      </c>
      <c r="C758" s="0" t="n">
        <v>2.763</v>
      </c>
    </row>
    <row r="759" customFormat="false" ht="15" hidden="false" customHeight="false" outlineLevel="0" collapsed="false">
      <c r="A759" s="0" t="s">
        <v>147</v>
      </c>
      <c r="B759" s="2" t="n">
        <v>46247</v>
      </c>
      <c r="C759" s="0" t="n">
        <v>30.396</v>
      </c>
    </row>
    <row r="760" customFormat="false" ht="15" hidden="false" customHeight="false" outlineLevel="0" collapsed="false">
      <c r="A760" s="0" t="s">
        <v>150</v>
      </c>
      <c r="B760" s="2" t="n">
        <v>46248</v>
      </c>
      <c r="C760" s="0" t="n">
        <v>14.695</v>
      </c>
    </row>
    <row r="761" customFormat="false" ht="15" hidden="false" customHeight="false" outlineLevel="0" collapsed="false">
      <c r="A761" s="0" t="s">
        <v>151</v>
      </c>
      <c r="B761" s="2" t="n">
        <v>46248</v>
      </c>
      <c r="C761" s="0" t="n">
        <v>639.153</v>
      </c>
    </row>
    <row r="762" customFormat="false" ht="15" hidden="false" customHeight="false" outlineLevel="0" collapsed="false">
      <c r="A762" s="0" t="s">
        <v>152</v>
      </c>
      <c r="B762" s="2" t="n">
        <v>46248</v>
      </c>
      <c r="C762" s="0" t="n">
        <v>6.392</v>
      </c>
    </row>
    <row r="763" customFormat="false" ht="15" hidden="false" customHeight="false" outlineLevel="0" collapsed="false">
      <c r="A763" s="0" t="s">
        <v>153</v>
      </c>
      <c r="B763" s="2" t="n">
        <v>46248</v>
      </c>
      <c r="C763" s="0" t="n">
        <v>30.207</v>
      </c>
    </row>
    <row r="764" customFormat="false" ht="15" hidden="false" customHeight="false" outlineLevel="0" collapsed="false">
      <c r="A764" s="0" t="s">
        <v>154</v>
      </c>
      <c r="B764" s="2" t="n">
        <v>46248</v>
      </c>
      <c r="C764" s="0" t="n">
        <v>53.882</v>
      </c>
    </row>
    <row r="765" customFormat="false" ht="15" hidden="false" customHeight="false" outlineLevel="0" collapsed="false">
      <c r="A765" s="0" t="s">
        <v>155</v>
      </c>
      <c r="B765" s="2" t="n">
        <v>46248</v>
      </c>
      <c r="C765" s="0" t="n">
        <v>32.887</v>
      </c>
    </row>
    <row r="766" customFormat="false" ht="15" hidden="false" customHeight="false" outlineLevel="0" collapsed="false">
      <c r="A766" s="0" t="s">
        <v>150</v>
      </c>
      <c r="B766" s="2" t="n">
        <v>46249</v>
      </c>
      <c r="C766" s="0" t="n">
        <v>17.808</v>
      </c>
    </row>
    <row r="767" customFormat="false" ht="15" hidden="false" customHeight="false" outlineLevel="0" collapsed="false">
      <c r="A767" s="0" t="s">
        <v>151</v>
      </c>
      <c r="B767" s="2" t="n">
        <v>46249</v>
      </c>
      <c r="C767" s="0" t="n">
        <v>535.657</v>
      </c>
    </row>
    <row r="768" customFormat="false" ht="15" hidden="false" customHeight="false" outlineLevel="0" collapsed="false">
      <c r="A768" s="0" t="s">
        <v>152</v>
      </c>
      <c r="B768" s="2" t="n">
        <v>46249</v>
      </c>
      <c r="C768" s="0" t="n">
        <v>5.356</v>
      </c>
    </row>
    <row r="769" customFormat="false" ht="15" hidden="false" customHeight="false" outlineLevel="0" collapsed="false">
      <c r="A769" s="0" t="s">
        <v>153</v>
      </c>
      <c r="B769" s="2" t="n">
        <v>46249</v>
      </c>
      <c r="C769" s="0" t="n">
        <v>36.605</v>
      </c>
    </row>
    <row r="770" customFormat="false" ht="15" hidden="false" customHeight="false" outlineLevel="0" collapsed="false">
      <c r="A770" s="0" t="s">
        <v>154</v>
      </c>
      <c r="B770" s="2" t="n">
        <v>46249</v>
      </c>
      <c r="C770" s="0" t="n">
        <v>65.297</v>
      </c>
    </row>
    <row r="771" customFormat="false" ht="15" hidden="false" customHeight="false" outlineLevel="0" collapsed="false">
      <c r="A771" s="0" t="s">
        <v>155</v>
      </c>
      <c r="B771" s="2" t="n">
        <v>46249</v>
      </c>
      <c r="C771" s="0" t="n">
        <v>27.562</v>
      </c>
    </row>
    <row r="772" customFormat="false" ht="15" hidden="false" customHeight="false" outlineLevel="0" collapsed="false">
      <c r="A772" s="0" t="s">
        <v>150</v>
      </c>
      <c r="B772" s="2" t="n">
        <v>46250</v>
      </c>
      <c r="C772" s="0" t="n">
        <v>13.612</v>
      </c>
    </row>
    <row r="773" customFormat="false" ht="15" hidden="false" customHeight="false" outlineLevel="0" collapsed="false">
      <c r="A773" s="0" t="s">
        <v>151</v>
      </c>
      <c r="B773" s="2" t="n">
        <v>46250</v>
      </c>
      <c r="C773" s="0" t="n">
        <v>712.837</v>
      </c>
    </row>
    <row r="774" customFormat="false" ht="15" hidden="false" customHeight="false" outlineLevel="0" collapsed="false">
      <c r="A774" s="0" t="s">
        <v>152</v>
      </c>
      <c r="B774" s="2" t="n">
        <v>46250</v>
      </c>
      <c r="C774" s="0" t="n">
        <v>7.128</v>
      </c>
    </row>
    <row r="775" customFormat="false" ht="15" hidden="false" customHeight="false" outlineLevel="0" collapsed="false">
      <c r="A775" s="0" t="s">
        <v>153</v>
      </c>
      <c r="B775" s="2" t="n">
        <v>46250</v>
      </c>
      <c r="C775" s="0" t="n">
        <v>27.98</v>
      </c>
    </row>
    <row r="776" customFormat="false" ht="15" hidden="false" customHeight="false" outlineLevel="0" collapsed="false">
      <c r="A776" s="0" t="s">
        <v>154</v>
      </c>
      <c r="B776" s="2" t="n">
        <v>46250</v>
      </c>
      <c r="C776" s="0" t="n">
        <v>49.909</v>
      </c>
    </row>
    <row r="777" customFormat="false" ht="15" hidden="false" customHeight="false" outlineLevel="0" collapsed="false">
      <c r="A777" s="0" t="s">
        <v>155</v>
      </c>
      <c r="B777" s="2" t="n">
        <v>46250</v>
      </c>
      <c r="C777" s="0" t="n">
        <v>36.679</v>
      </c>
    </row>
    <row r="778" customFormat="false" ht="15" hidden="false" customHeight="false" outlineLevel="0" collapsed="false">
      <c r="A778" s="0" t="s">
        <v>150</v>
      </c>
      <c r="B778" s="2" t="n">
        <v>46251</v>
      </c>
      <c r="C778" s="0" t="n">
        <v>13.332</v>
      </c>
    </row>
    <row r="779" customFormat="false" ht="15" hidden="false" customHeight="false" outlineLevel="0" collapsed="false">
      <c r="A779" s="0" t="s">
        <v>151</v>
      </c>
      <c r="B779" s="2" t="n">
        <v>46251</v>
      </c>
      <c r="C779" s="0" t="n">
        <v>622.534</v>
      </c>
    </row>
    <row r="780" customFormat="false" ht="15" hidden="false" customHeight="false" outlineLevel="0" collapsed="false">
      <c r="A780" s="0" t="s">
        <v>152</v>
      </c>
      <c r="B780" s="2" t="n">
        <v>46251</v>
      </c>
      <c r="C780" s="0" t="n">
        <v>6.226</v>
      </c>
    </row>
    <row r="781" customFormat="false" ht="15" hidden="false" customHeight="false" outlineLevel="0" collapsed="false">
      <c r="A781" s="0" t="s">
        <v>153</v>
      </c>
      <c r="B781" s="2" t="n">
        <v>46251</v>
      </c>
      <c r="C781" s="0" t="n">
        <v>27.404</v>
      </c>
    </row>
    <row r="782" customFormat="false" ht="15" hidden="false" customHeight="false" outlineLevel="0" collapsed="false">
      <c r="A782" s="0" t="s">
        <v>154</v>
      </c>
      <c r="B782" s="2" t="n">
        <v>46251</v>
      </c>
      <c r="C782" s="0" t="n">
        <v>48.883</v>
      </c>
    </row>
    <row r="783" customFormat="false" ht="15" hidden="false" customHeight="false" outlineLevel="0" collapsed="false">
      <c r="A783" s="0" t="s">
        <v>155</v>
      </c>
      <c r="B783" s="2" t="n">
        <v>46251</v>
      </c>
      <c r="C783" s="0" t="n">
        <v>32.032</v>
      </c>
    </row>
    <row r="784" customFormat="false" ht="15" hidden="false" customHeight="false" outlineLevel="0" collapsed="false">
      <c r="A784" s="0" t="s">
        <v>150</v>
      </c>
      <c r="B784" s="2" t="n">
        <v>46252</v>
      </c>
      <c r="C784" s="0" t="n">
        <v>14.18</v>
      </c>
    </row>
    <row r="785" customFormat="false" ht="15" hidden="false" customHeight="false" outlineLevel="0" collapsed="false">
      <c r="A785" s="0" t="s">
        <v>151</v>
      </c>
      <c r="B785" s="2" t="n">
        <v>46252</v>
      </c>
      <c r="C785" s="0" t="n">
        <v>637.457</v>
      </c>
    </row>
    <row r="786" customFormat="false" ht="15" hidden="false" customHeight="false" outlineLevel="0" collapsed="false">
      <c r="A786" s="0" t="s">
        <v>152</v>
      </c>
      <c r="B786" s="2" t="n">
        <v>46252</v>
      </c>
      <c r="C786" s="0" t="n">
        <v>6.374</v>
      </c>
    </row>
    <row r="787" customFormat="false" ht="15" hidden="false" customHeight="false" outlineLevel="0" collapsed="false">
      <c r="A787" s="0" t="s">
        <v>153</v>
      </c>
      <c r="B787" s="2" t="n">
        <v>46252</v>
      </c>
      <c r="C787" s="0" t="n">
        <v>29.149</v>
      </c>
    </row>
    <row r="788" customFormat="false" ht="15" hidden="false" customHeight="false" outlineLevel="0" collapsed="false">
      <c r="A788" s="0" t="s">
        <v>154</v>
      </c>
      <c r="B788" s="2" t="n">
        <v>46252</v>
      </c>
      <c r="C788" s="0" t="n">
        <v>51.996</v>
      </c>
    </row>
    <row r="789" customFormat="false" ht="15" hidden="false" customHeight="false" outlineLevel="0" collapsed="false">
      <c r="A789" s="0" t="s">
        <v>155</v>
      </c>
      <c r="B789" s="2" t="n">
        <v>46252</v>
      </c>
      <c r="C789" s="0" t="n">
        <v>32.8</v>
      </c>
    </row>
    <row r="790" customFormat="false" ht="15" hidden="false" customHeight="false" outlineLevel="0" collapsed="false">
      <c r="A790" s="0" t="s">
        <v>150</v>
      </c>
      <c r="B790" s="2" t="n">
        <v>46253</v>
      </c>
      <c r="C790" s="0" t="n">
        <v>13.06</v>
      </c>
    </row>
    <row r="791" customFormat="false" ht="15" hidden="false" customHeight="false" outlineLevel="0" collapsed="false">
      <c r="A791" s="0" t="s">
        <v>151</v>
      </c>
      <c r="B791" s="2" t="n">
        <v>46253</v>
      </c>
      <c r="C791" s="0" t="n">
        <v>585.613</v>
      </c>
    </row>
    <row r="792" customFormat="false" ht="15" hidden="false" customHeight="false" outlineLevel="0" collapsed="false">
      <c r="A792" s="0" t="s">
        <v>152</v>
      </c>
      <c r="B792" s="2" t="n">
        <v>46253</v>
      </c>
      <c r="C792" s="0" t="n">
        <v>5.857</v>
      </c>
    </row>
    <row r="793" customFormat="false" ht="15" hidden="false" customHeight="false" outlineLevel="0" collapsed="false">
      <c r="A793" s="0" t="s">
        <v>153</v>
      </c>
      <c r="B793" s="2" t="n">
        <v>46253</v>
      </c>
      <c r="C793" s="0" t="n">
        <v>26.846</v>
      </c>
    </row>
    <row r="794" customFormat="false" ht="15" hidden="false" customHeight="false" outlineLevel="0" collapsed="false">
      <c r="A794" s="0" t="s">
        <v>154</v>
      </c>
      <c r="B794" s="2" t="n">
        <v>46253</v>
      </c>
      <c r="C794" s="0" t="n">
        <v>47.887</v>
      </c>
    </row>
    <row r="795" customFormat="false" ht="15" hidden="false" customHeight="false" outlineLevel="0" collapsed="false">
      <c r="A795" s="0" t="s">
        <v>155</v>
      </c>
      <c r="B795" s="2" t="n">
        <v>46253</v>
      </c>
      <c r="C795" s="0" t="n">
        <v>30.133</v>
      </c>
    </row>
    <row r="796" customFormat="false" ht="15" hidden="false" customHeight="false" outlineLevel="0" collapsed="false">
      <c r="A796" s="0" t="s">
        <v>150</v>
      </c>
      <c r="B796" s="2" t="n">
        <v>46254</v>
      </c>
      <c r="C796" s="0" t="n">
        <v>14.235</v>
      </c>
    </row>
    <row r="797" customFormat="false" ht="15" hidden="false" customHeight="false" outlineLevel="0" collapsed="false">
      <c r="A797" s="0" t="s">
        <v>151</v>
      </c>
      <c r="B797" s="2" t="n">
        <v>46254</v>
      </c>
      <c r="C797" s="0" t="n">
        <v>602.317</v>
      </c>
    </row>
    <row r="798" customFormat="false" ht="15" hidden="false" customHeight="false" outlineLevel="0" collapsed="false">
      <c r="A798" s="0" t="s">
        <v>152</v>
      </c>
      <c r="B798" s="2" t="n">
        <v>46254</v>
      </c>
      <c r="C798" s="0" t="n">
        <v>6.023</v>
      </c>
    </row>
    <row r="799" customFormat="false" ht="15" hidden="false" customHeight="false" outlineLevel="0" collapsed="false">
      <c r="A799" s="0" t="s">
        <v>153</v>
      </c>
      <c r="B799" s="2" t="n">
        <v>46254</v>
      </c>
      <c r="C799" s="0" t="n">
        <v>29.26</v>
      </c>
    </row>
    <row r="800" customFormat="false" ht="15" hidden="false" customHeight="false" outlineLevel="0" collapsed="false">
      <c r="A800" s="0" t="s">
        <v>154</v>
      </c>
      <c r="B800" s="2" t="n">
        <v>46254</v>
      </c>
      <c r="C800" s="0" t="n">
        <v>52.193</v>
      </c>
    </row>
    <row r="801" customFormat="false" ht="15" hidden="false" customHeight="false" outlineLevel="0" collapsed="false">
      <c r="A801" s="0" t="s">
        <v>155</v>
      </c>
      <c r="B801" s="2" t="n">
        <v>46254</v>
      </c>
      <c r="C801" s="0" t="n">
        <v>30.992</v>
      </c>
    </row>
    <row r="802" customFormat="false" ht="15" hidden="false" customHeight="false" outlineLevel="0" collapsed="false">
      <c r="A802" s="0" t="s">
        <v>150</v>
      </c>
      <c r="B802" s="2" t="n">
        <v>46255</v>
      </c>
      <c r="C802" s="0" t="n">
        <v>15.515</v>
      </c>
    </row>
    <row r="803" customFormat="false" ht="15" hidden="false" customHeight="false" outlineLevel="0" collapsed="false">
      <c r="A803" s="0" t="s">
        <v>151</v>
      </c>
      <c r="B803" s="2" t="n">
        <v>46255</v>
      </c>
      <c r="C803" s="0" t="n">
        <v>544.36</v>
      </c>
    </row>
    <row r="804" customFormat="false" ht="15" hidden="false" customHeight="false" outlineLevel="0" collapsed="false">
      <c r="A804" s="0" t="s">
        <v>152</v>
      </c>
      <c r="B804" s="2" t="n">
        <v>46255</v>
      </c>
      <c r="C804" s="0" t="n">
        <v>5.443</v>
      </c>
    </row>
    <row r="805" customFormat="false" ht="15" hidden="false" customHeight="false" outlineLevel="0" collapsed="false">
      <c r="A805" s="0" t="s">
        <v>153</v>
      </c>
      <c r="B805" s="2" t="n">
        <v>46255</v>
      </c>
      <c r="C805" s="0" t="n">
        <v>31.892</v>
      </c>
    </row>
    <row r="806" customFormat="false" ht="15" hidden="false" customHeight="false" outlineLevel="0" collapsed="false">
      <c r="A806" s="0" t="s">
        <v>154</v>
      </c>
      <c r="B806" s="2" t="n">
        <v>46255</v>
      </c>
      <c r="C806" s="0" t="n">
        <v>56.89</v>
      </c>
    </row>
    <row r="807" customFormat="false" ht="15" hidden="false" customHeight="false" outlineLevel="0" collapsed="false">
      <c r="A807" s="0" t="s">
        <v>155</v>
      </c>
      <c r="B807" s="2" t="n">
        <v>46255</v>
      </c>
      <c r="C807" s="0" t="n">
        <v>28.009</v>
      </c>
    </row>
    <row r="808" customFormat="false" ht="15" hidden="false" customHeight="false" outlineLevel="0" collapsed="false">
      <c r="A808" s="0" t="s">
        <v>150</v>
      </c>
      <c r="B808" s="2" t="n">
        <v>46256</v>
      </c>
      <c r="C808" s="0" t="n">
        <v>15.734</v>
      </c>
    </row>
    <row r="809" customFormat="false" ht="15" hidden="false" customHeight="false" outlineLevel="0" collapsed="false">
      <c r="A809" s="0" t="s">
        <v>151</v>
      </c>
      <c r="B809" s="2" t="n">
        <v>46256</v>
      </c>
      <c r="C809" s="0" t="n">
        <v>549.295</v>
      </c>
    </row>
    <row r="810" customFormat="false" ht="15" hidden="false" customHeight="false" outlineLevel="0" collapsed="false">
      <c r="A810" s="0" t="s">
        <v>152</v>
      </c>
      <c r="B810" s="2" t="n">
        <v>46256</v>
      </c>
      <c r="C810" s="0" t="n">
        <v>5.493</v>
      </c>
    </row>
    <row r="811" customFormat="false" ht="15" hidden="false" customHeight="false" outlineLevel="0" collapsed="false">
      <c r="A811" s="0" t="s">
        <v>153</v>
      </c>
      <c r="B811" s="2" t="n">
        <v>46256</v>
      </c>
      <c r="C811" s="0" t="n">
        <v>32.342</v>
      </c>
    </row>
    <row r="812" customFormat="false" ht="15" hidden="false" customHeight="false" outlineLevel="0" collapsed="false">
      <c r="A812" s="0" t="s">
        <v>154</v>
      </c>
      <c r="B812" s="2" t="n">
        <v>46256</v>
      </c>
      <c r="C812" s="0" t="n">
        <v>57.691</v>
      </c>
    </row>
    <row r="813" customFormat="false" ht="15" hidden="false" customHeight="false" outlineLevel="0" collapsed="false">
      <c r="A813" s="0" t="s">
        <v>155</v>
      </c>
      <c r="B813" s="2" t="n">
        <v>46256</v>
      </c>
      <c r="C813" s="0" t="n">
        <v>28.264</v>
      </c>
    </row>
    <row r="814" customFormat="false" ht="15" hidden="false" customHeight="false" outlineLevel="0" collapsed="false">
      <c r="A814" s="0" t="s">
        <v>150</v>
      </c>
      <c r="B814" s="2" t="n">
        <v>46257</v>
      </c>
      <c r="C814" s="0" t="n">
        <v>14.776</v>
      </c>
    </row>
    <row r="815" customFormat="false" ht="15" hidden="false" customHeight="false" outlineLevel="0" collapsed="false">
      <c r="A815" s="0" t="s">
        <v>151</v>
      </c>
      <c r="B815" s="2" t="n">
        <v>46257</v>
      </c>
      <c r="C815" s="0" t="n">
        <v>679.887</v>
      </c>
    </row>
    <row r="816" customFormat="false" ht="15" hidden="false" customHeight="false" outlineLevel="0" collapsed="false">
      <c r="A816" s="0" t="s">
        <v>152</v>
      </c>
      <c r="B816" s="2" t="n">
        <v>46257</v>
      </c>
      <c r="C816" s="0" t="n">
        <v>6.799</v>
      </c>
    </row>
    <row r="817" customFormat="false" ht="15" hidden="false" customHeight="false" outlineLevel="0" collapsed="false">
      <c r="A817" s="0" t="s">
        <v>153</v>
      </c>
      <c r="B817" s="2" t="n">
        <v>46257</v>
      </c>
      <c r="C817" s="0" t="n">
        <v>30.372</v>
      </c>
    </row>
    <row r="818" customFormat="false" ht="15" hidden="false" customHeight="false" outlineLevel="0" collapsed="false">
      <c r="A818" s="0" t="s">
        <v>154</v>
      </c>
      <c r="B818" s="2" t="n">
        <v>46257</v>
      </c>
      <c r="C818" s="0" t="n">
        <v>54.176</v>
      </c>
    </row>
    <row r="819" customFormat="false" ht="15" hidden="false" customHeight="false" outlineLevel="0" collapsed="false">
      <c r="A819" s="0" t="s">
        <v>155</v>
      </c>
      <c r="B819" s="2" t="n">
        <v>46257</v>
      </c>
      <c r="C819" s="0" t="n">
        <v>34.983</v>
      </c>
    </row>
    <row r="820" customFormat="false" ht="15" hidden="false" customHeight="false" outlineLevel="0" collapsed="false">
      <c r="A820" s="0" t="s">
        <v>150</v>
      </c>
      <c r="B820" s="2" t="n">
        <v>46258</v>
      </c>
      <c r="C820" s="0" t="n">
        <v>15.275</v>
      </c>
    </row>
    <row r="821" customFormat="false" ht="15" hidden="false" customHeight="false" outlineLevel="0" collapsed="false">
      <c r="A821" s="0" t="s">
        <v>151</v>
      </c>
      <c r="B821" s="2" t="n">
        <v>46258</v>
      </c>
      <c r="C821" s="0" t="n">
        <v>651.06</v>
      </c>
    </row>
    <row r="822" customFormat="false" ht="15" hidden="false" customHeight="false" outlineLevel="0" collapsed="false">
      <c r="A822" s="0" t="s">
        <v>152</v>
      </c>
      <c r="B822" s="2" t="n">
        <v>46258</v>
      </c>
      <c r="C822" s="0" t="n">
        <v>6.511</v>
      </c>
    </row>
    <row r="823" customFormat="false" ht="15" hidden="false" customHeight="false" outlineLevel="0" collapsed="false">
      <c r="A823" s="0" t="s">
        <v>153</v>
      </c>
      <c r="B823" s="2" t="n">
        <v>46258</v>
      </c>
      <c r="C823" s="0" t="n">
        <v>31.4</v>
      </c>
    </row>
    <row r="824" customFormat="false" ht="15" hidden="false" customHeight="false" outlineLevel="0" collapsed="false">
      <c r="A824" s="0" t="s">
        <v>154</v>
      </c>
      <c r="B824" s="2" t="n">
        <v>46258</v>
      </c>
      <c r="C824" s="0" t="n">
        <v>56.01</v>
      </c>
    </row>
    <row r="825" customFormat="false" ht="15" hidden="false" customHeight="false" outlineLevel="0" collapsed="false">
      <c r="A825" s="0" t="s">
        <v>155</v>
      </c>
      <c r="B825" s="2" t="n">
        <v>46258</v>
      </c>
      <c r="C825" s="0" t="n">
        <v>33.5</v>
      </c>
    </row>
    <row r="826" customFormat="false" ht="15" hidden="false" customHeight="false" outlineLevel="0" collapsed="false">
      <c r="A826" s="0" t="s">
        <v>150</v>
      </c>
      <c r="B826" s="2" t="n">
        <v>46259</v>
      </c>
      <c r="C826" s="0" t="n">
        <v>13.566</v>
      </c>
    </row>
    <row r="827" customFormat="false" ht="15" hidden="false" customHeight="false" outlineLevel="0" collapsed="false">
      <c r="A827" s="0" t="s">
        <v>151</v>
      </c>
      <c r="B827" s="2" t="n">
        <v>46259</v>
      </c>
      <c r="C827" s="0" t="n">
        <v>656.311</v>
      </c>
    </row>
    <row r="828" customFormat="false" ht="15" hidden="false" customHeight="false" outlineLevel="0" collapsed="false">
      <c r="A828" s="0" t="s">
        <v>152</v>
      </c>
      <c r="B828" s="2" t="n">
        <v>46259</v>
      </c>
      <c r="C828" s="0" t="n">
        <v>6.563</v>
      </c>
    </row>
    <row r="829" customFormat="false" ht="15" hidden="false" customHeight="false" outlineLevel="0" collapsed="false">
      <c r="A829" s="0" t="s">
        <v>153</v>
      </c>
      <c r="B829" s="2" t="n">
        <v>46259</v>
      </c>
      <c r="C829" s="0" t="n">
        <v>27.885</v>
      </c>
    </row>
    <row r="830" customFormat="false" ht="15" hidden="false" customHeight="false" outlineLevel="0" collapsed="false">
      <c r="A830" s="0" t="s">
        <v>154</v>
      </c>
      <c r="B830" s="2" t="n">
        <v>46259</v>
      </c>
      <c r="C830" s="0" t="n">
        <v>49.743</v>
      </c>
    </row>
    <row r="831" customFormat="false" ht="15" hidden="false" customHeight="false" outlineLevel="0" collapsed="false">
      <c r="A831" s="0" t="s">
        <v>155</v>
      </c>
      <c r="B831" s="2" t="n">
        <v>46259</v>
      </c>
      <c r="C831" s="0" t="n">
        <v>33.771</v>
      </c>
    </row>
    <row r="832" customFormat="false" ht="15" hidden="false" customHeight="false" outlineLevel="0" collapsed="false">
      <c r="A832" s="0" t="s">
        <v>150</v>
      </c>
      <c r="B832" s="2" t="n">
        <v>46260</v>
      </c>
      <c r="C832" s="0" t="n">
        <v>16.775</v>
      </c>
    </row>
    <row r="833" customFormat="false" ht="15" hidden="false" customHeight="false" outlineLevel="0" collapsed="false">
      <c r="A833" s="0" t="s">
        <v>151</v>
      </c>
      <c r="B833" s="2" t="n">
        <v>46260</v>
      </c>
      <c r="C833" s="0" t="n">
        <v>664.079</v>
      </c>
    </row>
    <row r="834" customFormat="false" ht="15" hidden="false" customHeight="false" outlineLevel="0" collapsed="false">
      <c r="A834" s="0" t="s">
        <v>152</v>
      </c>
      <c r="B834" s="2" t="n">
        <v>46260</v>
      </c>
      <c r="C834" s="0" t="n">
        <v>6.641</v>
      </c>
    </row>
    <row r="835" customFormat="false" ht="15" hidden="false" customHeight="false" outlineLevel="0" collapsed="false">
      <c r="A835" s="0" t="s">
        <v>153</v>
      </c>
      <c r="B835" s="2" t="n">
        <v>46260</v>
      </c>
      <c r="C835" s="0" t="n">
        <v>34.483</v>
      </c>
    </row>
    <row r="836" customFormat="false" ht="15" hidden="false" customHeight="false" outlineLevel="0" collapsed="false">
      <c r="A836" s="0" t="s">
        <v>154</v>
      </c>
      <c r="B836" s="2" t="n">
        <v>46260</v>
      </c>
      <c r="C836" s="0" t="n">
        <v>61.509</v>
      </c>
    </row>
    <row r="837" customFormat="false" ht="15" hidden="false" customHeight="false" outlineLevel="0" collapsed="false">
      <c r="A837" s="0" t="s">
        <v>155</v>
      </c>
      <c r="B837" s="2" t="n">
        <v>46260</v>
      </c>
      <c r="C837" s="0" t="n">
        <v>34.17</v>
      </c>
    </row>
    <row r="838" customFormat="false" ht="15" hidden="false" customHeight="false" outlineLevel="0" collapsed="false">
      <c r="A838" s="0" t="s">
        <v>150</v>
      </c>
      <c r="B838" s="2" t="n">
        <v>46261</v>
      </c>
      <c r="C838" s="0" t="n">
        <v>17.379</v>
      </c>
    </row>
    <row r="839" customFormat="false" ht="15" hidden="false" customHeight="false" outlineLevel="0" collapsed="false">
      <c r="A839" s="0" t="s">
        <v>151</v>
      </c>
      <c r="B839" s="2" t="n">
        <v>46261</v>
      </c>
      <c r="C839" s="0" t="n">
        <v>531.972</v>
      </c>
    </row>
    <row r="840" customFormat="false" ht="15" hidden="false" customHeight="false" outlineLevel="0" collapsed="false">
      <c r="A840" s="0" t="s">
        <v>152</v>
      </c>
      <c r="B840" s="2" t="n">
        <v>46261</v>
      </c>
      <c r="C840" s="0" t="n">
        <v>5.319</v>
      </c>
    </row>
    <row r="841" customFormat="false" ht="15" hidden="false" customHeight="false" outlineLevel="0" collapsed="false">
      <c r="A841" s="0" t="s">
        <v>153</v>
      </c>
      <c r="B841" s="2" t="n">
        <v>46261</v>
      </c>
      <c r="C841" s="0" t="n">
        <v>35.722</v>
      </c>
    </row>
    <row r="842" customFormat="false" ht="15" hidden="false" customHeight="false" outlineLevel="0" collapsed="false">
      <c r="A842" s="0" t="s">
        <v>154</v>
      </c>
      <c r="B842" s="2" t="n">
        <v>46261</v>
      </c>
      <c r="C842" s="0" t="n">
        <v>63.72</v>
      </c>
    </row>
    <row r="843" customFormat="false" ht="15" hidden="false" customHeight="false" outlineLevel="0" collapsed="false">
      <c r="A843" s="0" t="s">
        <v>155</v>
      </c>
      <c r="B843" s="2" t="n">
        <v>46261</v>
      </c>
      <c r="C843" s="0" t="n">
        <v>27.372</v>
      </c>
    </row>
    <row r="844" customFormat="false" ht="15" hidden="false" customHeight="false" outlineLevel="0" collapsed="false">
      <c r="A844" s="0" t="s">
        <v>150</v>
      </c>
      <c r="B844" s="2" t="n">
        <v>46262</v>
      </c>
      <c r="C844" s="0" t="n">
        <v>14.969</v>
      </c>
    </row>
    <row r="845" customFormat="false" ht="15" hidden="false" customHeight="false" outlineLevel="0" collapsed="false">
      <c r="A845" s="0" t="s">
        <v>151</v>
      </c>
      <c r="B845" s="2" t="n">
        <v>46262</v>
      </c>
      <c r="C845" s="0" t="n">
        <v>622.481</v>
      </c>
    </row>
    <row r="846" customFormat="false" ht="15" hidden="false" customHeight="false" outlineLevel="0" collapsed="false">
      <c r="A846" s="0" t="s">
        <v>152</v>
      </c>
      <c r="B846" s="2" t="n">
        <v>46262</v>
      </c>
      <c r="C846" s="0" t="n">
        <v>6.225</v>
      </c>
    </row>
    <row r="847" customFormat="false" ht="15" hidden="false" customHeight="false" outlineLevel="0" collapsed="false">
      <c r="A847" s="0" t="s">
        <v>153</v>
      </c>
      <c r="B847" s="2" t="n">
        <v>46262</v>
      </c>
      <c r="C847" s="0" t="n">
        <v>30.769</v>
      </c>
    </row>
    <row r="848" customFormat="false" ht="15" hidden="false" customHeight="false" outlineLevel="0" collapsed="false">
      <c r="A848" s="0" t="s">
        <v>154</v>
      </c>
      <c r="B848" s="2" t="n">
        <v>46262</v>
      </c>
      <c r="C848" s="0" t="n">
        <v>54.886</v>
      </c>
    </row>
    <row r="849" customFormat="false" ht="15" hidden="false" customHeight="false" outlineLevel="0" collapsed="false">
      <c r="A849" s="0" t="s">
        <v>155</v>
      </c>
      <c r="B849" s="2" t="n">
        <v>46262</v>
      </c>
      <c r="C849" s="0" t="n">
        <v>32.029</v>
      </c>
    </row>
    <row r="850" customFormat="false" ht="15" hidden="false" customHeight="false" outlineLevel="0" collapsed="false">
      <c r="A850" s="0" t="s">
        <v>150</v>
      </c>
      <c r="B850" s="2" t="n">
        <v>46263</v>
      </c>
      <c r="C850" s="0" t="n">
        <v>15.02</v>
      </c>
    </row>
    <row r="851" customFormat="false" ht="15" hidden="false" customHeight="false" outlineLevel="0" collapsed="false">
      <c r="A851" s="0" t="s">
        <v>151</v>
      </c>
      <c r="B851" s="2" t="n">
        <v>46263</v>
      </c>
      <c r="C851" s="0" t="n">
        <v>574.55</v>
      </c>
    </row>
    <row r="852" customFormat="false" ht="15" hidden="false" customHeight="false" outlineLevel="0" collapsed="false">
      <c r="A852" s="0" t="s">
        <v>152</v>
      </c>
      <c r="B852" s="2" t="n">
        <v>46263</v>
      </c>
      <c r="C852" s="0" t="n">
        <v>5.746</v>
      </c>
    </row>
    <row r="853" customFormat="false" ht="15" hidden="false" customHeight="false" outlineLevel="0" collapsed="false">
      <c r="A853" s="0" t="s">
        <v>153</v>
      </c>
      <c r="B853" s="2" t="n">
        <v>46263</v>
      </c>
      <c r="C853" s="0" t="n">
        <v>30.875</v>
      </c>
    </row>
    <row r="854" customFormat="false" ht="15" hidden="false" customHeight="false" outlineLevel="0" collapsed="false">
      <c r="A854" s="0" t="s">
        <v>154</v>
      </c>
      <c r="B854" s="2" t="n">
        <v>46263</v>
      </c>
      <c r="C854" s="0" t="n">
        <v>55.075</v>
      </c>
    </row>
    <row r="855" customFormat="false" ht="15" hidden="false" customHeight="false" outlineLevel="0" collapsed="false">
      <c r="A855" s="0" t="s">
        <v>155</v>
      </c>
      <c r="B855" s="2" t="n">
        <v>46263</v>
      </c>
      <c r="C855" s="0" t="n">
        <v>29.564</v>
      </c>
    </row>
    <row r="856" customFormat="false" ht="15" hidden="false" customHeight="false" outlineLevel="0" collapsed="false">
      <c r="A856" s="0" t="s">
        <v>150</v>
      </c>
      <c r="B856" s="2" t="n">
        <v>46264</v>
      </c>
      <c r="C856" s="0" t="n">
        <v>17.725</v>
      </c>
    </row>
    <row r="857" customFormat="false" ht="15" hidden="false" customHeight="false" outlineLevel="0" collapsed="false">
      <c r="A857" s="0" t="s">
        <v>151</v>
      </c>
      <c r="B857" s="2" t="n">
        <v>46264</v>
      </c>
      <c r="C857" s="0" t="n">
        <v>573.076</v>
      </c>
    </row>
    <row r="858" customFormat="false" ht="15" hidden="false" customHeight="false" outlineLevel="0" collapsed="false">
      <c r="A858" s="0" t="s">
        <v>152</v>
      </c>
      <c r="B858" s="2" t="n">
        <v>46264</v>
      </c>
      <c r="C858" s="0" t="n">
        <v>5.73</v>
      </c>
    </row>
    <row r="859" customFormat="false" ht="15" hidden="false" customHeight="false" outlineLevel="0" collapsed="false">
      <c r="A859" s="0" t="s">
        <v>153</v>
      </c>
      <c r="B859" s="2" t="n">
        <v>46264</v>
      </c>
      <c r="C859" s="0" t="n">
        <v>36.435</v>
      </c>
    </row>
    <row r="860" customFormat="false" ht="15" hidden="false" customHeight="false" outlineLevel="0" collapsed="false">
      <c r="A860" s="0" t="s">
        <v>154</v>
      </c>
      <c r="B860" s="2" t="n">
        <v>46264</v>
      </c>
      <c r="C860" s="0" t="n">
        <v>64.992</v>
      </c>
    </row>
    <row r="861" customFormat="false" ht="15" hidden="false" customHeight="false" outlineLevel="0" collapsed="false">
      <c r="A861" s="0" t="s">
        <v>155</v>
      </c>
      <c r="B861" s="2" t="n">
        <v>46264</v>
      </c>
      <c r="C861" s="0" t="n">
        <v>29.487</v>
      </c>
    </row>
    <row r="862" customFormat="false" ht="15" hidden="false" customHeight="false" outlineLevel="0" collapsed="false">
      <c r="A862" s="0" t="s">
        <v>150</v>
      </c>
      <c r="B862" s="2" t="n">
        <v>46265</v>
      </c>
      <c r="C862" s="0" t="n">
        <v>16.034</v>
      </c>
    </row>
    <row r="863" customFormat="false" ht="15" hidden="false" customHeight="false" outlineLevel="0" collapsed="false">
      <c r="A863" s="0" t="s">
        <v>151</v>
      </c>
      <c r="B863" s="2" t="n">
        <v>46265</v>
      </c>
      <c r="C863" s="0" t="n">
        <v>592.945</v>
      </c>
    </row>
    <row r="864" customFormat="false" ht="15" hidden="false" customHeight="false" outlineLevel="0" collapsed="false">
      <c r="A864" s="0" t="s">
        <v>152</v>
      </c>
      <c r="B864" s="2" t="n">
        <v>46265</v>
      </c>
      <c r="C864" s="0" t="n">
        <v>5.93</v>
      </c>
    </row>
    <row r="865" customFormat="false" ht="15" hidden="false" customHeight="false" outlineLevel="0" collapsed="false">
      <c r="A865" s="0" t="s">
        <v>153</v>
      </c>
      <c r="B865" s="2" t="n">
        <v>46265</v>
      </c>
      <c r="C865" s="0" t="n">
        <v>32.959</v>
      </c>
    </row>
    <row r="866" customFormat="false" ht="15" hidden="false" customHeight="false" outlineLevel="0" collapsed="false">
      <c r="A866" s="0" t="s">
        <v>154</v>
      </c>
      <c r="B866" s="2" t="n">
        <v>46265</v>
      </c>
      <c r="C866" s="0" t="n">
        <v>58.791</v>
      </c>
    </row>
    <row r="867" customFormat="false" ht="15" hidden="false" customHeight="false" outlineLevel="0" collapsed="false">
      <c r="A867" s="0" t="s">
        <v>155</v>
      </c>
      <c r="B867" s="2" t="n">
        <v>46265</v>
      </c>
      <c r="C867" s="0" t="n">
        <v>30.51</v>
      </c>
    </row>
    <row r="868" customFormat="false" ht="15" hidden="false" customHeight="false" outlineLevel="0" collapsed="false">
      <c r="A868" s="0" t="s">
        <v>150</v>
      </c>
      <c r="B868" s="2" t="n">
        <v>46266</v>
      </c>
      <c r="C868" s="0" t="n">
        <v>15.364</v>
      </c>
    </row>
    <row r="869" customFormat="false" ht="15" hidden="false" customHeight="false" outlineLevel="0" collapsed="false">
      <c r="A869" s="0" t="s">
        <v>151</v>
      </c>
      <c r="B869" s="2" t="n">
        <v>46266</v>
      </c>
      <c r="C869" s="0" t="n">
        <v>24.416</v>
      </c>
    </row>
    <row r="870" customFormat="false" ht="15" hidden="false" customHeight="false" outlineLevel="0" collapsed="false">
      <c r="A870" s="0" t="s">
        <v>152</v>
      </c>
      <c r="B870" s="2" t="n">
        <v>46266</v>
      </c>
      <c r="C870" s="0" t="n">
        <v>0.244</v>
      </c>
    </row>
    <row r="871" customFormat="false" ht="15" hidden="false" customHeight="false" outlineLevel="0" collapsed="false">
      <c r="A871" s="0" t="s">
        <v>153</v>
      </c>
      <c r="B871" s="2" t="n">
        <v>46266</v>
      </c>
      <c r="C871" s="0" t="n">
        <v>31.581</v>
      </c>
    </row>
    <row r="872" customFormat="false" ht="15" hidden="false" customHeight="false" outlineLevel="0" collapsed="false">
      <c r="A872" s="0" t="s">
        <v>154</v>
      </c>
      <c r="B872" s="2" t="n">
        <v>46266</v>
      </c>
      <c r="C872" s="0" t="n">
        <v>56.334</v>
      </c>
    </row>
    <row r="873" customFormat="false" ht="15" hidden="false" customHeight="false" outlineLevel="0" collapsed="false">
      <c r="A873" s="0" t="s">
        <v>155</v>
      </c>
      <c r="B873" s="2" t="n">
        <v>46266</v>
      </c>
      <c r="C873" s="0" t="n">
        <v>1.256</v>
      </c>
    </row>
    <row r="874" customFormat="false" ht="15" hidden="false" customHeight="false" outlineLevel="0" collapsed="false">
      <c r="A874" s="0" t="s">
        <v>156</v>
      </c>
      <c r="B874" s="2" t="n">
        <v>46267</v>
      </c>
      <c r="C874" s="0" t="n">
        <v>3.375</v>
      </c>
    </row>
    <row r="875" customFormat="false" ht="15" hidden="false" customHeight="false" outlineLevel="0" collapsed="false">
      <c r="A875" s="0" t="s">
        <v>150</v>
      </c>
      <c r="B875" s="2" t="n">
        <v>46267</v>
      </c>
      <c r="C875" s="0" t="n">
        <v>15.707</v>
      </c>
    </row>
    <row r="876" customFormat="false" ht="15" hidden="false" customHeight="false" outlineLevel="0" collapsed="false">
      <c r="A876" s="0" t="s">
        <v>157</v>
      </c>
      <c r="B876" s="2" t="n">
        <v>46267</v>
      </c>
      <c r="C876" s="0" t="n">
        <v>467.943</v>
      </c>
    </row>
    <row r="877" customFormat="false" ht="15" hidden="false" customHeight="false" outlineLevel="0" collapsed="false">
      <c r="A877" s="0" t="s">
        <v>153</v>
      </c>
      <c r="B877" s="2" t="n">
        <v>46267</v>
      </c>
      <c r="C877" s="0" t="n">
        <v>32.287</v>
      </c>
    </row>
    <row r="878" customFormat="false" ht="15" hidden="false" customHeight="false" outlineLevel="0" collapsed="false">
      <c r="A878" s="0" t="s">
        <v>154</v>
      </c>
      <c r="B878" s="2" t="n">
        <v>46267</v>
      </c>
      <c r="C878" s="0" t="n">
        <v>57.593</v>
      </c>
    </row>
    <row r="879" customFormat="false" ht="15" hidden="false" customHeight="false" outlineLevel="0" collapsed="false">
      <c r="A879" s="0" t="s">
        <v>158</v>
      </c>
      <c r="B879" s="2" t="n">
        <v>46267</v>
      </c>
      <c r="C879" s="0" t="n">
        <v>28.844</v>
      </c>
    </row>
    <row r="880" customFormat="false" ht="15" hidden="false" customHeight="false" outlineLevel="0" collapsed="false">
      <c r="A880" s="0" t="s">
        <v>156</v>
      </c>
      <c r="B880" s="2" t="n">
        <v>46268</v>
      </c>
      <c r="C880" s="0" t="n">
        <v>3.169</v>
      </c>
    </row>
    <row r="881" customFormat="false" ht="15" hidden="false" customHeight="false" outlineLevel="0" collapsed="false">
      <c r="A881" s="0" t="s">
        <v>150</v>
      </c>
      <c r="B881" s="2" t="n">
        <v>46268</v>
      </c>
      <c r="C881" s="0" t="n">
        <v>16.582</v>
      </c>
    </row>
    <row r="882" customFormat="false" ht="15" hidden="false" customHeight="false" outlineLevel="0" collapsed="false">
      <c r="A882" s="0" t="s">
        <v>159</v>
      </c>
      <c r="B882" s="2" t="n">
        <v>46268</v>
      </c>
      <c r="C882" s="0" t="n">
        <v>13.749</v>
      </c>
    </row>
    <row r="883" customFormat="false" ht="15" hidden="false" customHeight="false" outlineLevel="0" collapsed="false">
      <c r="A883" s="0" t="s">
        <v>160</v>
      </c>
      <c r="B883" s="2" t="n">
        <v>46268</v>
      </c>
      <c r="C883" s="0" t="n">
        <v>60.889</v>
      </c>
    </row>
    <row r="884" customFormat="false" ht="15" hidden="false" customHeight="false" outlineLevel="0" collapsed="false">
      <c r="A884" s="0" t="s">
        <v>157</v>
      </c>
      <c r="B884" s="2" t="n">
        <v>46268</v>
      </c>
      <c r="C884" s="0" t="n">
        <v>439.315</v>
      </c>
    </row>
    <row r="885" customFormat="false" ht="15" hidden="false" customHeight="false" outlineLevel="0" collapsed="false">
      <c r="A885" s="0" t="s">
        <v>153</v>
      </c>
      <c r="B885" s="2" t="n">
        <v>46268</v>
      </c>
      <c r="C885" s="0" t="n">
        <v>34.085</v>
      </c>
    </row>
    <row r="886" customFormat="false" ht="15" hidden="false" customHeight="false" outlineLevel="0" collapsed="false">
      <c r="A886" s="0" t="s">
        <v>154</v>
      </c>
      <c r="B886" s="2" t="n">
        <v>46268</v>
      </c>
      <c r="C886" s="0" t="n">
        <v>60.801</v>
      </c>
    </row>
    <row r="887" customFormat="false" ht="15" hidden="false" customHeight="false" outlineLevel="0" collapsed="false">
      <c r="A887" s="0" t="s">
        <v>158</v>
      </c>
      <c r="B887" s="2" t="n">
        <v>46268</v>
      </c>
      <c r="C887" s="0" t="n">
        <v>27.079</v>
      </c>
    </row>
    <row r="888" customFormat="false" ht="15" hidden="false" customHeight="false" outlineLevel="0" collapsed="false">
      <c r="A888" s="0" t="s">
        <v>156</v>
      </c>
      <c r="B888" s="2" t="n">
        <v>46269</v>
      </c>
      <c r="C888" s="0" t="n">
        <v>3.305</v>
      </c>
    </row>
    <row r="889" customFormat="false" ht="15" hidden="false" customHeight="false" outlineLevel="0" collapsed="false">
      <c r="A889" s="0" t="s">
        <v>150</v>
      </c>
      <c r="B889" s="2" t="n">
        <v>46269</v>
      </c>
      <c r="C889" s="0" t="n">
        <v>16.176</v>
      </c>
    </row>
    <row r="890" customFormat="false" ht="15" hidden="false" customHeight="false" outlineLevel="0" collapsed="false">
      <c r="A890" s="0" t="s">
        <v>159</v>
      </c>
      <c r="B890" s="2" t="n">
        <v>46269</v>
      </c>
      <c r="C890" s="0" t="n">
        <v>15.016</v>
      </c>
    </row>
    <row r="891" customFormat="false" ht="15" hidden="false" customHeight="false" outlineLevel="0" collapsed="false">
      <c r="A891" s="0" t="s">
        <v>160</v>
      </c>
      <c r="B891" s="2" t="n">
        <v>46269</v>
      </c>
      <c r="C891" s="0" t="n">
        <v>66.499</v>
      </c>
    </row>
    <row r="892" customFormat="false" ht="15" hidden="false" customHeight="false" outlineLevel="0" collapsed="false">
      <c r="A892" s="0" t="s">
        <v>157</v>
      </c>
      <c r="B892" s="2" t="n">
        <v>46269</v>
      </c>
      <c r="C892" s="0" t="n">
        <v>458.221</v>
      </c>
    </row>
    <row r="893" customFormat="false" ht="15" hidden="false" customHeight="false" outlineLevel="0" collapsed="false">
      <c r="A893" s="0" t="s">
        <v>153</v>
      </c>
      <c r="B893" s="2" t="n">
        <v>46269</v>
      </c>
      <c r="C893" s="0" t="n">
        <v>33.252</v>
      </c>
    </row>
    <row r="894" customFormat="false" ht="15" hidden="false" customHeight="false" outlineLevel="0" collapsed="false">
      <c r="A894" s="0" t="s">
        <v>154</v>
      </c>
      <c r="B894" s="2" t="n">
        <v>46269</v>
      </c>
      <c r="C894" s="0" t="n">
        <v>59.313</v>
      </c>
    </row>
    <row r="895" customFormat="false" ht="15" hidden="false" customHeight="false" outlineLevel="0" collapsed="false">
      <c r="A895" s="0" t="s">
        <v>158</v>
      </c>
      <c r="B895" s="2" t="n">
        <v>46269</v>
      </c>
      <c r="C895" s="0" t="n">
        <v>28.244</v>
      </c>
    </row>
    <row r="896" customFormat="false" ht="15" hidden="false" customHeight="false" outlineLevel="0" collapsed="false">
      <c r="A896" s="0" t="s">
        <v>156</v>
      </c>
      <c r="B896" s="2" t="n">
        <v>46270</v>
      </c>
      <c r="C896" s="0" t="n">
        <v>3.775</v>
      </c>
    </row>
    <row r="897" customFormat="false" ht="15" hidden="false" customHeight="false" outlineLevel="0" collapsed="false">
      <c r="A897" s="0" t="s">
        <v>150</v>
      </c>
      <c r="B897" s="2" t="n">
        <v>46270</v>
      </c>
      <c r="C897" s="0" t="n">
        <v>11.506</v>
      </c>
    </row>
    <row r="898" customFormat="false" ht="15" hidden="false" customHeight="false" outlineLevel="0" collapsed="false">
      <c r="A898" s="0" t="s">
        <v>159</v>
      </c>
      <c r="B898" s="2" t="n">
        <v>46270</v>
      </c>
      <c r="C898" s="0" t="n">
        <v>13.224</v>
      </c>
    </row>
    <row r="899" customFormat="false" ht="15" hidden="false" customHeight="false" outlineLevel="0" collapsed="false">
      <c r="A899" s="0" t="s">
        <v>160</v>
      </c>
      <c r="B899" s="2" t="n">
        <v>46270</v>
      </c>
      <c r="C899" s="0" t="n">
        <v>58.562</v>
      </c>
    </row>
    <row r="900" customFormat="false" ht="15" hidden="false" customHeight="false" outlineLevel="0" collapsed="false">
      <c r="A900" s="0" t="s">
        <v>157</v>
      </c>
      <c r="B900" s="2" t="n">
        <v>46270</v>
      </c>
      <c r="C900" s="0" t="n">
        <v>523.294</v>
      </c>
    </row>
    <row r="901" customFormat="false" ht="15" hidden="false" customHeight="false" outlineLevel="0" collapsed="false">
      <c r="A901" s="0" t="s">
        <v>153</v>
      </c>
      <c r="B901" s="2" t="n">
        <v>46270</v>
      </c>
      <c r="C901" s="0" t="n">
        <v>23.651</v>
      </c>
    </row>
    <row r="902" customFormat="false" ht="15" hidden="false" customHeight="false" outlineLevel="0" collapsed="false">
      <c r="A902" s="0" t="s">
        <v>154</v>
      </c>
      <c r="B902" s="2" t="n">
        <v>46270</v>
      </c>
      <c r="C902" s="0" t="n">
        <v>42.189</v>
      </c>
    </row>
    <row r="903" customFormat="false" ht="15" hidden="false" customHeight="false" outlineLevel="0" collapsed="false">
      <c r="A903" s="0" t="s">
        <v>158</v>
      </c>
      <c r="B903" s="2" t="n">
        <v>46270</v>
      </c>
      <c r="C903" s="0" t="n">
        <v>32.256</v>
      </c>
    </row>
    <row r="904" customFormat="false" ht="15" hidden="false" customHeight="false" outlineLevel="0" collapsed="false">
      <c r="A904" s="0" t="s">
        <v>156</v>
      </c>
      <c r="B904" s="2" t="n">
        <v>46271</v>
      </c>
      <c r="C904" s="0" t="n">
        <v>3.36</v>
      </c>
    </row>
    <row r="905" customFormat="false" ht="15" hidden="false" customHeight="false" outlineLevel="0" collapsed="false">
      <c r="A905" s="0" t="s">
        <v>161</v>
      </c>
      <c r="B905" s="2" t="n">
        <v>46271</v>
      </c>
      <c r="C905" s="0" t="n">
        <v>515.991</v>
      </c>
    </row>
    <row r="906" customFormat="false" ht="15" hidden="false" customHeight="false" outlineLevel="0" collapsed="false">
      <c r="A906" s="0" t="s">
        <v>150</v>
      </c>
      <c r="B906" s="2" t="n">
        <v>46271</v>
      </c>
      <c r="C906" s="0" t="n">
        <v>14.96</v>
      </c>
    </row>
    <row r="907" customFormat="false" ht="15" hidden="false" customHeight="false" outlineLevel="0" collapsed="false">
      <c r="A907" s="0" t="s">
        <v>159</v>
      </c>
      <c r="B907" s="2" t="n">
        <v>46271</v>
      </c>
      <c r="C907" s="0" t="n">
        <v>11.571</v>
      </c>
    </row>
    <row r="908" customFormat="false" ht="15" hidden="false" customHeight="false" outlineLevel="0" collapsed="false">
      <c r="A908" s="0" t="s">
        <v>162</v>
      </c>
      <c r="B908" s="2" t="n">
        <v>46271</v>
      </c>
      <c r="C908" s="0" t="n">
        <v>33.161</v>
      </c>
    </row>
    <row r="909" customFormat="false" ht="15" hidden="false" customHeight="false" outlineLevel="0" collapsed="false">
      <c r="A909" s="0" t="s">
        <v>160</v>
      </c>
      <c r="B909" s="2" t="n">
        <v>46271</v>
      </c>
      <c r="C909" s="0" t="n">
        <v>51.245</v>
      </c>
    </row>
    <row r="910" customFormat="false" ht="15" hidden="false" customHeight="false" outlineLevel="0" collapsed="false">
      <c r="A910" s="0" t="s">
        <v>157</v>
      </c>
      <c r="B910" s="2" t="n">
        <v>46271</v>
      </c>
      <c r="C910" s="0" t="n">
        <v>465.88</v>
      </c>
    </row>
    <row r="911" customFormat="false" ht="15" hidden="false" customHeight="false" outlineLevel="0" collapsed="false">
      <c r="A911" s="0" t="s">
        <v>153</v>
      </c>
      <c r="B911" s="2" t="n">
        <v>46271</v>
      </c>
      <c r="C911" s="0" t="n">
        <v>30.75</v>
      </c>
    </row>
    <row r="912" customFormat="false" ht="15" hidden="false" customHeight="false" outlineLevel="0" collapsed="false">
      <c r="A912" s="0" t="s">
        <v>154</v>
      </c>
      <c r="B912" s="2" t="n">
        <v>46271</v>
      </c>
      <c r="C912" s="0" t="n">
        <v>54.85</v>
      </c>
    </row>
    <row r="913" customFormat="false" ht="15" hidden="false" customHeight="false" outlineLevel="0" collapsed="false">
      <c r="A913" s="0" t="s">
        <v>163</v>
      </c>
      <c r="B913" s="2" t="n">
        <v>46271</v>
      </c>
      <c r="C913" s="0" t="n">
        <v>4.128</v>
      </c>
    </row>
    <row r="914" customFormat="false" ht="15" hidden="false" customHeight="false" outlineLevel="0" collapsed="false">
      <c r="A914" s="0" t="s">
        <v>158</v>
      </c>
      <c r="B914" s="2" t="n">
        <v>46271</v>
      </c>
      <c r="C914" s="0" t="n">
        <v>28.716</v>
      </c>
    </row>
    <row r="915" customFormat="false" ht="15" hidden="false" customHeight="false" outlineLevel="0" collapsed="false">
      <c r="A915" s="0" t="s">
        <v>156</v>
      </c>
      <c r="B915" s="2" t="n">
        <v>46272</v>
      </c>
      <c r="C915" s="0" t="n">
        <v>3.93</v>
      </c>
    </row>
    <row r="916" customFormat="false" ht="15" hidden="false" customHeight="false" outlineLevel="0" collapsed="false">
      <c r="A916" s="0" t="s">
        <v>161</v>
      </c>
      <c r="B916" s="2" t="n">
        <v>46272</v>
      </c>
      <c r="C916" s="0" t="n">
        <v>491.339</v>
      </c>
    </row>
    <row r="917" customFormat="false" ht="15" hidden="false" customHeight="false" outlineLevel="0" collapsed="false">
      <c r="A917" s="0" t="s">
        <v>150</v>
      </c>
      <c r="B917" s="2" t="n">
        <v>46272</v>
      </c>
      <c r="C917" s="0" t="n">
        <v>13.138</v>
      </c>
    </row>
    <row r="918" customFormat="false" ht="15" hidden="false" customHeight="false" outlineLevel="0" collapsed="false">
      <c r="A918" s="0" t="s">
        <v>159</v>
      </c>
      <c r="B918" s="2" t="n">
        <v>46272</v>
      </c>
      <c r="C918" s="0" t="n">
        <v>17.932</v>
      </c>
    </row>
    <row r="919" customFormat="false" ht="15" hidden="false" customHeight="false" outlineLevel="0" collapsed="false">
      <c r="A919" s="0" t="s">
        <v>162</v>
      </c>
      <c r="B919" s="2" t="n">
        <v>46272</v>
      </c>
      <c r="C919" s="0" t="n">
        <v>31.577</v>
      </c>
    </row>
    <row r="920" customFormat="false" ht="15" hidden="false" customHeight="false" outlineLevel="0" collapsed="false">
      <c r="A920" s="0" t="s">
        <v>160</v>
      </c>
      <c r="B920" s="2" t="n">
        <v>46272</v>
      </c>
      <c r="C920" s="0" t="n">
        <v>79.412</v>
      </c>
    </row>
    <row r="921" customFormat="false" ht="15" hidden="false" customHeight="false" outlineLevel="0" collapsed="false">
      <c r="A921" s="0" t="s">
        <v>157</v>
      </c>
      <c r="B921" s="2" t="n">
        <v>46272</v>
      </c>
      <c r="C921" s="0" t="n">
        <v>544.774</v>
      </c>
    </row>
    <row r="922" customFormat="false" ht="15" hidden="false" customHeight="false" outlineLevel="0" collapsed="false">
      <c r="A922" s="0" t="s">
        <v>153</v>
      </c>
      <c r="B922" s="2" t="n">
        <v>46272</v>
      </c>
      <c r="C922" s="0" t="n">
        <v>27.007</v>
      </c>
    </row>
    <row r="923" customFormat="false" ht="15" hidden="false" customHeight="false" outlineLevel="0" collapsed="false">
      <c r="A923" s="0" t="s">
        <v>154</v>
      </c>
      <c r="B923" s="2" t="n">
        <v>46272</v>
      </c>
      <c r="C923" s="0" t="n">
        <v>48.176</v>
      </c>
    </row>
    <row r="924" customFormat="false" ht="15" hidden="false" customHeight="false" outlineLevel="0" collapsed="false">
      <c r="A924" s="0" t="s">
        <v>163</v>
      </c>
      <c r="B924" s="2" t="n">
        <v>46272</v>
      </c>
      <c r="C924" s="0" t="n">
        <v>3.931</v>
      </c>
    </row>
    <row r="925" customFormat="false" ht="15" hidden="false" customHeight="false" outlineLevel="0" collapsed="false">
      <c r="A925" s="0" t="s">
        <v>158</v>
      </c>
      <c r="B925" s="2" t="n">
        <v>46272</v>
      </c>
      <c r="C925" s="0" t="n">
        <v>33.58</v>
      </c>
    </row>
    <row r="926" customFormat="false" ht="15" hidden="false" customHeight="false" outlineLevel="0" collapsed="false">
      <c r="A926" s="0" t="s">
        <v>156</v>
      </c>
      <c r="B926" s="2" t="n">
        <v>46273</v>
      </c>
      <c r="C926" s="0" t="n">
        <v>3.38</v>
      </c>
    </row>
    <row r="927" customFormat="false" ht="15" hidden="false" customHeight="false" outlineLevel="0" collapsed="false">
      <c r="A927" s="0" t="s">
        <v>161</v>
      </c>
      <c r="B927" s="2" t="n">
        <v>46273</v>
      </c>
      <c r="C927" s="0" t="n">
        <v>612.784</v>
      </c>
    </row>
    <row r="928" customFormat="false" ht="15" hidden="false" customHeight="false" outlineLevel="0" collapsed="false">
      <c r="A928" s="0" t="s">
        <v>150</v>
      </c>
      <c r="B928" s="2" t="n">
        <v>46273</v>
      </c>
      <c r="C928" s="0" t="n">
        <v>15.014</v>
      </c>
    </row>
    <row r="929" customFormat="false" ht="15" hidden="false" customHeight="false" outlineLevel="0" collapsed="false">
      <c r="A929" s="0" t="s">
        <v>159</v>
      </c>
      <c r="B929" s="2" t="n">
        <v>46273</v>
      </c>
      <c r="C929" s="0" t="n">
        <v>15.885</v>
      </c>
    </row>
    <row r="930" customFormat="false" ht="15" hidden="false" customHeight="false" outlineLevel="0" collapsed="false">
      <c r="A930" s="0" t="s">
        <v>162</v>
      </c>
      <c r="B930" s="2" t="n">
        <v>46273</v>
      </c>
      <c r="C930" s="0" t="n">
        <v>39.381</v>
      </c>
    </row>
    <row r="931" customFormat="false" ht="15" hidden="false" customHeight="false" outlineLevel="0" collapsed="false">
      <c r="A931" s="0" t="s">
        <v>160</v>
      </c>
      <c r="B931" s="2" t="n">
        <v>46273</v>
      </c>
      <c r="C931" s="0" t="n">
        <v>70.346</v>
      </c>
    </row>
    <row r="932" customFormat="false" ht="15" hidden="false" customHeight="false" outlineLevel="0" collapsed="false">
      <c r="A932" s="0" t="s">
        <v>157</v>
      </c>
      <c r="B932" s="2" t="n">
        <v>46273</v>
      </c>
      <c r="C932" s="0" t="n">
        <v>468.6</v>
      </c>
    </row>
    <row r="933" customFormat="false" ht="15" hidden="false" customHeight="false" outlineLevel="0" collapsed="false">
      <c r="A933" s="0" t="s">
        <v>153</v>
      </c>
      <c r="B933" s="2" t="n">
        <v>46273</v>
      </c>
      <c r="C933" s="0" t="n">
        <v>30.861</v>
      </c>
    </row>
    <row r="934" customFormat="false" ht="15" hidden="false" customHeight="false" outlineLevel="0" collapsed="false">
      <c r="A934" s="0" t="s">
        <v>154</v>
      </c>
      <c r="B934" s="2" t="n">
        <v>46273</v>
      </c>
      <c r="C934" s="0" t="n">
        <v>55.049</v>
      </c>
    </row>
    <row r="935" customFormat="false" ht="15" hidden="false" customHeight="false" outlineLevel="0" collapsed="false">
      <c r="A935" s="0" t="s">
        <v>163</v>
      </c>
      <c r="B935" s="2" t="n">
        <v>46273</v>
      </c>
      <c r="C935" s="0" t="n">
        <v>4.902</v>
      </c>
    </row>
    <row r="936" customFormat="false" ht="15" hidden="false" customHeight="false" outlineLevel="0" collapsed="false">
      <c r="A936" s="0" t="s">
        <v>158</v>
      </c>
      <c r="B936" s="2" t="n">
        <v>46273</v>
      </c>
      <c r="C936" s="0" t="n">
        <v>28.884</v>
      </c>
    </row>
    <row r="937" customFormat="false" ht="15" hidden="false" customHeight="false" outlineLevel="0" collapsed="false">
      <c r="A937" s="0" t="s">
        <v>156</v>
      </c>
      <c r="B937" s="2" t="n">
        <v>46274</v>
      </c>
      <c r="C937" s="0" t="n">
        <v>3.745</v>
      </c>
    </row>
    <row r="938" customFormat="false" ht="15" hidden="false" customHeight="false" outlineLevel="0" collapsed="false">
      <c r="A938" s="0" t="s">
        <v>161</v>
      </c>
      <c r="B938" s="2" t="n">
        <v>46274</v>
      </c>
      <c r="C938" s="0" t="n">
        <v>487.365</v>
      </c>
    </row>
    <row r="939" customFormat="false" ht="15" hidden="false" customHeight="false" outlineLevel="0" collapsed="false">
      <c r="A939" s="0" t="s">
        <v>150</v>
      </c>
      <c r="B939" s="2" t="n">
        <v>46274</v>
      </c>
      <c r="C939" s="0" t="n">
        <v>14.804</v>
      </c>
    </row>
    <row r="940" customFormat="false" ht="15" hidden="false" customHeight="false" outlineLevel="0" collapsed="false">
      <c r="A940" s="0" t="s">
        <v>159</v>
      </c>
      <c r="B940" s="2" t="n">
        <v>46274</v>
      </c>
      <c r="C940" s="0" t="n">
        <v>13.322</v>
      </c>
    </row>
    <row r="941" customFormat="false" ht="15" hidden="false" customHeight="false" outlineLevel="0" collapsed="false">
      <c r="A941" s="0" t="s">
        <v>162</v>
      </c>
      <c r="B941" s="2" t="n">
        <v>46274</v>
      </c>
      <c r="C941" s="0" t="n">
        <v>31.322</v>
      </c>
    </row>
    <row r="942" customFormat="false" ht="15" hidden="false" customHeight="false" outlineLevel="0" collapsed="false">
      <c r="A942" s="0" t="s">
        <v>160</v>
      </c>
      <c r="B942" s="2" t="n">
        <v>46274</v>
      </c>
      <c r="C942" s="0" t="n">
        <v>59.001</v>
      </c>
    </row>
    <row r="943" customFormat="false" ht="15" hidden="false" customHeight="false" outlineLevel="0" collapsed="false">
      <c r="A943" s="0" t="s">
        <v>157</v>
      </c>
      <c r="B943" s="2" t="n">
        <v>46274</v>
      </c>
      <c r="C943" s="0" t="n">
        <v>519.192</v>
      </c>
    </row>
    <row r="944" customFormat="false" ht="15" hidden="false" customHeight="false" outlineLevel="0" collapsed="false">
      <c r="A944" s="0" t="s">
        <v>153</v>
      </c>
      <c r="B944" s="2" t="n">
        <v>46274</v>
      </c>
      <c r="C944" s="0" t="n">
        <v>30.432</v>
      </c>
    </row>
    <row r="945" customFormat="false" ht="15" hidden="false" customHeight="false" outlineLevel="0" collapsed="false">
      <c r="A945" s="0" t="s">
        <v>154</v>
      </c>
      <c r="B945" s="2" t="n">
        <v>46274</v>
      </c>
      <c r="C945" s="0" t="n">
        <v>54.283</v>
      </c>
    </row>
    <row r="946" customFormat="false" ht="15" hidden="false" customHeight="false" outlineLevel="0" collapsed="false">
      <c r="A946" s="0" t="s">
        <v>163</v>
      </c>
      <c r="B946" s="2" t="n">
        <v>46274</v>
      </c>
      <c r="C946" s="0" t="n">
        <v>3.899</v>
      </c>
    </row>
    <row r="947" customFormat="false" ht="15" hidden="false" customHeight="false" outlineLevel="0" collapsed="false">
      <c r="A947" s="0" t="s">
        <v>158</v>
      </c>
      <c r="B947" s="2" t="n">
        <v>46274</v>
      </c>
      <c r="C947" s="0" t="n">
        <v>32.003</v>
      </c>
    </row>
    <row r="948" customFormat="false" ht="15" hidden="false" customHeight="false" outlineLevel="0" collapsed="false">
      <c r="A948" s="0" t="s">
        <v>156</v>
      </c>
      <c r="B948" s="2" t="n">
        <v>46275</v>
      </c>
      <c r="C948" s="0" t="n">
        <v>3.453</v>
      </c>
    </row>
    <row r="949" customFormat="false" ht="15" hidden="false" customHeight="false" outlineLevel="0" collapsed="false">
      <c r="A949" s="0" t="s">
        <v>161</v>
      </c>
      <c r="B949" s="2" t="n">
        <v>46275</v>
      </c>
      <c r="C949" s="0" t="n">
        <v>626.39</v>
      </c>
    </row>
    <row r="950" customFormat="false" ht="15" hidden="false" customHeight="false" outlineLevel="0" collapsed="false">
      <c r="A950" s="0" t="s">
        <v>150</v>
      </c>
      <c r="B950" s="2" t="n">
        <v>46275</v>
      </c>
      <c r="C950" s="0" t="n">
        <v>16.651</v>
      </c>
    </row>
    <row r="951" customFormat="false" ht="15" hidden="false" customHeight="false" outlineLevel="0" collapsed="false">
      <c r="A951" s="0" t="s">
        <v>159</v>
      </c>
      <c r="B951" s="2" t="n">
        <v>46275</v>
      </c>
      <c r="C951" s="0" t="n">
        <v>13.019</v>
      </c>
    </row>
    <row r="952" customFormat="false" ht="15" hidden="false" customHeight="false" outlineLevel="0" collapsed="false">
      <c r="A952" s="0" t="s">
        <v>162</v>
      </c>
      <c r="B952" s="2" t="n">
        <v>46275</v>
      </c>
      <c r="C952" s="0" t="n">
        <v>40.256</v>
      </c>
    </row>
    <row r="953" customFormat="false" ht="15" hidden="false" customHeight="false" outlineLevel="0" collapsed="false">
      <c r="A953" s="0" t="s">
        <v>160</v>
      </c>
      <c r="B953" s="2" t="n">
        <v>46275</v>
      </c>
      <c r="C953" s="0" t="n">
        <v>57.652</v>
      </c>
    </row>
    <row r="954" customFormat="false" ht="15" hidden="false" customHeight="false" outlineLevel="0" collapsed="false">
      <c r="A954" s="0" t="s">
        <v>157</v>
      </c>
      <c r="B954" s="2" t="n">
        <v>46275</v>
      </c>
      <c r="C954" s="0" t="n">
        <v>478.72</v>
      </c>
    </row>
    <row r="955" customFormat="false" ht="15" hidden="false" customHeight="false" outlineLevel="0" collapsed="false">
      <c r="A955" s="0" t="s">
        <v>153</v>
      </c>
      <c r="B955" s="2" t="n">
        <v>46275</v>
      </c>
      <c r="C955" s="0" t="n">
        <v>34.226</v>
      </c>
    </row>
    <row r="956" customFormat="false" ht="15" hidden="false" customHeight="false" outlineLevel="0" collapsed="false">
      <c r="A956" s="0" t="s">
        <v>154</v>
      </c>
      <c r="B956" s="2" t="n">
        <v>46275</v>
      </c>
      <c r="C956" s="0" t="n">
        <v>61.052</v>
      </c>
    </row>
    <row r="957" customFormat="false" ht="15" hidden="false" customHeight="false" outlineLevel="0" collapsed="false">
      <c r="A957" s="0" t="s">
        <v>163</v>
      </c>
      <c r="B957" s="2" t="n">
        <v>46275</v>
      </c>
      <c r="C957" s="0" t="n">
        <v>5.011</v>
      </c>
    </row>
    <row r="958" customFormat="false" ht="15" hidden="false" customHeight="false" outlineLevel="0" collapsed="false">
      <c r="A958" s="0" t="s">
        <v>158</v>
      </c>
      <c r="B958" s="2" t="n">
        <v>46275</v>
      </c>
      <c r="C958" s="0" t="n">
        <v>29.508</v>
      </c>
    </row>
    <row r="959" customFormat="false" ht="15" hidden="false" customHeight="false" outlineLevel="0" collapsed="false">
      <c r="A959" s="0" t="s">
        <v>156</v>
      </c>
      <c r="B959" s="2" t="n">
        <v>46276</v>
      </c>
      <c r="C959" s="0" t="n">
        <v>3.12</v>
      </c>
    </row>
    <row r="960" customFormat="false" ht="15" hidden="false" customHeight="false" outlineLevel="0" collapsed="false">
      <c r="A960" s="0" t="s">
        <v>161</v>
      </c>
      <c r="B960" s="2" t="n">
        <v>46276</v>
      </c>
      <c r="C960" s="0" t="n">
        <v>530.163</v>
      </c>
    </row>
    <row r="961" customFormat="false" ht="15" hidden="false" customHeight="false" outlineLevel="0" collapsed="false">
      <c r="A961" s="0" t="s">
        <v>150</v>
      </c>
      <c r="B961" s="2" t="n">
        <v>46276</v>
      </c>
      <c r="C961" s="0" t="n">
        <v>17.482</v>
      </c>
    </row>
    <row r="962" customFormat="false" ht="15" hidden="false" customHeight="false" outlineLevel="0" collapsed="false">
      <c r="A962" s="0" t="s">
        <v>164</v>
      </c>
      <c r="B962" s="2" t="n">
        <v>46276</v>
      </c>
      <c r="C962" s="0" t="n">
        <v>143.635</v>
      </c>
    </row>
    <row r="963" customFormat="false" ht="15" hidden="false" customHeight="false" outlineLevel="0" collapsed="false">
      <c r="A963" s="0" t="s">
        <v>159</v>
      </c>
      <c r="B963" s="2" t="n">
        <v>46276</v>
      </c>
      <c r="C963" s="0" t="n">
        <v>13.832</v>
      </c>
    </row>
    <row r="964" customFormat="false" ht="15" hidden="false" customHeight="false" outlineLevel="0" collapsed="false">
      <c r="A964" s="0" t="s">
        <v>162</v>
      </c>
      <c r="B964" s="2" t="n">
        <v>46276</v>
      </c>
      <c r="C964" s="0" t="n">
        <v>34.071</v>
      </c>
    </row>
    <row r="965" customFormat="false" ht="15" hidden="false" customHeight="false" outlineLevel="0" collapsed="false">
      <c r="A965" s="0" t="s">
        <v>160</v>
      </c>
      <c r="B965" s="2" t="n">
        <v>46276</v>
      </c>
      <c r="C965" s="0" t="n">
        <v>61.259</v>
      </c>
    </row>
    <row r="966" customFormat="false" ht="15" hidden="false" customHeight="false" outlineLevel="0" collapsed="false">
      <c r="A966" s="0" t="s">
        <v>157</v>
      </c>
      <c r="B966" s="2" t="n">
        <v>46276</v>
      </c>
      <c r="C966" s="0" t="n">
        <v>432.608</v>
      </c>
    </row>
    <row r="967" customFormat="false" ht="15" hidden="false" customHeight="false" outlineLevel="0" collapsed="false">
      <c r="A967" s="0" t="s">
        <v>165</v>
      </c>
      <c r="B967" s="2" t="n">
        <v>46276</v>
      </c>
      <c r="C967" s="0" t="n">
        <v>43.715</v>
      </c>
    </row>
    <row r="968" customFormat="false" ht="15" hidden="false" customHeight="false" outlineLevel="0" collapsed="false">
      <c r="A968" s="0" t="s">
        <v>153</v>
      </c>
      <c r="B968" s="2" t="n">
        <v>46276</v>
      </c>
      <c r="C968" s="0" t="n">
        <v>35.936</v>
      </c>
    </row>
    <row r="969" customFormat="false" ht="15" hidden="false" customHeight="false" outlineLevel="0" collapsed="false">
      <c r="A969" s="0" t="s">
        <v>154</v>
      </c>
      <c r="B969" s="2" t="n">
        <v>46276</v>
      </c>
      <c r="C969" s="0" t="n">
        <v>64.102</v>
      </c>
    </row>
    <row r="970" customFormat="false" ht="15" hidden="false" customHeight="false" outlineLevel="0" collapsed="false">
      <c r="A970" s="0" t="s">
        <v>163</v>
      </c>
      <c r="B970" s="2" t="n">
        <v>46276</v>
      </c>
      <c r="C970" s="0" t="n">
        <v>4.241</v>
      </c>
    </row>
    <row r="971" customFormat="false" ht="15" hidden="false" customHeight="false" outlineLevel="0" collapsed="false">
      <c r="A971" s="0" t="s">
        <v>158</v>
      </c>
      <c r="B971" s="2" t="n">
        <v>46276</v>
      </c>
      <c r="C971" s="0" t="n">
        <v>26.665</v>
      </c>
    </row>
    <row r="972" customFormat="false" ht="15" hidden="false" customHeight="false" outlineLevel="0" collapsed="false">
      <c r="A972" s="0" t="s">
        <v>156</v>
      </c>
      <c r="B972" s="2" t="n">
        <v>46277</v>
      </c>
      <c r="C972" s="0" t="n">
        <v>3.349</v>
      </c>
    </row>
    <row r="973" customFormat="false" ht="15" hidden="false" customHeight="false" outlineLevel="0" collapsed="false">
      <c r="A973" s="0" t="s">
        <v>161</v>
      </c>
      <c r="B973" s="2" t="n">
        <v>46277</v>
      </c>
      <c r="C973" s="0" t="n">
        <v>623.227</v>
      </c>
    </row>
    <row r="974" customFormat="false" ht="15" hidden="false" customHeight="false" outlineLevel="0" collapsed="false">
      <c r="A974" s="0" t="s">
        <v>150</v>
      </c>
      <c r="B974" s="2" t="n">
        <v>46277</v>
      </c>
      <c r="C974" s="0" t="n">
        <v>14.626</v>
      </c>
    </row>
    <row r="975" customFormat="false" ht="15" hidden="false" customHeight="false" outlineLevel="0" collapsed="false">
      <c r="A975" s="0" t="s">
        <v>164</v>
      </c>
      <c r="B975" s="2" t="n">
        <v>46277</v>
      </c>
      <c r="C975" s="0" t="n">
        <v>136.786</v>
      </c>
    </row>
    <row r="976" customFormat="false" ht="15" hidden="false" customHeight="false" outlineLevel="0" collapsed="false">
      <c r="A976" s="0" t="s">
        <v>159</v>
      </c>
      <c r="B976" s="2" t="n">
        <v>46277</v>
      </c>
      <c r="C976" s="0" t="n">
        <v>15.078</v>
      </c>
    </row>
    <row r="977" customFormat="false" ht="15" hidden="false" customHeight="false" outlineLevel="0" collapsed="false">
      <c r="A977" s="0" t="s">
        <v>162</v>
      </c>
      <c r="B977" s="2" t="n">
        <v>46277</v>
      </c>
      <c r="C977" s="0" t="n">
        <v>40.053</v>
      </c>
    </row>
    <row r="978" customFormat="false" ht="15" hidden="false" customHeight="false" outlineLevel="0" collapsed="false">
      <c r="A978" s="0" t="s">
        <v>160</v>
      </c>
      <c r="B978" s="2" t="n">
        <v>46277</v>
      </c>
      <c r="C978" s="0" t="n">
        <v>66.775</v>
      </c>
    </row>
    <row r="979" customFormat="false" ht="15" hidden="false" customHeight="false" outlineLevel="0" collapsed="false">
      <c r="A979" s="0" t="s">
        <v>157</v>
      </c>
      <c r="B979" s="2" t="n">
        <v>46277</v>
      </c>
      <c r="C979" s="0" t="n">
        <v>464.242</v>
      </c>
    </row>
    <row r="980" customFormat="false" ht="15" hidden="false" customHeight="false" outlineLevel="0" collapsed="false">
      <c r="A980" s="0" t="s">
        <v>165</v>
      </c>
      <c r="B980" s="2" t="n">
        <v>46277</v>
      </c>
      <c r="C980" s="0" t="n">
        <v>41.631</v>
      </c>
    </row>
    <row r="981" customFormat="false" ht="15" hidden="false" customHeight="false" outlineLevel="0" collapsed="false">
      <c r="A981" s="0" t="s">
        <v>153</v>
      </c>
      <c r="B981" s="2" t="n">
        <v>46277</v>
      </c>
      <c r="C981" s="0" t="n">
        <v>30.064</v>
      </c>
    </row>
    <row r="982" customFormat="false" ht="15" hidden="false" customHeight="false" outlineLevel="0" collapsed="false">
      <c r="A982" s="0" t="s">
        <v>154</v>
      </c>
      <c r="B982" s="2" t="n">
        <v>46277</v>
      </c>
      <c r="C982" s="0" t="n">
        <v>53.628</v>
      </c>
    </row>
    <row r="983" customFormat="false" ht="15" hidden="false" customHeight="false" outlineLevel="0" collapsed="false">
      <c r="A983" s="0" t="s">
        <v>163</v>
      </c>
      <c r="B983" s="2" t="n">
        <v>46277</v>
      </c>
      <c r="C983" s="0" t="n">
        <v>4.986</v>
      </c>
    </row>
    <row r="984" customFormat="false" ht="15" hidden="false" customHeight="false" outlineLevel="0" collapsed="false">
      <c r="A984" s="0" t="s">
        <v>158</v>
      </c>
      <c r="B984" s="2" t="n">
        <v>46277</v>
      </c>
      <c r="C984" s="0" t="n">
        <v>28.616</v>
      </c>
    </row>
    <row r="985" customFormat="false" ht="15" hidden="false" customHeight="false" outlineLevel="0" collapsed="false">
      <c r="A985" s="0" t="s">
        <v>156</v>
      </c>
      <c r="B985" s="2" t="n">
        <v>46278</v>
      </c>
      <c r="C985" s="0" t="n">
        <v>4.059</v>
      </c>
    </row>
    <row r="986" customFormat="false" ht="15" hidden="false" customHeight="false" outlineLevel="0" collapsed="false">
      <c r="A986" s="0" t="s">
        <v>161</v>
      </c>
      <c r="B986" s="2" t="n">
        <v>46278</v>
      </c>
      <c r="C986" s="0" t="n">
        <v>582.44</v>
      </c>
    </row>
    <row r="987" customFormat="false" ht="15" hidden="false" customHeight="false" outlineLevel="0" collapsed="false">
      <c r="A987" s="0" t="s">
        <v>150</v>
      </c>
      <c r="B987" s="2" t="n">
        <v>46278</v>
      </c>
      <c r="C987" s="0" t="n">
        <v>16.285</v>
      </c>
    </row>
    <row r="988" customFormat="false" ht="15" hidden="false" customHeight="false" outlineLevel="0" collapsed="false">
      <c r="A988" s="0" t="s">
        <v>164</v>
      </c>
      <c r="B988" s="2" t="n">
        <v>46278</v>
      </c>
      <c r="C988" s="0" t="n">
        <v>160.512</v>
      </c>
    </row>
    <row r="989" customFormat="false" ht="15" hidden="false" customHeight="false" outlineLevel="0" collapsed="false">
      <c r="A989" s="0" t="s">
        <v>159</v>
      </c>
      <c r="B989" s="2" t="n">
        <v>46278</v>
      </c>
      <c r="C989" s="0" t="n">
        <v>14.101</v>
      </c>
    </row>
    <row r="990" customFormat="false" ht="15" hidden="false" customHeight="false" outlineLevel="0" collapsed="false">
      <c r="A990" s="0" t="s">
        <v>162</v>
      </c>
      <c r="B990" s="2" t="n">
        <v>46278</v>
      </c>
      <c r="C990" s="0" t="n">
        <v>37.432</v>
      </c>
    </row>
    <row r="991" customFormat="false" ht="15" hidden="false" customHeight="false" outlineLevel="0" collapsed="false">
      <c r="A991" s="0" t="s">
        <v>160</v>
      </c>
      <c r="B991" s="2" t="n">
        <v>46278</v>
      </c>
      <c r="C991" s="0" t="n">
        <v>62.447</v>
      </c>
    </row>
    <row r="992" customFormat="false" ht="15" hidden="false" customHeight="false" outlineLevel="0" collapsed="false">
      <c r="A992" s="0" t="s">
        <v>157</v>
      </c>
      <c r="B992" s="2" t="n">
        <v>46278</v>
      </c>
      <c r="C992" s="0" t="n">
        <v>562.695</v>
      </c>
    </row>
    <row r="993" customFormat="false" ht="15" hidden="false" customHeight="false" outlineLevel="0" collapsed="false">
      <c r="A993" s="0" t="s">
        <v>165</v>
      </c>
      <c r="B993" s="2" t="n">
        <v>46278</v>
      </c>
      <c r="C993" s="0" t="n">
        <v>48.851</v>
      </c>
    </row>
    <row r="994" customFormat="false" ht="15" hidden="false" customHeight="false" outlineLevel="0" collapsed="false">
      <c r="A994" s="0" t="s">
        <v>153</v>
      </c>
      <c r="B994" s="2" t="n">
        <v>46278</v>
      </c>
      <c r="C994" s="0" t="n">
        <v>33.474</v>
      </c>
    </row>
    <row r="995" customFormat="false" ht="15" hidden="false" customHeight="false" outlineLevel="0" collapsed="false">
      <c r="A995" s="0" t="s">
        <v>154</v>
      </c>
      <c r="B995" s="2" t="n">
        <v>46278</v>
      </c>
      <c r="C995" s="0" t="n">
        <v>59.71</v>
      </c>
    </row>
    <row r="996" customFormat="false" ht="15" hidden="false" customHeight="false" outlineLevel="0" collapsed="false">
      <c r="A996" s="0" t="s">
        <v>163</v>
      </c>
      <c r="B996" s="2" t="n">
        <v>46278</v>
      </c>
      <c r="C996" s="0" t="n">
        <v>4.66</v>
      </c>
    </row>
    <row r="997" customFormat="false" ht="15" hidden="false" customHeight="false" outlineLevel="0" collapsed="false">
      <c r="A997" s="0" t="s">
        <v>158</v>
      </c>
      <c r="B997" s="2" t="n">
        <v>46278</v>
      </c>
      <c r="C997" s="0" t="n">
        <v>34.684</v>
      </c>
    </row>
    <row r="998" customFormat="false" ht="15" hidden="false" customHeight="false" outlineLevel="0" collapsed="false">
      <c r="A998" s="0" t="s">
        <v>156</v>
      </c>
      <c r="B998" s="2" t="n">
        <v>46279</v>
      </c>
      <c r="C998" s="0" t="n">
        <v>1.98</v>
      </c>
    </row>
    <row r="999" customFormat="false" ht="15" hidden="false" customHeight="false" outlineLevel="0" collapsed="false">
      <c r="A999" s="0" t="s">
        <v>161</v>
      </c>
      <c r="B999" s="2" t="n">
        <v>46279</v>
      </c>
      <c r="C999" s="0" t="n">
        <v>506.921</v>
      </c>
    </row>
    <row r="1000" customFormat="false" ht="15" hidden="false" customHeight="false" outlineLevel="0" collapsed="false">
      <c r="A1000" s="0" t="s">
        <v>150</v>
      </c>
      <c r="B1000" s="2" t="n">
        <v>46279</v>
      </c>
      <c r="C1000" s="0" t="n">
        <v>17.14</v>
      </c>
    </row>
    <row r="1001" customFormat="false" ht="15" hidden="false" customHeight="false" outlineLevel="0" collapsed="false">
      <c r="A1001" s="0" t="s">
        <v>164</v>
      </c>
      <c r="B1001" s="2" t="n">
        <v>46279</v>
      </c>
      <c r="C1001" s="0" t="n">
        <v>127.017</v>
      </c>
    </row>
    <row r="1002" customFormat="false" ht="15" hidden="false" customHeight="false" outlineLevel="0" collapsed="false">
      <c r="A1002" s="0" t="s">
        <v>159</v>
      </c>
      <c r="B1002" s="2" t="n">
        <v>46279</v>
      </c>
      <c r="C1002" s="0" t="n">
        <v>13.69</v>
      </c>
    </row>
    <row r="1003" customFormat="false" ht="15" hidden="false" customHeight="false" outlineLevel="0" collapsed="false">
      <c r="A1003" s="0" t="s">
        <v>162</v>
      </c>
      <c r="B1003" s="2" t="n">
        <v>46279</v>
      </c>
      <c r="C1003" s="0" t="n">
        <v>32.578</v>
      </c>
    </row>
    <row r="1004" customFormat="false" ht="15" hidden="false" customHeight="false" outlineLevel="0" collapsed="false">
      <c r="A1004" s="0" t="s">
        <v>160</v>
      </c>
      <c r="B1004" s="2" t="n">
        <v>46279</v>
      </c>
      <c r="C1004" s="0" t="n">
        <v>60.626</v>
      </c>
    </row>
    <row r="1005" customFormat="false" ht="15" hidden="false" customHeight="false" outlineLevel="0" collapsed="false">
      <c r="A1005" s="0" t="s">
        <v>157</v>
      </c>
      <c r="B1005" s="2" t="n">
        <v>46279</v>
      </c>
      <c r="C1005" s="0" t="n">
        <v>274.516</v>
      </c>
    </row>
    <row r="1006" customFormat="false" ht="15" hidden="false" customHeight="false" outlineLevel="0" collapsed="false">
      <c r="A1006" s="0" t="s">
        <v>165</v>
      </c>
      <c r="B1006" s="2" t="n">
        <v>46279</v>
      </c>
      <c r="C1006" s="0" t="n">
        <v>38.657</v>
      </c>
    </row>
    <row r="1007" customFormat="false" ht="15" hidden="false" customHeight="false" outlineLevel="0" collapsed="false">
      <c r="A1007" s="0" t="s">
        <v>153</v>
      </c>
      <c r="B1007" s="2" t="n">
        <v>46279</v>
      </c>
      <c r="C1007" s="0" t="n">
        <v>35.232</v>
      </c>
    </row>
    <row r="1008" customFormat="false" ht="15" hidden="false" customHeight="false" outlineLevel="0" collapsed="false">
      <c r="A1008" s="0" t="s">
        <v>154</v>
      </c>
      <c r="B1008" s="2" t="n">
        <v>46279</v>
      </c>
      <c r="C1008" s="0" t="n">
        <v>62.848</v>
      </c>
    </row>
    <row r="1009" customFormat="false" ht="15" hidden="false" customHeight="false" outlineLevel="0" collapsed="false">
      <c r="A1009" s="0" t="s">
        <v>163</v>
      </c>
      <c r="B1009" s="2" t="n">
        <v>46279</v>
      </c>
      <c r="C1009" s="0" t="n">
        <v>4.055</v>
      </c>
    </row>
    <row r="1010" customFormat="false" ht="15" hidden="false" customHeight="false" outlineLevel="0" collapsed="false">
      <c r="A1010" s="0" t="s">
        <v>158</v>
      </c>
      <c r="B1010" s="2" t="n">
        <v>46279</v>
      </c>
      <c r="C1010" s="0" t="n">
        <v>16.921</v>
      </c>
    </row>
    <row r="1011" customFormat="false" ht="15" hidden="false" customHeight="false" outlineLevel="0" collapsed="false">
      <c r="A1011" s="0" t="s">
        <v>161</v>
      </c>
      <c r="B1011" s="2" t="n">
        <v>46280</v>
      </c>
      <c r="C1011" s="0" t="n">
        <v>500.746</v>
      </c>
    </row>
    <row r="1012" customFormat="false" ht="15" hidden="false" customHeight="false" outlineLevel="0" collapsed="false">
      <c r="A1012" s="0" t="s">
        <v>166</v>
      </c>
      <c r="B1012" s="2" t="n">
        <v>46280</v>
      </c>
      <c r="C1012" s="0" t="n">
        <v>47.423</v>
      </c>
    </row>
    <row r="1013" customFormat="false" ht="15" hidden="false" customHeight="false" outlineLevel="0" collapsed="false">
      <c r="A1013" s="0" t="s">
        <v>150</v>
      </c>
      <c r="B1013" s="2" t="n">
        <v>46280</v>
      </c>
      <c r="C1013" s="0" t="n">
        <v>14.844</v>
      </c>
    </row>
    <row r="1014" customFormat="false" ht="15" hidden="false" customHeight="false" outlineLevel="0" collapsed="false">
      <c r="A1014" s="0" t="s">
        <v>164</v>
      </c>
      <c r="B1014" s="2" t="n">
        <v>46280</v>
      </c>
      <c r="C1014" s="0" t="n">
        <v>153.844</v>
      </c>
    </row>
    <row r="1015" customFormat="false" ht="15" hidden="false" customHeight="false" outlineLevel="0" collapsed="false">
      <c r="A1015" s="0" t="s">
        <v>159</v>
      </c>
      <c r="B1015" s="2" t="n">
        <v>46280</v>
      </c>
      <c r="C1015" s="0" t="n">
        <v>13.961</v>
      </c>
    </row>
    <row r="1016" customFormat="false" ht="15" hidden="false" customHeight="false" outlineLevel="0" collapsed="false">
      <c r="A1016" s="0" t="s">
        <v>162</v>
      </c>
      <c r="B1016" s="2" t="n">
        <v>46280</v>
      </c>
      <c r="C1016" s="0" t="n">
        <v>32.181</v>
      </c>
    </row>
    <row r="1017" customFormat="false" ht="15" hidden="false" customHeight="false" outlineLevel="0" collapsed="false">
      <c r="A1017" s="0" t="s">
        <v>160</v>
      </c>
      <c r="B1017" s="2" t="n">
        <v>46280</v>
      </c>
      <c r="C1017" s="0" t="n">
        <v>61.826</v>
      </c>
    </row>
    <row r="1018" customFormat="false" ht="15" hidden="false" customHeight="false" outlineLevel="0" collapsed="false">
      <c r="A1018" s="0" t="s">
        <v>167</v>
      </c>
      <c r="B1018" s="2" t="n">
        <v>46280</v>
      </c>
      <c r="C1018" s="0" t="n">
        <v>2.754</v>
      </c>
    </row>
    <row r="1019" customFormat="false" ht="15" hidden="false" customHeight="false" outlineLevel="0" collapsed="false">
      <c r="A1019" s="0" t="s">
        <v>165</v>
      </c>
      <c r="B1019" s="2" t="n">
        <v>46280</v>
      </c>
      <c r="C1019" s="0" t="n">
        <v>46.822</v>
      </c>
    </row>
    <row r="1020" customFormat="false" ht="15" hidden="false" customHeight="false" outlineLevel="0" collapsed="false">
      <c r="A1020" s="0" t="s">
        <v>153</v>
      </c>
      <c r="B1020" s="2" t="n">
        <v>46280</v>
      </c>
      <c r="C1020" s="0" t="n">
        <v>30.514</v>
      </c>
    </row>
    <row r="1021" customFormat="false" ht="15" hidden="false" customHeight="false" outlineLevel="0" collapsed="false">
      <c r="A1021" s="0" t="s">
        <v>154</v>
      </c>
      <c r="B1021" s="2" t="n">
        <v>46280</v>
      </c>
      <c r="C1021" s="0" t="n">
        <v>54.429</v>
      </c>
    </row>
    <row r="1022" customFormat="false" ht="15" hidden="false" customHeight="false" outlineLevel="0" collapsed="false">
      <c r="A1022" s="0" t="s">
        <v>163</v>
      </c>
      <c r="B1022" s="2" t="n">
        <v>46280</v>
      </c>
      <c r="C1022" s="0" t="n">
        <v>4.006</v>
      </c>
    </row>
    <row r="1023" customFormat="false" ht="15" hidden="false" customHeight="false" outlineLevel="0" collapsed="false">
      <c r="A1023" s="0" t="s">
        <v>161</v>
      </c>
      <c r="B1023" s="2" t="n">
        <v>46281</v>
      </c>
      <c r="C1023" s="0" t="n">
        <v>507.709</v>
      </c>
    </row>
    <row r="1024" customFormat="false" ht="15" hidden="false" customHeight="false" outlineLevel="0" collapsed="false">
      <c r="A1024" s="0" t="s">
        <v>166</v>
      </c>
      <c r="B1024" s="2" t="n">
        <v>46281</v>
      </c>
      <c r="C1024" s="0" t="n">
        <v>51.654</v>
      </c>
    </row>
    <row r="1025" customFormat="false" ht="15" hidden="false" customHeight="false" outlineLevel="0" collapsed="false">
      <c r="A1025" s="0" t="s">
        <v>150</v>
      </c>
      <c r="B1025" s="2" t="n">
        <v>46281</v>
      </c>
      <c r="C1025" s="0" t="n">
        <v>17.916</v>
      </c>
    </row>
    <row r="1026" customFormat="false" ht="15" hidden="false" customHeight="false" outlineLevel="0" collapsed="false">
      <c r="A1026" s="0" t="s">
        <v>164</v>
      </c>
      <c r="B1026" s="2" t="n">
        <v>46281</v>
      </c>
      <c r="C1026" s="0" t="n">
        <v>129.777</v>
      </c>
    </row>
    <row r="1027" customFormat="false" ht="15" hidden="false" customHeight="false" outlineLevel="0" collapsed="false">
      <c r="A1027" s="0" t="s">
        <v>159</v>
      </c>
      <c r="B1027" s="2" t="n">
        <v>46281</v>
      </c>
      <c r="C1027" s="0" t="n">
        <v>15.854</v>
      </c>
    </row>
    <row r="1028" customFormat="false" ht="15" hidden="false" customHeight="false" outlineLevel="0" collapsed="false">
      <c r="A1028" s="0" t="s">
        <v>162</v>
      </c>
      <c r="B1028" s="2" t="n">
        <v>46281</v>
      </c>
      <c r="C1028" s="0" t="n">
        <v>32.629</v>
      </c>
    </row>
    <row r="1029" customFormat="false" ht="15" hidden="false" customHeight="false" outlineLevel="0" collapsed="false">
      <c r="A1029" s="0" t="s">
        <v>160</v>
      </c>
      <c r="B1029" s="2" t="n">
        <v>46281</v>
      </c>
      <c r="C1029" s="0" t="n">
        <v>70.213</v>
      </c>
    </row>
    <row r="1030" customFormat="false" ht="15" hidden="false" customHeight="false" outlineLevel="0" collapsed="false">
      <c r="A1030" s="0" t="s">
        <v>167</v>
      </c>
      <c r="B1030" s="2" t="n">
        <v>46281</v>
      </c>
      <c r="C1030" s="0" t="n">
        <v>2.999</v>
      </c>
    </row>
    <row r="1031" customFormat="false" ht="15" hidden="false" customHeight="false" outlineLevel="0" collapsed="false">
      <c r="A1031" s="0" t="s">
        <v>165</v>
      </c>
      <c r="B1031" s="2" t="n">
        <v>46281</v>
      </c>
      <c r="C1031" s="0" t="n">
        <v>39.498</v>
      </c>
    </row>
    <row r="1032" customFormat="false" ht="15" hidden="false" customHeight="false" outlineLevel="0" collapsed="false">
      <c r="A1032" s="0" t="s">
        <v>153</v>
      </c>
      <c r="B1032" s="2" t="n">
        <v>46281</v>
      </c>
      <c r="C1032" s="0" t="n">
        <v>36.828</v>
      </c>
    </row>
    <row r="1033" customFormat="false" ht="15" hidden="false" customHeight="false" outlineLevel="0" collapsed="false">
      <c r="A1033" s="0" t="s">
        <v>154</v>
      </c>
      <c r="B1033" s="2" t="n">
        <v>46281</v>
      </c>
      <c r="C1033" s="0" t="n">
        <v>65.693</v>
      </c>
    </row>
    <row r="1034" customFormat="false" ht="15" hidden="false" customHeight="false" outlineLevel="0" collapsed="false">
      <c r="A1034" s="0" t="s">
        <v>163</v>
      </c>
      <c r="B1034" s="2" t="n">
        <v>46281</v>
      </c>
      <c r="C1034" s="0" t="n">
        <v>4.062</v>
      </c>
    </row>
    <row r="1035" customFormat="false" ht="15" hidden="false" customHeight="false" outlineLevel="0" collapsed="false">
      <c r="A1035" s="0" t="s">
        <v>161</v>
      </c>
      <c r="B1035" s="2" t="n">
        <v>46282</v>
      </c>
      <c r="C1035" s="0" t="n">
        <v>551.471</v>
      </c>
    </row>
    <row r="1036" customFormat="false" ht="15" hidden="false" customHeight="false" outlineLevel="0" collapsed="false">
      <c r="A1036" s="0" t="s">
        <v>166</v>
      </c>
      <c r="B1036" s="2" t="n">
        <v>46282</v>
      </c>
      <c r="C1036" s="0" t="n">
        <v>45.059</v>
      </c>
    </row>
    <row r="1037" customFormat="false" ht="15" hidden="false" customHeight="false" outlineLevel="0" collapsed="false">
      <c r="A1037" s="0" t="s">
        <v>150</v>
      </c>
      <c r="B1037" s="2" t="n">
        <v>46282</v>
      </c>
      <c r="C1037" s="0" t="n">
        <v>14.409</v>
      </c>
    </row>
    <row r="1038" customFormat="false" ht="15" hidden="false" customHeight="false" outlineLevel="0" collapsed="false">
      <c r="A1038" s="0" t="s">
        <v>164</v>
      </c>
      <c r="B1038" s="2" t="n">
        <v>46282</v>
      </c>
      <c r="C1038" s="0" t="n">
        <v>96.029</v>
      </c>
    </row>
    <row r="1039" customFormat="false" ht="15" hidden="false" customHeight="false" outlineLevel="0" collapsed="false">
      <c r="A1039" s="0" t="s">
        <v>159</v>
      </c>
      <c r="B1039" s="2" t="n">
        <v>46282</v>
      </c>
      <c r="C1039" s="0" t="n">
        <v>14.401</v>
      </c>
    </row>
    <row r="1040" customFormat="false" ht="15" hidden="false" customHeight="false" outlineLevel="0" collapsed="false">
      <c r="A1040" s="0" t="s">
        <v>162</v>
      </c>
      <c r="B1040" s="2" t="n">
        <v>46282</v>
      </c>
      <c r="C1040" s="0" t="n">
        <v>35.441</v>
      </c>
    </row>
    <row r="1041" customFormat="false" ht="15" hidden="false" customHeight="false" outlineLevel="0" collapsed="false">
      <c r="A1041" s="0" t="s">
        <v>160</v>
      </c>
      <c r="B1041" s="2" t="n">
        <v>46282</v>
      </c>
      <c r="C1041" s="0" t="n">
        <v>63.774</v>
      </c>
    </row>
    <row r="1042" customFormat="false" ht="15" hidden="false" customHeight="false" outlineLevel="0" collapsed="false">
      <c r="A1042" s="0" t="s">
        <v>167</v>
      </c>
      <c r="B1042" s="2" t="n">
        <v>46282</v>
      </c>
      <c r="C1042" s="0" t="n">
        <v>2.616</v>
      </c>
    </row>
    <row r="1043" customFormat="false" ht="15" hidden="false" customHeight="false" outlineLevel="0" collapsed="false">
      <c r="A1043" s="0" t="s">
        <v>165</v>
      </c>
      <c r="B1043" s="2" t="n">
        <v>46282</v>
      </c>
      <c r="C1043" s="0" t="n">
        <v>29.226</v>
      </c>
    </row>
    <row r="1044" customFormat="false" ht="15" hidden="false" customHeight="false" outlineLevel="0" collapsed="false">
      <c r="A1044" s="0" t="s">
        <v>153</v>
      </c>
      <c r="B1044" s="2" t="n">
        <v>46282</v>
      </c>
      <c r="C1044" s="0" t="n">
        <v>29.618</v>
      </c>
    </row>
    <row r="1045" customFormat="false" ht="15" hidden="false" customHeight="false" outlineLevel="0" collapsed="false">
      <c r="A1045" s="0" t="s">
        <v>154</v>
      </c>
      <c r="B1045" s="2" t="n">
        <v>46282</v>
      </c>
      <c r="C1045" s="0" t="n">
        <v>52.833</v>
      </c>
    </row>
    <row r="1046" customFormat="false" ht="15" hidden="false" customHeight="false" outlineLevel="0" collapsed="false">
      <c r="A1046" s="0" t="s">
        <v>163</v>
      </c>
      <c r="B1046" s="2" t="n">
        <v>46282</v>
      </c>
      <c r="C1046" s="0" t="n">
        <v>4.411</v>
      </c>
    </row>
    <row r="1047" customFormat="false" ht="15" hidden="false" customHeight="false" outlineLevel="0" collapsed="false">
      <c r="A1047" s="0" t="s">
        <v>161</v>
      </c>
      <c r="B1047" s="2" t="n">
        <v>46283</v>
      </c>
      <c r="C1047" s="0" t="n">
        <v>565.585</v>
      </c>
    </row>
    <row r="1048" customFormat="false" ht="15" hidden="false" customHeight="false" outlineLevel="0" collapsed="false">
      <c r="A1048" s="0" t="s">
        <v>166</v>
      </c>
      <c r="B1048" s="2" t="n">
        <v>46283</v>
      </c>
      <c r="C1048" s="0" t="n">
        <v>50.287</v>
      </c>
    </row>
    <row r="1049" customFormat="false" ht="15" hidden="false" customHeight="false" outlineLevel="0" collapsed="false">
      <c r="A1049" s="0" t="s">
        <v>150</v>
      </c>
      <c r="B1049" s="2" t="n">
        <v>46283</v>
      </c>
      <c r="C1049" s="0" t="n">
        <v>14.58</v>
      </c>
    </row>
    <row r="1050" customFormat="false" ht="15" hidden="false" customHeight="false" outlineLevel="0" collapsed="false">
      <c r="A1050" s="0" t="s">
        <v>164</v>
      </c>
      <c r="B1050" s="2" t="n">
        <v>46283</v>
      </c>
      <c r="C1050" s="0" t="n">
        <v>150.094</v>
      </c>
    </row>
    <row r="1051" customFormat="false" ht="15" hidden="false" customHeight="false" outlineLevel="0" collapsed="false">
      <c r="A1051" s="0" t="s">
        <v>159</v>
      </c>
      <c r="B1051" s="2" t="n">
        <v>46283</v>
      </c>
      <c r="C1051" s="0" t="n">
        <v>13.171</v>
      </c>
    </row>
    <row r="1052" customFormat="false" ht="15" hidden="false" customHeight="false" outlineLevel="0" collapsed="false">
      <c r="A1052" s="0" t="s">
        <v>162</v>
      </c>
      <c r="B1052" s="2" t="n">
        <v>46283</v>
      </c>
      <c r="C1052" s="0" t="n">
        <v>36.348</v>
      </c>
    </row>
    <row r="1053" customFormat="false" ht="15" hidden="false" customHeight="false" outlineLevel="0" collapsed="false">
      <c r="A1053" s="0" t="s">
        <v>160</v>
      </c>
      <c r="B1053" s="2" t="n">
        <v>46283</v>
      </c>
      <c r="C1053" s="0" t="n">
        <v>58.328</v>
      </c>
    </row>
    <row r="1054" customFormat="false" ht="15" hidden="false" customHeight="false" outlineLevel="0" collapsed="false">
      <c r="A1054" s="0" t="s">
        <v>167</v>
      </c>
      <c r="B1054" s="2" t="n">
        <v>46283</v>
      </c>
      <c r="C1054" s="0" t="n">
        <v>2.92</v>
      </c>
    </row>
    <row r="1055" customFormat="false" ht="15" hidden="false" customHeight="false" outlineLevel="0" collapsed="false">
      <c r="A1055" s="0" t="s">
        <v>165</v>
      </c>
      <c r="B1055" s="2" t="n">
        <v>46283</v>
      </c>
      <c r="C1055" s="0" t="n">
        <v>45.681</v>
      </c>
    </row>
    <row r="1056" customFormat="false" ht="15" hidden="false" customHeight="false" outlineLevel="0" collapsed="false">
      <c r="A1056" s="0" t="s">
        <v>153</v>
      </c>
      <c r="B1056" s="2" t="n">
        <v>46283</v>
      </c>
      <c r="C1056" s="0" t="n">
        <v>29.968</v>
      </c>
    </row>
    <row r="1057" customFormat="false" ht="15" hidden="false" customHeight="false" outlineLevel="0" collapsed="false">
      <c r="A1057" s="0" t="s">
        <v>154</v>
      </c>
      <c r="B1057" s="2" t="n">
        <v>46283</v>
      </c>
      <c r="C1057" s="0" t="n">
        <v>53.457</v>
      </c>
    </row>
    <row r="1058" customFormat="false" ht="15" hidden="false" customHeight="false" outlineLevel="0" collapsed="false">
      <c r="A1058" s="0" t="s">
        <v>163</v>
      </c>
      <c r="B1058" s="2" t="n">
        <v>46283</v>
      </c>
      <c r="C1058" s="0" t="n">
        <v>4.525</v>
      </c>
    </row>
    <row r="1059" customFormat="false" ht="15" hidden="false" customHeight="false" outlineLevel="0" collapsed="false">
      <c r="A1059" s="0" t="s">
        <v>161</v>
      </c>
      <c r="B1059" s="2" t="n">
        <v>46284</v>
      </c>
      <c r="C1059" s="0" t="n">
        <v>397.869</v>
      </c>
    </row>
    <row r="1060" customFormat="false" ht="15" hidden="false" customHeight="false" outlineLevel="0" collapsed="false">
      <c r="A1060" s="0" t="s">
        <v>166</v>
      </c>
      <c r="B1060" s="2" t="n">
        <v>46284</v>
      </c>
      <c r="C1060" s="0" t="n">
        <v>54.667</v>
      </c>
    </row>
    <row r="1061" customFormat="false" ht="15" hidden="false" customHeight="false" outlineLevel="0" collapsed="false">
      <c r="A1061" s="0" t="s">
        <v>150</v>
      </c>
      <c r="B1061" s="2" t="n">
        <v>46284</v>
      </c>
      <c r="C1061" s="0" t="n">
        <v>15.236</v>
      </c>
    </row>
    <row r="1062" customFormat="false" ht="15" hidden="false" customHeight="false" outlineLevel="0" collapsed="false">
      <c r="A1062" s="0" t="s">
        <v>164</v>
      </c>
      <c r="B1062" s="2" t="n">
        <v>46284</v>
      </c>
      <c r="C1062" s="0" t="n">
        <v>128.308</v>
      </c>
    </row>
    <row r="1063" customFormat="false" ht="15" hidden="false" customHeight="false" outlineLevel="0" collapsed="false">
      <c r="A1063" s="0" t="s">
        <v>159</v>
      </c>
      <c r="B1063" s="2" t="n">
        <v>46284</v>
      </c>
      <c r="C1063" s="0" t="n">
        <v>15.349</v>
      </c>
    </row>
    <row r="1064" customFormat="false" ht="15" hidden="false" customHeight="false" outlineLevel="0" collapsed="false">
      <c r="A1064" s="0" t="s">
        <v>162</v>
      </c>
      <c r="B1064" s="2" t="n">
        <v>46284</v>
      </c>
      <c r="C1064" s="0" t="n">
        <v>25.57</v>
      </c>
    </row>
    <row r="1065" customFormat="false" ht="15" hidden="false" customHeight="false" outlineLevel="0" collapsed="false">
      <c r="A1065" s="0" t="s">
        <v>160</v>
      </c>
      <c r="B1065" s="2" t="n">
        <v>46284</v>
      </c>
      <c r="C1065" s="0" t="n">
        <v>67.977</v>
      </c>
    </row>
    <row r="1066" customFormat="false" ht="15" hidden="false" customHeight="false" outlineLevel="0" collapsed="false">
      <c r="A1066" s="0" t="s">
        <v>167</v>
      </c>
      <c r="B1066" s="2" t="n">
        <v>46284</v>
      </c>
      <c r="C1066" s="0" t="n">
        <v>3.174</v>
      </c>
    </row>
    <row r="1067" customFormat="false" ht="15" hidden="false" customHeight="false" outlineLevel="0" collapsed="false">
      <c r="A1067" s="0" t="s">
        <v>165</v>
      </c>
      <c r="B1067" s="2" t="n">
        <v>46284</v>
      </c>
      <c r="C1067" s="0" t="n">
        <v>39.05</v>
      </c>
    </row>
    <row r="1068" customFormat="false" ht="15" hidden="false" customHeight="false" outlineLevel="0" collapsed="false">
      <c r="A1068" s="0" t="s">
        <v>153</v>
      </c>
      <c r="B1068" s="2" t="n">
        <v>46284</v>
      </c>
      <c r="C1068" s="0" t="n">
        <v>31.319</v>
      </c>
    </row>
    <row r="1069" customFormat="false" ht="15" hidden="false" customHeight="false" outlineLevel="0" collapsed="false">
      <c r="A1069" s="0" t="s">
        <v>154</v>
      </c>
      <c r="B1069" s="2" t="n">
        <v>46284</v>
      </c>
      <c r="C1069" s="0" t="n">
        <v>55.866</v>
      </c>
    </row>
    <row r="1070" customFormat="false" ht="15" hidden="false" customHeight="false" outlineLevel="0" collapsed="false">
      <c r="A1070" s="0" t="s">
        <v>163</v>
      </c>
      <c r="B1070" s="2" t="n">
        <v>46284</v>
      </c>
      <c r="C1070" s="0" t="n">
        <v>3.183</v>
      </c>
    </row>
    <row r="1071" customFormat="false" ht="15" hidden="false" customHeight="false" outlineLevel="0" collapsed="false">
      <c r="A1071" s="0" t="s">
        <v>166</v>
      </c>
      <c r="B1071" s="2" t="n">
        <v>46285</v>
      </c>
      <c r="C1071" s="0" t="n">
        <v>56.667</v>
      </c>
    </row>
    <row r="1072" customFormat="false" ht="15" hidden="false" customHeight="false" outlineLevel="0" collapsed="false">
      <c r="A1072" s="0" t="s">
        <v>150</v>
      </c>
      <c r="B1072" s="2" t="n">
        <v>46285</v>
      </c>
      <c r="C1072" s="0" t="n">
        <v>12.607</v>
      </c>
    </row>
    <row r="1073" customFormat="false" ht="15" hidden="false" customHeight="false" outlineLevel="0" collapsed="false">
      <c r="A1073" s="0" t="s">
        <v>164</v>
      </c>
      <c r="B1073" s="2" t="n">
        <v>46285</v>
      </c>
      <c r="C1073" s="0" t="n">
        <v>94.382</v>
      </c>
    </row>
    <row r="1074" customFormat="false" ht="15" hidden="false" customHeight="false" outlineLevel="0" collapsed="false">
      <c r="A1074" s="0" t="s">
        <v>159</v>
      </c>
      <c r="B1074" s="2" t="n">
        <v>46285</v>
      </c>
      <c r="C1074" s="0" t="n">
        <v>13.817</v>
      </c>
    </row>
    <row r="1075" customFormat="false" ht="15" hidden="false" customHeight="false" outlineLevel="0" collapsed="false">
      <c r="A1075" s="0" t="s">
        <v>168</v>
      </c>
      <c r="B1075" s="2" t="n">
        <v>46285</v>
      </c>
      <c r="C1075" s="0" t="n">
        <v>29.329</v>
      </c>
    </row>
    <row r="1076" customFormat="false" ht="15" hidden="false" customHeight="false" outlineLevel="0" collapsed="false">
      <c r="A1076" s="0" t="s">
        <v>160</v>
      </c>
      <c r="B1076" s="2" t="n">
        <v>46285</v>
      </c>
      <c r="C1076" s="0" t="n">
        <v>61.189</v>
      </c>
    </row>
    <row r="1077" customFormat="false" ht="15" hidden="false" customHeight="false" outlineLevel="0" collapsed="false">
      <c r="A1077" s="0" t="s">
        <v>167</v>
      </c>
      <c r="B1077" s="2" t="n">
        <v>46285</v>
      </c>
      <c r="C1077" s="0" t="n">
        <v>3.291</v>
      </c>
    </row>
    <row r="1078" customFormat="false" ht="15" hidden="false" customHeight="false" outlineLevel="0" collapsed="false">
      <c r="A1078" s="0" t="s">
        <v>169</v>
      </c>
      <c r="B1078" s="2" t="n">
        <v>46285</v>
      </c>
      <c r="C1078" s="0" t="n">
        <v>570.007</v>
      </c>
    </row>
    <row r="1079" customFormat="false" ht="15" hidden="false" customHeight="false" outlineLevel="0" collapsed="false">
      <c r="A1079" s="0" t="s">
        <v>165</v>
      </c>
      <c r="B1079" s="2" t="n">
        <v>46285</v>
      </c>
      <c r="C1079" s="0" t="n">
        <v>28.725</v>
      </c>
    </row>
    <row r="1080" customFormat="false" ht="15" hidden="false" customHeight="false" outlineLevel="0" collapsed="false">
      <c r="A1080" s="0" t="s">
        <v>153</v>
      </c>
      <c r="B1080" s="2" t="n">
        <v>46285</v>
      </c>
      <c r="C1080" s="0" t="n">
        <v>25.915</v>
      </c>
    </row>
    <row r="1081" customFormat="false" ht="15" hidden="false" customHeight="false" outlineLevel="0" collapsed="false">
      <c r="A1081" s="0" t="s">
        <v>170</v>
      </c>
      <c r="B1081" s="2" t="n">
        <v>46285</v>
      </c>
      <c r="C1081" s="0" t="n">
        <v>5.7</v>
      </c>
    </row>
    <row r="1082" customFormat="false" ht="15" hidden="false" customHeight="false" outlineLevel="0" collapsed="false">
      <c r="A1082" s="0" t="s">
        <v>154</v>
      </c>
      <c r="B1082" s="2" t="n">
        <v>46285</v>
      </c>
      <c r="C1082" s="0" t="n">
        <v>46.227</v>
      </c>
    </row>
    <row r="1083" customFormat="false" ht="15" hidden="false" customHeight="false" outlineLevel="0" collapsed="false">
      <c r="A1083" s="0" t="s">
        <v>166</v>
      </c>
      <c r="B1083" s="2" t="n">
        <v>46286</v>
      </c>
      <c r="C1083" s="0" t="n">
        <v>55.134</v>
      </c>
    </row>
    <row r="1084" customFormat="false" ht="15" hidden="false" customHeight="false" outlineLevel="0" collapsed="false">
      <c r="A1084" s="0" t="s">
        <v>150</v>
      </c>
      <c r="B1084" s="2" t="n">
        <v>46286</v>
      </c>
      <c r="C1084" s="0" t="n">
        <v>14.313</v>
      </c>
    </row>
    <row r="1085" customFormat="false" ht="15" hidden="false" customHeight="false" outlineLevel="0" collapsed="false">
      <c r="A1085" s="0" t="s">
        <v>164</v>
      </c>
      <c r="B1085" s="2" t="n">
        <v>46286</v>
      </c>
      <c r="C1085" s="0" t="n">
        <v>152.52</v>
      </c>
    </row>
    <row r="1086" customFormat="false" ht="15" hidden="false" customHeight="false" outlineLevel="0" collapsed="false">
      <c r="A1086" s="0" t="s">
        <v>159</v>
      </c>
      <c r="B1086" s="2" t="n">
        <v>46286</v>
      </c>
      <c r="C1086" s="0" t="n">
        <v>14.165</v>
      </c>
    </row>
    <row r="1087" customFormat="false" ht="15" hidden="false" customHeight="false" outlineLevel="0" collapsed="false">
      <c r="A1087" s="0" t="s">
        <v>168</v>
      </c>
      <c r="B1087" s="2" t="n">
        <v>46286</v>
      </c>
      <c r="C1087" s="0" t="n">
        <v>30.508</v>
      </c>
    </row>
    <row r="1088" customFormat="false" ht="15" hidden="false" customHeight="false" outlineLevel="0" collapsed="false">
      <c r="A1088" s="0" t="s">
        <v>160</v>
      </c>
      <c r="B1088" s="2" t="n">
        <v>46286</v>
      </c>
      <c r="C1088" s="0" t="n">
        <v>62.729</v>
      </c>
    </row>
    <row r="1089" customFormat="false" ht="15" hidden="false" customHeight="false" outlineLevel="0" collapsed="false">
      <c r="A1089" s="0" t="s">
        <v>167</v>
      </c>
      <c r="B1089" s="2" t="n">
        <v>46286</v>
      </c>
      <c r="C1089" s="0" t="n">
        <v>3.201</v>
      </c>
    </row>
    <row r="1090" customFormat="false" ht="15" hidden="false" customHeight="false" outlineLevel="0" collapsed="false">
      <c r="A1090" s="0" t="s">
        <v>169</v>
      </c>
      <c r="B1090" s="2" t="n">
        <v>46286</v>
      </c>
      <c r="C1090" s="0" t="n">
        <v>592.895</v>
      </c>
    </row>
    <row r="1091" customFormat="false" ht="15" hidden="false" customHeight="false" outlineLevel="0" collapsed="false">
      <c r="A1091" s="0" t="s">
        <v>165</v>
      </c>
      <c r="B1091" s="2" t="n">
        <v>46286</v>
      </c>
      <c r="C1091" s="0" t="n">
        <v>46.419</v>
      </c>
    </row>
    <row r="1092" customFormat="false" ht="15" hidden="false" customHeight="false" outlineLevel="0" collapsed="false">
      <c r="A1092" s="0" t="s">
        <v>153</v>
      </c>
      <c r="B1092" s="2" t="n">
        <v>46286</v>
      </c>
      <c r="C1092" s="0" t="n">
        <v>29.422</v>
      </c>
    </row>
    <row r="1093" customFormat="false" ht="15" hidden="false" customHeight="false" outlineLevel="0" collapsed="false">
      <c r="A1093" s="0" t="s">
        <v>170</v>
      </c>
      <c r="B1093" s="2" t="n">
        <v>46286</v>
      </c>
      <c r="C1093" s="0" t="n">
        <v>5.929</v>
      </c>
    </row>
    <row r="1094" customFormat="false" ht="15" hidden="false" customHeight="false" outlineLevel="0" collapsed="false">
      <c r="A1094" s="0" t="s">
        <v>154</v>
      </c>
      <c r="B1094" s="2" t="n">
        <v>46286</v>
      </c>
      <c r="C1094" s="0" t="n">
        <v>52.481</v>
      </c>
    </row>
    <row r="1095" customFormat="false" ht="15" hidden="false" customHeight="false" outlineLevel="0" collapsed="false">
      <c r="A1095" s="0" t="s">
        <v>166</v>
      </c>
      <c r="B1095" s="2" t="n">
        <v>46287</v>
      </c>
      <c r="C1095" s="0" t="n">
        <v>51.686</v>
      </c>
    </row>
    <row r="1096" customFormat="false" ht="15" hidden="false" customHeight="false" outlineLevel="0" collapsed="false">
      <c r="A1096" s="0" t="s">
        <v>150</v>
      </c>
      <c r="B1096" s="2" t="n">
        <v>46287</v>
      </c>
      <c r="C1096" s="0" t="n">
        <v>12.26</v>
      </c>
    </row>
    <row r="1097" customFormat="false" ht="15" hidden="false" customHeight="false" outlineLevel="0" collapsed="false">
      <c r="A1097" s="0" t="s">
        <v>164</v>
      </c>
      <c r="B1097" s="2" t="n">
        <v>46287</v>
      </c>
      <c r="C1097" s="0" t="n">
        <v>141.067</v>
      </c>
    </row>
    <row r="1098" customFormat="false" ht="15" hidden="false" customHeight="false" outlineLevel="0" collapsed="false">
      <c r="A1098" s="0" t="s">
        <v>159</v>
      </c>
      <c r="B1098" s="2" t="n">
        <v>46287</v>
      </c>
      <c r="C1098" s="0" t="n">
        <v>15.583</v>
      </c>
    </row>
    <row r="1099" customFormat="false" ht="15" hidden="false" customHeight="false" outlineLevel="0" collapsed="false">
      <c r="A1099" s="0" t="s">
        <v>168</v>
      </c>
      <c r="B1099" s="2" t="n">
        <v>46287</v>
      </c>
      <c r="C1099" s="0" t="n">
        <v>33.285</v>
      </c>
    </row>
    <row r="1100" customFormat="false" ht="15" hidden="false" customHeight="false" outlineLevel="0" collapsed="false">
      <c r="A1100" s="0" t="s">
        <v>160</v>
      </c>
      <c r="B1100" s="2" t="n">
        <v>46287</v>
      </c>
      <c r="C1100" s="0" t="n">
        <v>69.012</v>
      </c>
    </row>
    <row r="1101" customFormat="false" ht="15" hidden="false" customHeight="false" outlineLevel="0" collapsed="false">
      <c r="A1101" s="0" t="s">
        <v>167</v>
      </c>
      <c r="B1101" s="2" t="n">
        <v>46287</v>
      </c>
      <c r="C1101" s="0" t="n">
        <v>3.001</v>
      </c>
    </row>
    <row r="1102" customFormat="false" ht="15" hidden="false" customHeight="false" outlineLevel="0" collapsed="false">
      <c r="A1102" s="0" t="s">
        <v>169</v>
      </c>
      <c r="B1102" s="2" t="n">
        <v>46287</v>
      </c>
      <c r="C1102" s="0" t="n">
        <v>646.885</v>
      </c>
    </row>
    <row r="1103" customFormat="false" ht="15" hidden="false" customHeight="false" outlineLevel="0" collapsed="false">
      <c r="A1103" s="0" t="s">
        <v>165</v>
      </c>
      <c r="B1103" s="2" t="n">
        <v>46287</v>
      </c>
      <c r="C1103" s="0" t="n">
        <v>42.934</v>
      </c>
    </row>
    <row r="1104" customFormat="false" ht="15" hidden="false" customHeight="false" outlineLevel="0" collapsed="false">
      <c r="A1104" s="0" t="s">
        <v>153</v>
      </c>
      <c r="B1104" s="2" t="n">
        <v>46287</v>
      </c>
      <c r="C1104" s="0" t="n">
        <v>25.2</v>
      </c>
    </row>
    <row r="1105" customFormat="false" ht="15" hidden="false" customHeight="false" outlineLevel="0" collapsed="false">
      <c r="A1105" s="0" t="s">
        <v>170</v>
      </c>
      <c r="B1105" s="2" t="n">
        <v>46287</v>
      </c>
      <c r="C1105" s="0" t="n">
        <v>6.469</v>
      </c>
    </row>
    <row r="1106" customFormat="false" ht="15" hidden="false" customHeight="false" outlineLevel="0" collapsed="false">
      <c r="A1106" s="0" t="s">
        <v>154</v>
      </c>
      <c r="B1106" s="2" t="n">
        <v>46287</v>
      </c>
      <c r="C1106" s="0" t="n">
        <v>44.952</v>
      </c>
    </row>
    <row r="1107" customFormat="false" ht="15" hidden="false" customHeight="false" outlineLevel="0" collapsed="false">
      <c r="A1107" s="0" t="s">
        <v>166</v>
      </c>
      <c r="B1107" s="2" t="n">
        <v>46288</v>
      </c>
      <c r="C1107" s="0" t="n">
        <v>56.621</v>
      </c>
    </row>
    <row r="1108" customFormat="false" ht="15" hidden="false" customHeight="false" outlineLevel="0" collapsed="false">
      <c r="A1108" s="0" t="s">
        <v>150</v>
      </c>
      <c r="B1108" s="2" t="n">
        <v>46288</v>
      </c>
      <c r="C1108" s="0" t="n">
        <v>16.783</v>
      </c>
    </row>
    <row r="1109" customFormat="false" ht="15" hidden="false" customHeight="false" outlineLevel="0" collapsed="false">
      <c r="A1109" s="0" t="s">
        <v>164</v>
      </c>
      <c r="B1109" s="2" t="n">
        <v>46288</v>
      </c>
      <c r="C1109" s="0" t="n">
        <v>139.905</v>
      </c>
    </row>
    <row r="1110" customFormat="false" ht="15" hidden="false" customHeight="false" outlineLevel="0" collapsed="false">
      <c r="A1110" s="0" t="s">
        <v>159</v>
      </c>
      <c r="B1110" s="2" t="n">
        <v>46288</v>
      </c>
      <c r="C1110" s="0" t="n">
        <v>13.322</v>
      </c>
    </row>
    <row r="1111" customFormat="false" ht="15" hidden="false" customHeight="false" outlineLevel="0" collapsed="false">
      <c r="A1111" s="0" t="s">
        <v>168</v>
      </c>
      <c r="B1111" s="2" t="n">
        <v>46288</v>
      </c>
      <c r="C1111" s="0" t="n">
        <v>30.389</v>
      </c>
    </row>
    <row r="1112" customFormat="false" ht="15" hidden="false" customHeight="false" outlineLevel="0" collapsed="false">
      <c r="A1112" s="0" t="s">
        <v>160</v>
      </c>
      <c r="B1112" s="2" t="n">
        <v>46288</v>
      </c>
      <c r="C1112" s="0" t="n">
        <v>58.995</v>
      </c>
    </row>
    <row r="1113" customFormat="false" ht="15" hidden="false" customHeight="false" outlineLevel="0" collapsed="false">
      <c r="A1113" s="0" t="s">
        <v>167</v>
      </c>
      <c r="B1113" s="2" t="n">
        <v>46288</v>
      </c>
      <c r="C1113" s="0" t="n">
        <v>3.288</v>
      </c>
    </row>
    <row r="1114" customFormat="false" ht="15" hidden="false" customHeight="false" outlineLevel="0" collapsed="false">
      <c r="A1114" s="0" t="s">
        <v>169</v>
      </c>
      <c r="B1114" s="2" t="n">
        <v>46288</v>
      </c>
      <c r="C1114" s="0" t="n">
        <v>590.601</v>
      </c>
    </row>
    <row r="1115" customFormat="false" ht="15" hidden="false" customHeight="false" outlineLevel="0" collapsed="false">
      <c r="A1115" s="0" t="s">
        <v>165</v>
      </c>
      <c r="B1115" s="2" t="n">
        <v>46288</v>
      </c>
      <c r="C1115" s="0" t="n">
        <v>42.579</v>
      </c>
    </row>
    <row r="1116" customFormat="false" ht="15" hidden="false" customHeight="false" outlineLevel="0" collapsed="false">
      <c r="A1116" s="0" t="s">
        <v>153</v>
      </c>
      <c r="B1116" s="2" t="n">
        <v>46288</v>
      </c>
      <c r="C1116" s="0" t="n">
        <v>34.498</v>
      </c>
    </row>
    <row r="1117" customFormat="false" ht="15" hidden="false" customHeight="false" outlineLevel="0" collapsed="false">
      <c r="A1117" s="0" t="s">
        <v>170</v>
      </c>
      <c r="B1117" s="2" t="n">
        <v>46288</v>
      </c>
      <c r="C1117" s="0" t="n">
        <v>5.906</v>
      </c>
    </row>
    <row r="1118" customFormat="false" ht="15" hidden="false" customHeight="false" outlineLevel="0" collapsed="false">
      <c r="A1118" s="0" t="s">
        <v>154</v>
      </c>
      <c r="B1118" s="2" t="n">
        <v>46288</v>
      </c>
      <c r="C1118" s="0" t="n">
        <v>61.538</v>
      </c>
    </row>
    <row r="1119" customFormat="false" ht="15" hidden="false" customHeight="false" outlineLevel="0" collapsed="false">
      <c r="A1119" s="0" t="s">
        <v>166</v>
      </c>
      <c r="B1119" s="2" t="n">
        <v>46289</v>
      </c>
      <c r="C1119" s="0" t="n">
        <v>44.502</v>
      </c>
    </row>
    <row r="1120" customFormat="false" ht="15" hidden="false" customHeight="false" outlineLevel="0" collapsed="false">
      <c r="A1120" s="0" t="s">
        <v>150</v>
      </c>
      <c r="B1120" s="2" t="n">
        <v>46289</v>
      </c>
      <c r="C1120" s="0" t="n">
        <v>14.44</v>
      </c>
    </row>
    <row r="1121" customFormat="false" ht="15" hidden="false" customHeight="false" outlineLevel="0" collapsed="false">
      <c r="A1121" s="0" t="s">
        <v>164</v>
      </c>
      <c r="B1121" s="2" t="n">
        <v>46289</v>
      </c>
      <c r="C1121" s="0" t="n">
        <v>135.453</v>
      </c>
    </row>
    <row r="1122" customFormat="false" ht="15" hidden="false" customHeight="false" outlineLevel="0" collapsed="false">
      <c r="A1122" s="0" t="s">
        <v>159</v>
      </c>
      <c r="B1122" s="2" t="n">
        <v>46289</v>
      </c>
      <c r="C1122" s="0" t="n">
        <v>14.414</v>
      </c>
    </row>
    <row r="1123" customFormat="false" ht="15" hidden="false" customHeight="false" outlineLevel="0" collapsed="false">
      <c r="A1123" s="0" t="s">
        <v>168</v>
      </c>
      <c r="B1123" s="2" t="n">
        <v>46289</v>
      </c>
      <c r="C1123" s="0" t="n">
        <v>31.154</v>
      </c>
    </row>
    <row r="1124" customFormat="false" ht="15" hidden="false" customHeight="false" outlineLevel="0" collapsed="false">
      <c r="A1124" s="0" t="s">
        <v>160</v>
      </c>
      <c r="B1124" s="2" t="n">
        <v>46289</v>
      </c>
      <c r="C1124" s="0" t="n">
        <v>63.834</v>
      </c>
    </row>
    <row r="1125" customFormat="false" ht="15" hidden="false" customHeight="false" outlineLevel="0" collapsed="false">
      <c r="A1125" s="0" t="s">
        <v>167</v>
      </c>
      <c r="B1125" s="2" t="n">
        <v>46289</v>
      </c>
      <c r="C1125" s="0" t="n">
        <v>2.584</v>
      </c>
    </row>
    <row r="1126" customFormat="false" ht="15" hidden="false" customHeight="false" outlineLevel="0" collapsed="false">
      <c r="A1126" s="0" t="s">
        <v>169</v>
      </c>
      <c r="B1126" s="2" t="n">
        <v>46289</v>
      </c>
      <c r="C1126" s="0" t="n">
        <v>605.47</v>
      </c>
    </row>
    <row r="1127" customFormat="false" ht="15" hidden="false" customHeight="false" outlineLevel="0" collapsed="false">
      <c r="A1127" s="0" t="s">
        <v>165</v>
      </c>
      <c r="B1127" s="2" t="n">
        <v>46289</v>
      </c>
      <c r="C1127" s="0" t="n">
        <v>41.225</v>
      </c>
    </row>
    <row r="1128" customFormat="false" ht="15" hidden="false" customHeight="false" outlineLevel="0" collapsed="false">
      <c r="A1128" s="0" t="s">
        <v>153</v>
      </c>
      <c r="B1128" s="2" t="n">
        <v>46289</v>
      </c>
      <c r="C1128" s="0" t="n">
        <v>29.683</v>
      </c>
    </row>
    <row r="1129" customFormat="false" ht="15" hidden="false" customHeight="false" outlineLevel="0" collapsed="false">
      <c r="A1129" s="0" t="s">
        <v>170</v>
      </c>
      <c r="B1129" s="2" t="n">
        <v>46289</v>
      </c>
      <c r="C1129" s="0" t="n">
        <v>6.055</v>
      </c>
    </row>
    <row r="1130" customFormat="false" ht="15" hidden="false" customHeight="false" outlineLevel="0" collapsed="false">
      <c r="A1130" s="0" t="s">
        <v>154</v>
      </c>
      <c r="B1130" s="2" t="n">
        <v>46289</v>
      </c>
      <c r="C1130" s="0" t="n">
        <v>52.947</v>
      </c>
    </row>
    <row r="1131" customFormat="false" ht="15" hidden="false" customHeight="false" outlineLevel="0" collapsed="false">
      <c r="A1131" s="0" t="s">
        <v>166</v>
      </c>
      <c r="B1131" s="2" t="n">
        <v>46290</v>
      </c>
      <c r="C1131" s="0" t="n">
        <v>62.349</v>
      </c>
    </row>
    <row r="1132" customFormat="false" ht="15" hidden="false" customHeight="false" outlineLevel="0" collapsed="false">
      <c r="A1132" s="0" t="s">
        <v>150</v>
      </c>
      <c r="B1132" s="2" t="n">
        <v>46290</v>
      </c>
      <c r="C1132" s="0" t="n">
        <v>18.382</v>
      </c>
    </row>
    <row r="1133" customFormat="false" ht="15" hidden="false" customHeight="false" outlineLevel="0" collapsed="false">
      <c r="A1133" s="0" t="s">
        <v>164</v>
      </c>
      <c r="B1133" s="2" t="n">
        <v>46290</v>
      </c>
      <c r="C1133" s="0" t="n">
        <v>153.995</v>
      </c>
    </row>
    <row r="1134" customFormat="false" ht="15" hidden="false" customHeight="false" outlineLevel="0" collapsed="false">
      <c r="A1134" s="0" t="s">
        <v>159</v>
      </c>
      <c r="B1134" s="2" t="n">
        <v>46290</v>
      </c>
      <c r="C1134" s="0" t="n">
        <v>15.948</v>
      </c>
    </row>
    <row r="1135" customFormat="false" ht="15" hidden="false" customHeight="false" outlineLevel="0" collapsed="false">
      <c r="A1135" s="0" t="s">
        <v>168</v>
      </c>
      <c r="B1135" s="2" t="n">
        <v>46290</v>
      </c>
      <c r="C1135" s="0" t="n">
        <v>32.302</v>
      </c>
    </row>
    <row r="1136" customFormat="false" ht="15" hidden="false" customHeight="false" outlineLevel="0" collapsed="false">
      <c r="A1136" s="0" t="s">
        <v>160</v>
      </c>
      <c r="B1136" s="2" t="n">
        <v>46290</v>
      </c>
      <c r="C1136" s="0" t="n">
        <v>70.629</v>
      </c>
    </row>
    <row r="1137" customFormat="false" ht="15" hidden="false" customHeight="false" outlineLevel="0" collapsed="false">
      <c r="A1137" s="0" t="s">
        <v>167</v>
      </c>
      <c r="B1137" s="2" t="n">
        <v>46290</v>
      </c>
      <c r="C1137" s="0" t="n">
        <v>3.62</v>
      </c>
    </row>
    <row r="1138" customFormat="false" ht="15" hidden="false" customHeight="false" outlineLevel="0" collapsed="false">
      <c r="A1138" s="0" t="s">
        <v>169</v>
      </c>
      <c r="B1138" s="2" t="n">
        <v>46290</v>
      </c>
      <c r="C1138" s="0" t="n">
        <v>627.781</v>
      </c>
    </row>
    <row r="1139" customFormat="false" ht="15" hidden="false" customHeight="false" outlineLevel="0" collapsed="false">
      <c r="A1139" s="0" t="s">
        <v>165</v>
      </c>
      <c r="B1139" s="2" t="n">
        <v>46290</v>
      </c>
      <c r="C1139" s="0" t="n">
        <v>46.868</v>
      </c>
    </row>
    <row r="1140" customFormat="false" ht="15" hidden="false" customHeight="false" outlineLevel="0" collapsed="false">
      <c r="A1140" s="0" t="s">
        <v>153</v>
      </c>
      <c r="B1140" s="2" t="n">
        <v>46290</v>
      </c>
      <c r="C1140" s="0" t="n">
        <v>37.785</v>
      </c>
    </row>
    <row r="1141" customFormat="false" ht="15" hidden="false" customHeight="false" outlineLevel="0" collapsed="false">
      <c r="A1141" s="0" t="s">
        <v>170</v>
      </c>
      <c r="B1141" s="2" t="n">
        <v>46290</v>
      </c>
      <c r="C1141" s="0" t="n">
        <v>6.277</v>
      </c>
    </row>
    <row r="1142" customFormat="false" ht="15" hidden="false" customHeight="false" outlineLevel="0" collapsed="false">
      <c r="A1142" s="0" t="s">
        <v>154</v>
      </c>
      <c r="B1142" s="2" t="n">
        <v>46290</v>
      </c>
      <c r="C1142" s="0" t="n">
        <v>67.401</v>
      </c>
    </row>
    <row r="1143" customFormat="false" ht="15" hidden="false" customHeight="false" outlineLevel="0" collapsed="false">
      <c r="A1143" s="0" t="s">
        <v>166</v>
      </c>
      <c r="B1143" s="2" t="n">
        <v>46291</v>
      </c>
      <c r="C1143" s="0" t="n">
        <v>46.87</v>
      </c>
    </row>
    <row r="1144" customFormat="false" ht="15" hidden="false" customHeight="false" outlineLevel="0" collapsed="false">
      <c r="A1144" s="0" t="s">
        <v>150</v>
      </c>
      <c r="B1144" s="2" t="n">
        <v>46291</v>
      </c>
      <c r="C1144" s="0" t="n">
        <v>17.148</v>
      </c>
    </row>
    <row r="1145" customFormat="false" ht="15" hidden="false" customHeight="false" outlineLevel="0" collapsed="false">
      <c r="A1145" s="0" t="s">
        <v>164</v>
      </c>
      <c r="B1145" s="2" t="n">
        <v>46291</v>
      </c>
      <c r="C1145" s="0" t="n">
        <v>146.261</v>
      </c>
    </row>
    <row r="1146" customFormat="false" ht="15" hidden="false" customHeight="false" outlineLevel="0" collapsed="false">
      <c r="A1146" s="0" t="s">
        <v>159</v>
      </c>
      <c r="B1146" s="2" t="n">
        <v>46291</v>
      </c>
      <c r="C1146" s="0" t="n">
        <v>12.31</v>
      </c>
    </row>
    <row r="1147" customFormat="false" ht="15" hidden="false" customHeight="false" outlineLevel="0" collapsed="false">
      <c r="A1147" s="0" t="s">
        <v>168</v>
      </c>
      <c r="B1147" s="2" t="n">
        <v>46291</v>
      </c>
      <c r="C1147" s="0" t="n">
        <v>26.372</v>
      </c>
    </row>
    <row r="1148" customFormat="false" ht="15" hidden="false" customHeight="false" outlineLevel="0" collapsed="false">
      <c r="A1148" s="0" t="s">
        <v>160</v>
      </c>
      <c r="B1148" s="2" t="n">
        <v>46291</v>
      </c>
      <c r="C1148" s="0" t="n">
        <v>54.514</v>
      </c>
    </row>
    <row r="1149" customFormat="false" ht="15" hidden="false" customHeight="false" outlineLevel="0" collapsed="false">
      <c r="A1149" s="0" t="s">
        <v>167</v>
      </c>
      <c r="B1149" s="2" t="n">
        <v>46291</v>
      </c>
      <c r="C1149" s="0" t="n">
        <v>2.721</v>
      </c>
    </row>
    <row r="1150" customFormat="false" ht="15" hidden="false" customHeight="false" outlineLevel="0" collapsed="false">
      <c r="A1150" s="0" t="s">
        <v>169</v>
      </c>
      <c r="B1150" s="2" t="n">
        <v>46291</v>
      </c>
      <c r="C1150" s="0" t="n">
        <v>512.531</v>
      </c>
    </row>
    <row r="1151" customFormat="false" ht="15" hidden="false" customHeight="false" outlineLevel="0" collapsed="false">
      <c r="A1151" s="0" t="s">
        <v>165</v>
      </c>
      <c r="B1151" s="2" t="n">
        <v>46291</v>
      </c>
      <c r="C1151" s="0" t="n">
        <v>44.514</v>
      </c>
    </row>
    <row r="1152" customFormat="false" ht="15" hidden="false" customHeight="false" outlineLevel="0" collapsed="false">
      <c r="A1152" s="0" t="s">
        <v>153</v>
      </c>
      <c r="B1152" s="2" t="n">
        <v>46291</v>
      </c>
      <c r="C1152" s="0" t="n">
        <v>35.249</v>
      </c>
    </row>
    <row r="1153" customFormat="false" ht="15" hidden="false" customHeight="false" outlineLevel="0" collapsed="false">
      <c r="A1153" s="0" t="s">
        <v>170</v>
      </c>
      <c r="B1153" s="2" t="n">
        <v>46291</v>
      </c>
      <c r="C1153" s="0" t="n">
        <v>5.126</v>
      </c>
    </row>
    <row r="1154" customFormat="false" ht="15" hidden="false" customHeight="false" outlineLevel="0" collapsed="false">
      <c r="A1154" s="0" t="s">
        <v>154</v>
      </c>
      <c r="B1154" s="2" t="n">
        <v>46291</v>
      </c>
      <c r="C1154" s="0" t="n">
        <v>62.875</v>
      </c>
    </row>
    <row r="1155" customFormat="false" ht="15" hidden="false" customHeight="false" outlineLevel="0" collapsed="false">
      <c r="A1155" s="0" t="s">
        <v>166</v>
      </c>
      <c r="B1155" s="2" t="n">
        <v>46292</v>
      </c>
      <c r="C1155" s="0" t="n">
        <v>47.026</v>
      </c>
    </row>
    <row r="1156" customFormat="false" ht="15" hidden="false" customHeight="false" outlineLevel="0" collapsed="false">
      <c r="A1156" s="0" t="s">
        <v>150</v>
      </c>
      <c r="B1156" s="2" t="n">
        <v>46292</v>
      </c>
      <c r="C1156" s="0" t="n">
        <v>16.432</v>
      </c>
    </row>
    <row r="1157" customFormat="false" ht="15" hidden="false" customHeight="false" outlineLevel="0" collapsed="false">
      <c r="A1157" s="0" t="s">
        <v>164</v>
      </c>
      <c r="B1157" s="2" t="n">
        <v>46292</v>
      </c>
      <c r="C1157" s="0" t="n">
        <v>134.091</v>
      </c>
    </row>
    <row r="1158" customFormat="false" ht="15" hidden="false" customHeight="false" outlineLevel="0" collapsed="false">
      <c r="A1158" s="0" t="s">
        <v>159</v>
      </c>
      <c r="B1158" s="2" t="n">
        <v>46292</v>
      </c>
      <c r="C1158" s="0" t="n">
        <v>12.633</v>
      </c>
    </row>
    <row r="1159" customFormat="false" ht="15" hidden="false" customHeight="false" outlineLevel="0" collapsed="false">
      <c r="A1159" s="0" t="s">
        <v>168</v>
      </c>
      <c r="B1159" s="2" t="n">
        <v>46292</v>
      </c>
      <c r="C1159" s="0" t="n">
        <v>32.863</v>
      </c>
    </row>
    <row r="1160" customFormat="false" ht="15" hidden="false" customHeight="false" outlineLevel="0" collapsed="false">
      <c r="A1160" s="0" t="s">
        <v>160</v>
      </c>
      <c r="B1160" s="2" t="n">
        <v>46292</v>
      </c>
      <c r="C1160" s="0" t="n">
        <v>55.945</v>
      </c>
    </row>
    <row r="1161" customFormat="false" ht="15" hidden="false" customHeight="false" outlineLevel="0" collapsed="false">
      <c r="A1161" s="0" t="s">
        <v>167</v>
      </c>
      <c r="B1161" s="2" t="n">
        <v>46292</v>
      </c>
      <c r="C1161" s="0" t="n">
        <v>2.731</v>
      </c>
    </row>
    <row r="1162" customFormat="false" ht="15" hidden="false" customHeight="false" outlineLevel="0" collapsed="false">
      <c r="A1162" s="0" t="s">
        <v>169</v>
      </c>
      <c r="B1162" s="2" t="n">
        <v>46292</v>
      </c>
      <c r="C1162" s="0" t="n">
        <v>638.678</v>
      </c>
    </row>
    <row r="1163" customFormat="false" ht="15" hidden="false" customHeight="false" outlineLevel="0" collapsed="false">
      <c r="A1163" s="0" t="s">
        <v>165</v>
      </c>
      <c r="B1163" s="2" t="n">
        <v>46292</v>
      </c>
      <c r="C1163" s="0" t="n">
        <v>40.811</v>
      </c>
    </row>
    <row r="1164" customFormat="false" ht="15" hidden="false" customHeight="false" outlineLevel="0" collapsed="false">
      <c r="A1164" s="0" t="s">
        <v>153</v>
      </c>
      <c r="B1164" s="2" t="n">
        <v>46292</v>
      </c>
      <c r="C1164" s="0" t="n">
        <v>33.776</v>
      </c>
    </row>
    <row r="1165" customFormat="false" ht="15" hidden="false" customHeight="false" outlineLevel="0" collapsed="false">
      <c r="A1165" s="0" t="s">
        <v>170</v>
      </c>
      <c r="B1165" s="2" t="n">
        <v>46292</v>
      </c>
      <c r="C1165" s="0" t="n">
        <v>6.386</v>
      </c>
    </row>
    <row r="1166" customFormat="false" ht="15" hidden="false" customHeight="false" outlineLevel="0" collapsed="false">
      <c r="A1166" s="0" t="s">
        <v>154</v>
      </c>
      <c r="B1166" s="2" t="n">
        <v>46292</v>
      </c>
      <c r="C1166" s="0" t="n">
        <v>60.251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89</v>
      </c>
      <c r="C1" s="1" t="s">
        <v>172</v>
      </c>
      <c r="D1" s="1" t="s">
        <v>173</v>
      </c>
    </row>
    <row r="2" customFormat="false" ht="15" hidden="false" customHeight="false" outlineLevel="0" collapsed="false">
      <c r="A2" s="0" t="s">
        <v>174</v>
      </c>
      <c r="B2" s="2" t="n">
        <v>46083</v>
      </c>
      <c r="C2" s="0" t="n">
        <v>37.82</v>
      </c>
      <c r="D2" s="0" t="n">
        <v>2</v>
      </c>
    </row>
    <row r="3" customFormat="false" ht="15" hidden="false" customHeight="false" outlineLevel="0" collapsed="false">
      <c r="A3" s="0" t="s">
        <v>174</v>
      </c>
      <c r="B3" s="2" t="n">
        <v>46084</v>
      </c>
      <c r="C3" s="0" t="n">
        <v>24.06</v>
      </c>
      <c r="D3" s="0" t="n">
        <v>2</v>
      </c>
    </row>
    <row r="4" customFormat="false" ht="15" hidden="false" customHeight="false" outlineLevel="0" collapsed="false">
      <c r="A4" s="0" t="s">
        <v>174</v>
      </c>
      <c r="B4" s="2" t="n">
        <v>46085</v>
      </c>
      <c r="C4" s="0" t="n">
        <v>51.6</v>
      </c>
      <c r="D4" s="0" t="n">
        <v>2</v>
      </c>
    </row>
    <row r="5" customFormat="false" ht="15" hidden="false" customHeight="false" outlineLevel="0" collapsed="false">
      <c r="A5" s="0" t="s">
        <v>174</v>
      </c>
      <c r="B5" s="2" t="n">
        <v>46086</v>
      </c>
      <c r="C5" s="0" t="n">
        <v>53.49</v>
      </c>
      <c r="D5" s="0" t="n">
        <v>2</v>
      </c>
    </row>
    <row r="6" customFormat="false" ht="15" hidden="false" customHeight="false" outlineLevel="0" collapsed="false">
      <c r="A6" s="0" t="s">
        <v>174</v>
      </c>
      <c r="B6" s="2" t="n">
        <v>46087</v>
      </c>
      <c r="C6" s="0" t="n">
        <v>53.39</v>
      </c>
      <c r="D6" s="0" t="n">
        <v>2</v>
      </c>
    </row>
    <row r="7" customFormat="false" ht="15" hidden="false" customHeight="false" outlineLevel="0" collapsed="false">
      <c r="A7" s="0" t="s">
        <v>174</v>
      </c>
      <c r="B7" s="2" t="n">
        <v>46088</v>
      </c>
      <c r="C7" s="0" t="n">
        <v>57.32</v>
      </c>
      <c r="D7" s="0" t="n">
        <v>2</v>
      </c>
    </row>
    <row r="8" customFormat="false" ht="15" hidden="false" customHeight="false" outlineLevel="0" collapsed="false">
      <c r="A8" s="0" t="s">
        <v>174</v>
      </c>
      <c r="B8" s="2" t="n">
        <v>46089</v>
      </c>
      <c r="C8" s="0" t="n">
        <v>46.59</v>
      </c>
      <c r="D8" s="0" t="n">
        <v>2</v>
      </c>
    </row>
    <row r="9" customFormat="false" ht="15" hidden="false" customHeight="false" outlineLevel="0" collapsed="false">
      <c r="A9" s="0" t="s">
        <v>174</v>
      </c>
      <c r="B9" s="2" t="n">
        <v>46090</v>
      </c>
      <c r="C9" s="0" t="n">
        <v>33.47</v>
      </c>
      <c r="D9" s="0" t="n">
        <v>2</v>
      </c>
    </row>
    <row r="10" customFormat="false" ht="15" hidden="false" customHeight="false" outlineLevel="0" collapsed="false">
      <c r="A10" s="0" t="s">
        <v>174</v>
      </c>
      <c r="B10" s="2" t="n">
        <v>46091</v>
      </c>
      <c r="C10" s="0" t="n">
        <v>48.56</v>
      </c>
      <c r="D10" s="0" t="n">
        <v>2</v>
      </c>
    </row>
    <row r="11" customFormat="false" ht="15" hidden="false" customHeight="false" outlineLevel="0" collapsed="false">
      <c r="A11" s="0" t="s">
        <v>174</v>
      </c>
      <c r="B11" s="2" t="n">
        <v>46092</v>
      </c>
      <c r="C11" s="0" t="n">
        <v>55.85</v>
      </c>
      <c r="D11" s="0" t="n">
        <v>2</v>
      </c>
    </row>
    <row r="12" customFormat="false" ht="15" hidden="false" customHeight="false" outlineLevel="0" collapsed="false">
      <c r="A12" s="0" t="s">
        <v>174</v>
      </c>
      <c r="B12" s="2" t="n">
        <v>46093</v>
      </c>
      <c r="C12" s="0" t="n">
        <v>50.67</v>
      </c>
      <c r="D12" s="0" t="n">
        <v>2</v>
      </c>
    </row>
    <row r="13" customFormat="false" ht="15" hidden="false" customHeight="false" outlineLevel="0" collapsed="false">
      <c r="A13" s="0" t="s">
        <v>174</v>
      </c>
      <c r="B13" s="2" t="n">
        <v>46094</v>
      </c>
      <c r="C13" s="0" t="n">
        <v>52.51</v>
      </c>
      <c r="D13" s="0" t="n">
        <v>2</v>
      </c>
    </row>
    <row r="14" customFormat="false" ht="15" hidden="false" customHeight="false" outlineLevel="0" collapsed="false">
      <c r="A14" s="0" t="s">
        <v>175</v>
      </c>
      <c r="B14" s="2" t="n">
        <v>46094</v>
      </c>
      <c r="C14" s="0" t="n">
        <v>46.93</v>
      </c>
      <c r="D14" s="0" t="n">
        <v>2</v>
      </c>
    </row>
    <row r="15" customFormat="false" ht="15" hidden="false" customHeight="false" outlineLevel="0" collapsed="false">
      <c r="A15" s="0" t="s">
        <v>174</v>
      </c>
      <c r="B15" s="2" t="n">
        <v>46095</v>
      </c>
      <c r="C15" s="0" t="n">
        <v>56.64</v>
      </c>
      <c r="D15" s="0" t="n">
        <v>2</v>
      </c>
    </row>
    <row r="16" customFormat="false" ht="15" hidden="false" customHeight="false" outlineLevel="0" collapsed="false">
      <c r="A16" s="0" t="s">
        <v>175</v>
      </c>
      <c r="B16" s="2" t="n">
        <v>46095</v>
      </c>
      <c r="C16" s="0" t="n">
        <v>60.02</v>
      </c>
      <c r="D16" s="0" t="n">
        <v>2</v>
      </c>
    </row>
    <row r="17" customFormat="false" ht="15" hidden="false" customHeight="false" outlineLevel="0" collapsed="false">
      <c r="A17" s="0" t="s">
        <v>174</v>
      </c>
      <c r="B17" s="2" t="n">
        <v>46096</v>
      </c>
      <c r="C17" s="0" t="n">
        <v>44.44</v>
      </c>
      <c r="D17" s="0" t="n">
        <v>2</v>
      </c>
    </row>
    <row r="18" customFormat="false" ht="15" hidden="false" customHeight="false" outlineLevel="0" collapsed="false">
      <c r="A18" s="0" t="s">
        <v>175</v>
      </c>
      <c r="B18" s="2" t="n">
        <v>46096</v>
      </c>
      <c r="C18" s="0" t="n">
        <v>54.42</v>
      </c>
      <c r="D18" s="0" t="n">
        <v>2</v>
      </c>
    </row>
    <row r="19" customFormat="false" ht="15" hidden="false" customHeight="false" outlineLevel="0" collapsed="false">
      <c r="A19" s="0" t="s">
        <v>174</v>
      </c>
      <c r="B19" s="2" t="n">
        <v>46097</v>
      </c>
      <c r="C19" s="0" t="n">
        <v>55.72</v>
      </c>
      <c r="D19" s="0" t="n">
        <v>2</v>
      </c>
    </row>
    <row r="20" customFormat="false" ht="15" hidden="false" customHeight="false" outlineLevel="0" collapsed="false">
      <c r="A20" s="0" t="s">
        <v>175</v>
      </c>
      <c r="B20" s="2" t="n">
        <v>46097</v>
      </c>
      <c r="C20" s="0" t="n">
        <v>76.26</v>
      </c>
      <c r="D20" s="0" t="n">
        <v>2</v>
      </c>
    </row>
    <row r="21" customFormat="false" ht="15" hidden="false" customHeight="false" outlineLevel="0" collapsed="false">
      <c r="A21" s="0" t="s">
        <v>174</v>
      </c>
      <c r="B21" s="2" t="n">
        <v>46098</v>
      </c>
      <c r="C21" s="0" t="n">
        <v>24.06</v>
      </c>
      <c r="D21" s="0" t="n">
        <v>2</v>
      </c>
    </row>
    <row r="22" customFormat="false" ht="15" hidden="false" customHeight="false" outlineLevel="0" collapsed="false">
      <c r="A22" s="0" t="s">
        <v>175</v>
      </c>
      <c r="B22" s="2" t="n">
        <v>46098</v>
      </c>
      <c r="C22" s="0" t="n">
        <v>64.78</v>
      </c>
      <c r="D22" s="0" t="n">
        <v>2</v>
      </c>
    </row>
    <row r="23" customFormat="false" ht="15" hidden="false" customHeight="false" outlineLevel="0" collapsed="false">
      <c r="A23" s="0" t="s">
        <v>174</v>
      </c>
      <c r="B23" s="2" t="n">
        <v>46099</v>
      </c>
      <c r="C23" s="0" t="n">
        <v>39.65</v>
      </c>
      <c r="D23" s="0" t="n">
        <v>2</v>
      </c>
    </row>
    <row r="24" customFormat="false" ht="15" hidden="false" customHeight="false" outlineLevel="0" collapsed="false">
      <c r="A24" s="0" t="s">
        <v>175</v>
      </c>
      <c r="B24" s="2" t="n">
        <v>46099</v>
      </c>
      <c r="C24" s="0" t="n">
        <v>45.36</v>
      </c>
      <c r="D24" s="0" t="n">
        <v>2</v>
      </c>
    </row>
    <row r="25" customFormat="false" ht="15" hidden="false" customHeight="false" outlineLevel="0" collapsed="false">
      <c r="A25" s="0" t="s">
        <v>174</v>
      </c>
      <c r="B25" s="2" t="n">
        <v>46100</v>
      </c>
      <c r="C25" s="0" t="n">
        <v>54.11</v>
      </c>
      <c r="D25" s="0" t="n">
        <v>2</v>
      </c>
    </row>
    <row r="26" customFormat="false" ht="15" hidden="false" customHeight="false" outlineLevel="0" collapsed="false">
      <c r="A26" s="0" t="s">
        <v>175</v>
      </c>
      <c r="B26" s="2" t="n">
        <v>46100</v>
      </c>
      <c r="C26" s="0" t="n">
        <v>83.1</v>
      </c>
      <c r="D26" s="0" t="n">
        <v>2</v>
      </c>
    </row>
    <row r="27" customFormat="false" ht="15" hidden="false" customHeight="false" outlineLevel="0" collapsed="false">
      <c r="A27" s="0" t="s">
        <v>174</v>
      </c>
      <c r="B27" s="2" t="n">
        <v>46101</v>
      </c>
      <c r="C27" s="0" t="n">
        <v>51.37</v>
      </c>
      <c r="D27" s="0" t="n">
        <v>2</v>
      </c>
    </row>
    <row r="28" customFormat="false" ht="15" hidden="false" customHeight="false" outlineLevel="0" collapsed="false">
      <c r="A28" s="0" t="s">
        <v>175</v>
      </c>
      <c r="B28" s="2" t="n">
        <v>46101</v>
      </c>
      <c r="C28" s="0" t="n">
        <v>74.36</v>
      </c>
      <c r="D28" s="0" t="n">
        <v>2</v>
      </c>
    </row>
    <row r="29" customFormat="false" ht="15" hidden="false" customHeight="false" outlineLevel="0" collapsed="false">
      <c r="A29" s="0" t="s">
        <v>174</v>
      </c>
      <c r="B29" s="2" t="n">
        <v>46102</v>
      </c>
      <c r="C29" s="0" t="n">
        <v>23.81</v>
      </c>
      <c r="D29" s="0" t="n">
        <v>2</v>
      </c>
    </row>
    <row r="30" customFormat="false" ht="15" hidden="false" customHeight="false" outlineLevel="0" collapsed="false">
      <c r="A30" s="0" t="s">
        <v>175</v>
      </c>
      <c r="B30" s="2" t="n">
        <v>46102</v>
      </c>
      <c r="C30" s="0" t="n">
        <v>67.57</v>
      </c>
      <c r="D30" s="0" t="n">
        <v>2</v>
      </c>
    </row>
    <row r="31" customFormat="false" ht="15" hidden="false" customHeight="false" outlineLevel="0" collapsed="false">
      <c r="A31" s="0" t="s">
        <v>174</v>
      </c>
      <c r="B31" s="2" t="n">
        <v>46103</v>
      </c>
      <c r="C31" s="0" t="n">
        <v>24.39</v>
      </c>
      <c r="D31" s="0" t="n">
        <v>2</v>
      </c>
    </row>
    <row r="32" customFormat="false" ht="15" hidden="false" customHeight="false" outlineLevel="0" collapsed="false">
      <c r="A32" s="0" t="s">
        <v>175</v>
      </c>
      <c r="B32" s="2" t="n">
        <v>46103</v>
      </c>
      <c r="C32" s="0" t="n">
        <v>80.33</v>
      </c>
      <c r="D32" s="0" t="n">
        <v>2</v>
      </c>
    </row>
    <row r="33" customFormat="false" ht="15" hidden="false" customHeight="false" outlineLevel="0" collapsed="false">
      <c r="A33" s="0" t="s">
        <v>174</v>
      </c>
      <c r="B33" s="2" t="n">
        <v>46104</v>
      </c>
      <c r="C33" s="0" t="n">
        <v>46.96</v>
      </c>
      <c r="D33" s="0" t="n">
        <v>2</v>
      </c>
    </row>
    <row r="34" customFormat="false" ht="15" hidden="false" customHeight="false" outlineLevel="0" collapsed="false">
      <c r="A34" s="0" t="s">
        <v>175</v>
      </c>
      <c r="B34" s="2" t="n">
        <v>46104</v>
      </c>
      <c r="C34" s="0" t="n">
        <v>64.55</v>
      </c>
      <c r="D34" s="0" t="n">
        <v>2</v>
      </c>
    </row>
    <row r="35" customFormat="false" ht="15" hidden="false" customHeight="false" outlineLevel="0" collapsed="false">
      <c r="A35" s="0" t="s">
        <v>174</v>
      </c>
      <c r="B35" s="2" t="n">
        <v>46105</v>
      </c>
      <c r="C35" s="0" t="n">
        <v>47.53</v>
      </c>
      <c r="D35" s="0" t="n">
        <v>2</v>
      </c>
    </row>
    <row r="36" customFormat="false" ht="15" hidden="false" customHeight="false" outlineLevel="0" collapsed="false">
      <c r="A36" s="0" t="s">
        <v>175</v>
      </c>
      <c r="B36" s="2" t="n">
        <v>46105</v>
      </c>
      <c r="C36" s="0" t="n">
        <v>65.46</v>
      </c>
      <c r="D36" s="0" t="n">
        <v>2</v>
      </c>
    </row>
    <row r="37" customFormat="false" ht="15" hidden="false" customHeight="false" outlineLevel="0" collapsed="false">
      <c r="A37" s="0" t="s">
        <v>174</v>
      </c>
      <c r="B37" s="2" t="n">
        <v>46106</v>
      </c>
      <c r="C37" s="0" t="n">
        <v>47.45</v>
      </c>
      <c r="D37" s="0" t="n">
        <v>2</v>
      </c>
    </row>
    <row r="38" customFormat="false" ht="15" hidden="false" customHeight="false" outlineLevel="0" collapsed="false">
      <c r="A38" s="0" t="s">
        <v>175</v>
      </c>
      <c r="B38" s="2" t="n">
        <v>46106</v>
      </c>
      <c r="C38" s="0" t="n">
        <v>74.87</v>
      </c>
      <c r="D38" s="0" t="n">
        <v>2</v>
      </c>
    </row>
    <row r="39" customFormat="false" ht="15" hidden="false" customHeight="false" outlineLevel="0" collapsed="false">
      <c r="A39" s="0" t="s">
        <v>174</v>
      </c>
      <c r="B39" s="2" t="n">
        <v>46107</v>
      </c>
      <c r="C39" s="0" t="n">
        <v>80.82</v>
      </c>
      <c r="D39" s="0" t="n">
        <v>2</v>
      </c>
    </row>
    <row r="40" customFormat="false" ht="15" hidden="false" customHeight="false" outlineLevel="0" collapsed="false">
      <c r="A40" s="0" t="s">
        <v>175</v>
      </c>
      <c r="B40" s="2" t="n">
        <v>46107</v>
      </c>
      <c r="C40" s="0" t="n">
        <v>46.45</v>
      </c>
      <c r="D40" s="0" t="n">
        <v>2</v>
      </c>
    </row>
    <row r="41" customFormat="false" ht="15" hidden="false" customHeight="false" outlineLevel="0" collapsed="false">
      <c r="A41" s="0" t="s">
        <v>174</v>
      </c>
      <c r="B41" s="2" t="n">
        <v>46108</v>
      </c>
      <c r="C41" s="0" t="n">
        <v>58.82</v>
      </c>
      <c r="D41" s="0" t="n">
        <v>2</v>
      </c>
    </row>
    <row r="42" customFormat="false" ht="15" hidden="false" customHeight="false" outlineLevel="0" collapsed="false">
      <c r="A42" s="0" t="s">
        <v>175</v>
      </c>
      <c r="B42" s="2" t="n">
        <v>46108</v>
      </c>
      <c r="C42" s="0" t="n">
        <v>73.1</v>
      </c>
      <c r="D42" s="0" t="n">
        <v>2</v>
      </c>
    </row>
    <row r="43" customFormat="false" ht="15" hidden="false" customHeight="false" outlineLevel="0" collapsed="false">
      <c r="A43" s="0" t="s">
        <v>174</v>
      </c>
      <c r="B43" s="2" t="n">
        <v>46109</v>
      </c>
      <c r="C43" s="0" t="n">
        <v>87.05</v>
      </c>
      <c r="D43" s="0" t="n">
        <v>2</v>
      </c>
    </row>
    <row r="44" customFormat="false" ht="15" hidden="false" customHeight="false" outlineLevel="0" collapsed="false">
      <c r="A44" s="0" t="s">
        <v>175</v>
      </c>
      <c r="B44" s="2" t="n">
        <v>46109</v>
      </c>
      <c r="C44" s="0" t="n">
        <v>67.71</v>
      </c>
      <c r="D44" s="0" t="n">
        <v>2</v>
      </c>
    </row>
    <row r="45" customFormat="false" ht="15" hidden="false" customHeight="false" outlineLevel="0" collapsed="false">
      <c r="A45" s="0" t="s">
        <v>174</v>
      </c>
      <c r="B45" s="2" t="n">
        <v>46110</v>
      </c>
      <c r="C45" s="0" t="n">
        <v>94.5</v>
      </c>
      <c r="D45" s="0" t="n">
        <v>2</v>
      </c>
    </row>
    <row r="46" customFormat="false" ht="15" hidden="false" customHeight="false" outlineLevel="0" collapsed="false">
      <c r="A46" s="0" t="s">
        <v>175</v>
      </c>
      <c r="B46" s="2" t="n">
        <v>46110</v>
      </c>
      <c r="C46" s="0" t="n">
        <v>56.77</v>
      </c>
      <c r="D46" s="0" t="n">
        <v>2</v>
      </c>
    </row>
    <row r="47" customFormat="false" ht="15" hidden="false" customHeight="false" outlineLevel="0" collapsed="false">
      <c r="A47" s="0" t="s">
        <v>174</v>
      </c>
      <c r="B47" s="2" t="n">
        <v>46111</v>
      </c>
      <c r="C47" s="0" t="n">
        <v>80.69</v>
      </c>
      <c r="D47" s="0" t="n">
        <v>2</v>
      </c>
    </row>
    <row r="48" customFormat="false" ht="15" hidden="false" customHeight="false" outlineLevel="0" collapsed="false">
      <c r="A48" s="0" t="s">
        <v>175</v>
      </c>
      <c r="B48" s="2" t="n">
        <v>46111</v>
      </c>
      <c r="C48" s="0" t="n">
        <v>74.12</v>
      </c>
      <c r="D48" s="0" t="n">
        <v>2</v>
      </c>
    </row>
    <row r="49" customFormat="false" ht="15" hidden="false" customHeight="false" outlineLevel="0" collapsed="false">
      <c r="A49" s="0" t="s">
        <v>174</v>
      </c>
      <c r="B49" s="2" t="n">
        <v>46112</v>
      </c>
      <c r="C49" s="0" t="n">
        <v>58.13</v>
      </c>
      <c r="D49" s="0" t="n">
        <v>2</v>
      </c>
    </row>
    <row r="50" customFormat="false" ht="15" hidden="false" customHeight="false" outlineLevel="0" collapsed="false">
      <c r="A50" s="0" t="s">
        <v>175</v>
      </c>
      <c r="B50" s="2" t="n">
        <v>46112</v>
      </c>
      <c r="C50" s="0" t="n">
        <v>80.18</v>
      </c>
      <c r="D50" s="0" t="n">
        <v>2</v>
      </c>
    </row>
    <row r="51" customFormat="false" ht="15" hidden="false" customHeight="false" outlineLevel="0" collapsed="false">
      <c r="A51" s="0" t="s">
        <v>174</v>
      </c>
      <c r="B51" s="2" t="n">
        <v>46113</v>
      </c>
      <c r="C51" s="0" t="n">
        <v>33.67</v>
      </c>
      <c r="D51" s="0" t="n">
        <v>2</v>
      </c>
    </row>
    <row r="52" customFormat="false" ht="15" hidden="false" customHeight="false" outlineLevel="0" collapsed="false">
      <c r="A52" s="0" t="s">
        <v>175</v>
      </c>
      <c r="B52" s="2" t="n">
        <v>46113</v>
      </c>
      <c r="C52" s="0" t="n">
        <v>61.99</v>
      </c>
      <c r="D52" s="0" t="n">
        <v>2</v>
      </c>
    </row>
    <row r="53" customFormat="false" ht="15" hidden="false" customHeight="false" outlineLevel="0" collapsed="false">
      <c r="A53" s="0" t="s">
        <v>174</v>
      </c>
      <c r="B53" s="2" t="n">
        <v>46114</v>
      </c>
      <c r="C53" s="0" t="n">
        <v>55.88</v>
      </c>
      <c r="D53" s="0" t="n">
        <v>2</v>
      </c>
    </row>
    <row r="54" customFormat="false" ht="15" hidden="false" customHeight="false" outlineLevel="0" collapsed="false">
      <c r="A54" s="0" t="s">
        <v>175</v>
      </c>
      <c r="B54" s="2" t="n">
        <v>46114</v>
      </c>
      <c r="C54" s="0" t="n">
        <v>54.35</v>
      </c>
      <c r="D54" s="0" t="n">
        <v>2</v>
      </c>
    </row>
    <row r="55" customFormat="false" ht="15" hidden="false" customHeight="false" outlineLevel="0" collapsed="false">
      <c r="A55" s="0" t="s">
        <v>174</v>
      </c>
      <c r="B55" s="2" t="n">
        <v>46115</v>
      </c>
      <c r="C55" s="0" t="n">
        <v>40.32</v>
      </c>
      <c r="D55" s="0" t="n">
        <v>2</v>
      </c>
    </row>
    <row r="56" customFormat="false" ht="15" hidden="false" customHeight="false" outlineLevel="0" collapsed="false">
      <c r="A56" s="0" t="s">
        <v>175</v>
      </c>
      <c r="B56" s="2" t="n">
        <v>46115</v>
      </c>
      <c r="C56" s="0" t="n">
        <v>83.24</v>
      </c>
      <c r="D56" s="0" t="n">
        <v>2</v>
      </c>
    </row>
    <row r="57" customFormat="false" ht="15" hidden="false" customHeight="false" outlineLevel="0" collapsed="false">
      <c r="A57" s="0" t="s">
        <v>175</v>
      </c>
      <c r="B57" s="2" t="n">
        <v>46116</v>
      </c>
      <c r="C57" s="0" t="n">
        <v>81.15</v>
      </c>
      <c r="D57" s="0" t="n">
        <v>2</v>
      </c>
    </row>
    <row r="58" customFormat="false" ht="15" hidden="false" customHeight="false" outlineLevel="0" collapsed="false">
      <c r="A58" s="0" t="s">
        <v>175</v>
      </c>
      <c r="B58" s="2" t="n">
        <v>46117</v>
      </c>
      <c r="C58" s="0" t="n">
        <v>45.74</v>
      </c>
      <c r="D58" s="0" t="n">
        <v>2</v>
      </c>
    </row>
    <row r="59" customFormat="false" ht="15" hidden="false" customHeight="false" outlineLevel="0" collapsed="false">
      <c r="A59" s="0" t="s">
        <v>175</v>
      </c>
      <c r="B59" s="2" t="n">
        <v>46118</v>
      </c>
      <c r="C59" s="0" t="n">
        <v>45.77</v>
      </c>
      <c r="D59" s="0" t="n">
        <v>2</v>
      </c>
    </row>
    <row r="60" customFormat="false" ht="15" hidden="false" customHeight="false" outlineLevel="0" collapsed="false">
      <c r="A60" s="0" t="s">
        <v>175</v>
      </c>
      <c r="B60" s="2" t="n">
        <v>46119</v>
      </c>
      <c r="C60" s="0" t="n">
        <v>80.7</v>
      </c>
      <c r="D60" s="0" t="n">
        <v>2</v>
      </c>
    </row>
    <row r="61" customFormat="false" ht="15" hidden="false" customHeight="false" outlineLevel="0" collapsed="false">
      <c r="A61" s="0" t="s">
        <v>175</v>
      </c>
      <c r="B61" s="2" t="n">
        <v>46120</v>
      </c>
      <c r="C61" s="0" t="n">
        <v>0</v>
      </c>
      <c r="D61" s="0" t="n">
        <v>0</v>
      </c>
    </row>
    <row r="62" customFormat="false" ht="15" hidden="false" customHeight="false" outlineLevel="0" collapsed="false">
      <c r="A62" s="0" t="s">
        <v>175</v>
      </c>
      <c r="B62" s="2" t="n">
        <v>46121</v>
      </c>
      <c r="C62" s="0" t="n">
        <v>46.06</v>
      </c>
      <c r="D62" s="0" t="n">
        <v>2</v>
      </c>
    </row>
    <row r="63" customFormat="false" ht="15" hidden="false" customHeight="false" outlineLevel="0" collapsed="false">
      <c r="A63" s="0" t="s">
        <v>175</v>
      </c>
      <c r="B63" s="2" t="n">
        <v>46122</v>
      </c>
      <c r="C63" s="0" t="n">
        <v>59.28</v>
      </c>
      <c r="D63" s="0" t="n">
        <v>2</v>
      </c>
    </row>
    <row r="64" customFormat="false" ht="15" hidden="false" customHeight="false" outlineLevel="0" collapsed="false">
      <c r="A64" s="0" t="s">
        <v>175</v>
      </c>
      <c r="B64" s="2" t="n">
        <v>46123</v>
      </c>
      <c r="C64" s="0" t="n">
        <v>56.19</v>
      </c>
      <c r="D64" s="0" t="n">
        <v>2</v>
      </c>
    </row>
    <row r="65" customFormat="false" ht="15" hidden="false" customHeight="false" outlineLevel="0" collapsed="false">
      <c r="A65" s="0" t="s">
        <v>175</v>
      </c>
      <c r="B65" s="2" t="n">
        <v>46124</v>
      </c>
      <c r="C65" s="0" t="n">
        <v>67.26</v>
      </c>
      <c r="D65" s="0" t="n">
        <v>2</v>
      </c>
    </row>
    <row r="66" customFormat="false" ht="15" hidden="false" customHeight="false" outlineLevel="0" collapsed="false">
      <c r="A66" s="0" t="s">
        <v>175</v>
      </c>
      <c r="B66" s="2" t="n">
        <v>46125</v>
      </c>
      <c r="C66" s="0" t="n">
        <v>73.22</v>
      </c>
      <c r="D66" s="0" t="n">
        <v>2</v>
      </c>
    </row>
    <row r="67" customFormat="false" ht="15" hidden="false" customHeight="false" outlineLevel="0" collapsed="false">
      <c r="A67" s="0" t="s">
        <v>175</v>
      </c>
      <c r="B67" s="2" t="n">
        <v>46126</v>
      </c>
      <c r="C67" s="0" t="n">
        <v>64.57</v>
      </c>
      <c r="D67" s="0" t="n">
        <v>2</v>
      </c>
    </row>
    <row r="68" customFormat="false" ht="15" hidden="false" customHeight="false" outlineLevel="0" collapsed="false">
      <c r="A68" s="0" t="s">
        <v>175</v>
      </c>
      <c r="B68" s="2" t="n">
        <v>46127</v>
      </c>
      <c r="C68" s="0" t="n">
        <v>46.85</v>
      </c>
      <c r="D68" s="0" t="n">
        <v>2</v>
      </c>
    </row>
    <row r="69" customFormat="false" ht="15" hidden="false" customHeight="false" outlineLevel="0" collapsed="false">
      <c r="A69" s="0" t="s">
        <v>175</v>
      </c>
      <c r="B69" s="2" t="n">
        <v>46128</v>
      </c>
      <c r="C69" s="0" t="n">
        <v>84.33</v>
      </c>
      <c r="D69" s="0" t="n">
        <v>2</v>
      </c>
    </row>
    <row r="70" customFormat="false" ht="15" hidden="false" customHeight="false" outlineLevel="0" collapsed="false">
      <c r="A70" s="0" t="s">
        <v>175</v>
      </c>
      <c r="B70" s="2" t="n">
        <v>46129</v>
      </c>
      <c r="C70" s="0" t="n">
        <v>60.74</v>
      </c>
      <c r="D70" s="0" t="n">
        <v>2</v>
      </c>
    </row>
    <row r="71" customFormat="false" ht="15" hidden="false" customHeight="false" outlineLevel="0" collapsed="false">
      <c r="A71" s="0" t="s">
        <v>175</v>
      </c>
      <c r="B71" s="2" t="n">
        <v>46130</v>
      </c>
      <c r="C71" s="0" t="n">
        <v>60.72</v>
      </c>
      <c r="D71" s="0" t="n">
        <v>2</v>
      </c>
    </row>
    <row r="72" customFormat="false" ht="15" hidden="false" customHeight="false" outlineLevel="0" collapsed="false">
      <c r="A72" s="0" t="s">
        <v>175</v>
      </c>
      <c r="B72" s="2" t="n">
        <v>46131</v>
      </c>
      <c r="C72" s="0" t="n">
        <v>76.94</v>
      </c>
      <c r="D72" s="0" t="n">
        <v>2</v>
      </c>
    </row>
    <row r="73" customFormat="false" ht="15" hidden="false" customHeight="false" outlineLevel="0" collapsed="false">
      <c r="A73" s="0" t="s">
        <v>175</v>
      </c>
      <c r="B73" s="2" t="n">
        <v>46132</v>
      </c>
      <c r="C73" s="0" t="n">
        <v>49.18</v>
      </c>
      <c r="D73" s="0" t="n">
        <v>2</v>
      </c>
    </row>
    <row r="74" customFormat="false" ht="15" hidden="false" customHeight="false" outlineLevel="0" collapsed="false">
      <c r="A74" s="0" t="s">
        <v>175</v>
      </c>
      <c r="B74" s="2" t="n">
        <v>46133</v>
      </c>
      <c r="C74" s="0" t="n">
        <v>77.26</v>
      </c>
      <c r="D74" s="0" t="n">
        <v>2</v>
      </c>
    </row>
    <row r="75" customFormat="false" ht="15" hidden="false" customHeight="false" outlineLevel="0" collapsed="false">
      <c r="A75" s="0" t="s">
        <v>175</v>
      </c>
      <c r="B75" s="2" t="n">
        <v>46134</v>
      </c>
      <c r="C75" s="0" t="n">
        <v>66.79</v>
      </c>
      <c r="D75" s="0" t="n">
        <v>2</v>
      </c>
    </row>
    <row r="76" customFormat="false" ht="15" hidden="false" customHeight="false" outlineLevel="0" collapsed="false">
      <c r="A76" s="0" t="s">
        <v>175</v>
      </c>
      <c r="B76" s="2" t="n">
        <v>46135</v>
      </c>
      <c r="C76" s="0" t="n">
        <v>82.6</v>
      </c>
      <c r="D76" s="0" t="n">
        <v>2</v>
      </c>
    </row>
    <row r="77" customFormat="false" ht="15" hidden="false" customHeight="false" outlineLevel="0" collapsed="false">
      <c r="A77" s="0" t="s">
        <v>176</v>
      </c>
      <c r="B77" s="2" t="n">
        <v>46136</v>
      </c>
      <c r="C77" s="0" t="n">
        <v>96.73</v>
      </c>
      <c r="D77" s="0" t="n">
        <v>3</v>
      </c>
    </row>
    <row r="78" customFormat="false" ht="15" hidden="false" customHeight="false" outlineLevel="0" collapsed="false">
      <c r="A78" s="0" t="s">
        <v>176</v>
      </c>
      <c r="B78" s="2" t="n">
        <v>46137</v>
      </c>
      <c r="C78" s="0" t="n">
        <v>104.79</v>
      </c>
      <c r="D78" s="0" t="n">
        <v>3</v>
      </c>
    </row>
    <row r="79" customFormat="false" ht="15" hidden="false" customHeight="false" outlineLevel="0" collapsed="false">
      <c r="A79" s="0" t="s">
        <v>176</v>
      </c>
      <c r="B79" s="2" t="n">
        <v>46138</v>
      </c>
      <c r="C79" s="0" t="n">
        <v>96.22</v>
      </c>
      <c r="D79" s="0" t="n">
        <v>3</v>
      </c>
    </row>
    <row r="80" customFormat="false" ht="15" hidden="false" customHeight="false" outlineLevel="0" collapsed="false">
      <c r="A80" s="0" t="s">
        <v>176</v>
      </c>
      <c r="B80" s="2" t="n">
        <v>46139</v>
      </c>
      <c r="C80" s="0" t="n">
        <v>98.83</v>
      </c>
      <c r="D80" s="0" t="n">
        <v>3</v>
      </c>
    </row>
    <row r="81" customFormat="false" ht="15" hidden="false" customHeight="false" outlineLevel="0" collapsed="false">
      <c r="A81" s="0" t="s">
        <v>176</v>
      </c>
      <c r="B81" s="2" t="n">
        <v>46140</v>
      </c>
      <c r="C81" s="0" t="n">
        <v>115.32</v>
      </c>
      <c r="D81" s="0" t="n">
        <v>3</v>
      </c>
    </row>
    <row r="82" customFormat="false" ht="15" hidden="false" customHeight="false" outlineLevel="0" collapsed="false">
      <c r="A82" s="0" t="s">
        <v>176</v>
      </c>
      <c r="B82" s="2" t="n">
        <v>46141</v>
      </c>
      <c r="C82" s="0" t="n">
        <v>124.96</v>
      </c>
      <c r="D82" s="0" t="n">
        <v>3</v>
      </c>
    </row>
    <row r="83" customFormat="false" ht="15" hidden="false" customHeight="false" outlineLevel="0" collapsed="false">
      <c r="A83" s="0" t="s">
        <v>176</v>
      </c>
      <c r="B83" s="2" t="n">
        <v>46142</v>
      </c>
      <c r="C83" s="0" t="n">
        <v>106.18</v>
      </c>
      <c r="D83" s="0" t="n">
        <v>3</v>
      </c>
    </row>
    <row r="84" customFormat="false" ht="15" hidden="false" customHeight="false" outlineLevel="0" collapsed="false">
      <c r="A84" s="0" t="s">
        <v>176</v>
      </c>
      <c r="B84" s="2" t="n">
        <v>46143</v>
      </c>
      <c r="C84" s="0" t="n">
        <v>104.6</v>
      </c>
      <c r="D84" s="0" t="n">
        <v>3</v>
      </c>
    </row>
    <row r="85" customFormat="false" ht="15" hidden="false" customHeight="false" outlineLevel="0" collapsed="false">
      <c r="A85" s="0" t="s">
        <v>176</v>
      </c>
      <c r="B85" s="2" t="n">
        <v>46144</v>
      </c>
      <c r="C85" s="0" t="n">
        <v>104.2</v>
      </c>
      <c r="D85" s="0" t="n">
        <v>3</v>
      </c>
    </row>
    <row r="86" customFormat="false" ht="15" hidden="false" customHeight="false" outlineLevel="0" collapsed="false">
      <c r="A86" s="0" t="s">
        <v>176</v>
      </c>
      <c r="B86" s="2" t="n">
        <v>46145</v>
      </c>
      <c r="C86" s="0" t="n">
        <v>76.44</v>
      </c>
      <c r="D86" s="0" t="n">
        <v>2</v>
      </c>
    </row>
    <row r="87" customFormat="false" ht="15" hidden="false" customHeight="false" outlineLevel="0" collapsed="false">
      <c r="A87" s="0" t="s">
        <v>176</v>
      </c>
      <c r="B87" s="2" t="n">
        <v>46146</v>
      </c>
      <c r="C87" s="0" t="n">
        <v>90.33</v>
      </c>
      <c r="D87" s="0" t="n">
        <v>2</v>
      </c>
    </row>
    <row r="88" customFormat="false" ht="15" hidden="false" customHeight="false" outlineLevel="0" collapsed="false">
      <c r="A88" s="0" t="s">
        <v>176</v>
      </c>
      <c r="B88" s="2" t="n">
        <v>46147</v>
      </c>
      <c r="C88" s="0" t="n">
        <v>80.79</v>
      </c>
      <c r="D88" s="0" t="n">
        <v>2</v>
      </c>
    </row>
    <row r="89" customFormat="false" ht="15" hidden="false" customHeight="false" outlineLevel="0" collapsed="false">
      <c r="A89" s="0" t="s">
        <v>176</v>
      </c>
      <c r="B89" s="2" t="n">
        <v>46148</v>
      </c>
      <c r="C89" s="0" t="n">
        <v>103.55</v>
      </c>
      <c r="D89" s="0" t="n">
        <v>3</v>
      </c>
    </row>
    <row r="90" customFormat="false" ht="15" hidden="false" customHeight="false" outlineLevel="0" collapsed="false">
      <c r="A90" s="0" t="s">
        <v>176</v>
      </c>
      <c r="B90" s="2" t="n">
        <v>46149</v>
      </c>
      <c r="C90" s="0" t="n">
        <v>86.34</v>
      </c>
      <c r="D90" s="0" t="n">
        <v>2</v>
      </c>
    </row>
    <row r="91" customFormat="false" ht="15" hidden="false" customHeight="false" outlineLevel="0" collapsed="false">
      <c r="A91" s="0" t="s">
        <v>176</v>
      </c>
      <c r="B91" s="2" t="n">
        <v>46150</v>
      </c>
      <c r="C91" s="0" t="n">
        <v>89.94</v>
      </c>
      <c r="D91" s="0" t="n">
        <v>2</v>
      </c>
    </row>
    <row r="92" customFormat="false" ht="15" hidden="false" customHeight="false" outlineLevel="0" collapsed="false">
      <c r="A92" s="0" t="s">
        <v>176</v>
      </c>
      <c r="B92" s="2" t="n">
        <v>46151</v>
      </c>
      <c r="C92" s="0" t="n">
        <v>171.02</v>
      </c>
      <c r="D92" s="0" t="n">
        <v>3</v>
      </c>
    </row>
    <row r="93" customFormat="false" ht="15" hidden="false" customHeight="false" outlineLevel="0" collapsed="false">
      <c r="A93" s="0" t="s">
        <v>176</v>
      </c>
      <c r="B93" s="2" t="n">
        <v>46152</v>
      </c>
      <c r="C93" s="0" t="n">
        <v>190.14</v>
      </c>
      <c r="D93" s="0" t="n">
        <v>3</v>
      </c>
    </row>
    <row r="94" customFormat="false" ht="15" hidden="false" customHeight="false" outlineLevel="0" collapsed="false">
      <c r="A94" s="0" t="s">
        <v>176</v>
      </c>
      <c r="B94" s="2" t="n">
        <v>46153</v>
      </c>
      <c r="C94" s="0" t="n">
        <v>202.27</v>
      </c>
      <c r="D94" s="0" t="n">
        <v>4</v>
      </c>
    </row>
    <row r="95" customFormat="false" ht="15" hidden="false" customHeight="false" outlineLevel="0" collapsed="false">
      <c r="A95" s="0" t="s">
        <v>176</v>
      </c>
      <c r="B95" s="2" t="n">
        <v>46154</v>
      </c>
      <c r="C95" s="0" t="n">
        <v>186.51</v>
      </c>
      <c r="D95" s="0" t="n">
        <v>3</v>
      </c>
    </row>
    <row r="96" customFormat="false" ht="15" hidden="false" customHeight="false" outlineLevel="0" collapsed="false">
      <c r="A96" s="0" t="s">
        <v>176</v>
      </c>
      <c r="B96" s="2" t="n">
        <v>46155</v>
      </c>
      <c r="C96" s="0" t="n">
        <v>200.84</v>
      </c>
      <c r="D96" s="0" t="n">
        <v>4</v>
      </c>
    </row>
    <row r="97" customFormat="false" ht="15" hidden="false" customHeight="false" outlineLevel="0" collapsed="false">
      <c r="A97" s="0" t="s">
        <v>176</v>
      </c>
      <c r="B97" s="2" t="n">
        <v>46156</v>
      </c>
      <c r="C97" s="0" t="n">
        <v>199.17</v>
      </c>
      <c r="D97" s="0" t="n">
        <v>3</v>
      </c>
    </row>
    <row r="98" customFormat="false" ht="15" hidden="false" customHeight="false" outlineLevel="0" collapsed="false">
      <c r="A98" s="0" t="s">
        <v>176</v>
      </c>
      <c r="B98" s="2" t="n">
        <v>46157</v>
      </c>
      <c r="C98" s="0" t="n">
        <v>201.68</v>
      </c>
      <c r="D98" s="0" t="n">
        <v>3</v>
      </c>
    </row>
    <row r="99" customFormat="false" ht="15" hidden="false" customHeight="false" outlineLevel="0" collapsed="false">
      <c r="A99" s="0" t="s">
        <v>176</v>
      </c>
      <c r="B99" s="2" t="n">
        <v>46158</v>
      </c>
      <c r="C99" s="0" t="n">
        <v>165.75</v>
      </c>
      <c r="D99" s="0" t="n">
        <v>3</v>
      </c>
    </row>
    <row r="100" customFormat="false" ht="15" hidden="false" customHeight="false" outlineLevel="0" collapsed="false">
      <c r="A100" s="0" t="s">
        <v>176</v>
      </c>
      <c r="B100" s="2" t="n">
        <v>46159</v>
      </c>
      <c r="C100" s="0" t="n">
        <v>187.03</v>
      </c>
      <c r="D100" s="0" t="n">
        <v>3</v>
      </c>
    </row>
    <row r="101" customFormat="false" ht="15" hidden="false" customHeight="false" outlineLevel="0" collapsed="false">
      <c r="A101" s="0" t="s">
        <v>176</v>
      </c>
      <c r="B101" s="2" t="n">
        <v>46160</v>
      </c>
      <c r="C101" s="0" t="n">
        <v>192.61</v>
      </c>
      <c r="D101" s="0" t="n">
        <v>4</v>
      </c>
    </row>
    <row r="102" customFormat="false" ht="15" hidden="false" customHeight="false" outlineLevel="0" collapsed="false">
      <c r="A102" s="0" t="s">
        <v>176</v>
      </c>
      <c r="B102" s="2" t="n">
        <v>46161</v>
      </c>
      <c r="C102" s="0" t="n">
        <v>192.97</v>
      </c>
      <c r="D102" s="0" t="n">
        <v>3</v>
      </c>
    </row>
    <row r="103" customFormat="false" ht="15" hidden="false" customHeight="false" outlineLevel="0" collapsed="false">
      <c r="A103" s="0" t="s">
        <v>176</v>
      </c>
      <c r="B103" s="2" t="n">
        <v>46162</v>
      </c>
      <c r="C103" s="0" t="n">
        <v>163.58</v>
      </c>
      <c r="D103" s="0" t="n">
        <v>3</v>
      </c>
    </row>
    <row r="104" customFormat="false" ht="15" hidden="false" customHeight="false" outlineLevel="0" collapsed="false">
      <c r="A104" s="0" t="s">
        <v>176</v>
      </c>
      <c r="B104" s="2" t="n">
        <v>46163</v>
      </c>
      <c r="C104" s="0" t="n">
        <v>92.33</v>
      </c>
      <c r="D104" s="0" t="n">
        <v>2</v>
      </c>
    </row>
    <row r="105" customFormat="false" ht="15" hidden="false" customHeight="false" outlineLevel="0" collapsed="false">
      <c r="A105" s="0" t="s">
        <v>176</v>
      </c>
      <c r="B105" s="2" t="n">
        <v>46164</v>
      </c>
      <c r="C105" s="0" t="n">
        <v>79.66</v>
      </c>
      <c r="D105" s="0" t="n">
        <v>2</v>
      </c>
    </row>
    <row r="106" customFormat="false" ht="15" hidden="false" customHeight="false" outlineLevel="0" collapsed="false">
      <c r="A106" s="0" t="s">
        <v>176</v>
      </c>
      <c r="B106" s="2" t="n">
        <v>46165</v>
      </c>
      <c r="C106" s="0" t="n">
        <v>109.23</v>
      </c>
      <c r="D106" s="0" t="n">
        <v>3</v>
      </c>
    </row>
    <row r="107" customFormat="false" ht="15" hidden="false" customHeight="false" outlineLevel="0" collapsed="false">
      <c r="A107" s="0" t="s">
        <v>176</v>
      </c>
      <c r="B107" s="2" t="n">
        <v>46166</v>
      </c>
      <c r="C107" s="0" t="n">
        <v>102.6</v>
      </c>
      <c r="D107" s="0" t="n">
        <v>2</v>
      </c>
    </row>
    <row r="108" customFormat="false" ht="15" hidden="false" customHeight="false" outlineLevel="0" collapsed="false">
      <c r="A108" s="0" t="s">
        <v>176</v>
      </c>
      <c r="B108" s="2" t="n">
        <v>46167</v>
      </c>
      <c r="C108" s="0" t="n">
        <v>0</v>
      </c>
      <c r="D108" s="0" t="n">
        <v>0</v>
      </c>
    </row>
    <row r="109" customFormat="false" ht="15" hidden="false" customHeight="false" outlineLevel="0" collapsed="false">
      <c r="A109" s="0" t="s">
        <v>176</v>
      </c>
      <c r="B109" s="2" t="n">
        <v>46168</v>
      </c>
      <c r="C109" s="0" t="n">
        <v>92.52</v>
      </c>
      <c r="D109" s="0" t="n">
        <v>2</v>
      </c>
    </row>
    <row r="110" customFormat="false" ht="15" hidden="false" customHeight="false" outlineLevel="0" collapsed="false">
      <c r="A110" s="0" t="s">
        <v>176</v>
      </c>
      <c r="B110" s="2" t="n">
        <v>46169</v>
      </c>
      <c r="C110" s="0" t="n">
        <v>102.4</v>
      </c>
      <c r="D110" s="0" t="n">
        <v>2</v>
      </c>
    </row>
    <row r="111" customFormat="false" ht="15" hidden="false" customHeight="false" outlineLevel="0" collapsed="false">
      <c r="A111" s="0" t="s">
        <v>176</v>
      </c>
      <c r="B111" s="2" t="n">
        <v>46170</v>
      </c>
      <c r="C111" s="0" t="n">
        <v>86.1</v>
      </c>
      <c r="D111" s="0" t="n">
        <v>2</v>
      </c>
    </row>
    <row r="112" customFormat="false" ht="15" hidden="false" customHeight="false" outlineLevel="0" collapsed="false">
      <c r="A112" s="0" t="s">
        <v>176</v>
      </c>
      <c r="B112" s="2" t="n">
        <v>46171</v>
      </c>
      <c r="C112" s="0" t="n">
        <v>107.73</v>
      </c>
      <c r="D112" s="0" t="n">
        <v>3</v>
      </c>
    </row>
    <row r="113" customFormat="false" ht="15" hidden="false" customHeight="false" outlineLevel="0" collapsed="false">
      <c r="A113" s="0" t="s">
        <v>176</v>
      </c>
      <c r="B113" s="2" t="n">
        <v>46172</v>
      </c>
      <c r="C113" s="0" t="n">
        <v>112.25</v>
      </c>
      <c r="D113" s="0" t="n">
        <v>3</v>
      </c>
    </row>
    <row r="114" customFormat="false" ht="15" hidden="false" customHeight="false" outlineLevel="0" collapsed="false">
      <c r="A114" s="0" t="s">
        <v>176</v>
      </c>
      <c r="B114" s="2" t="n">
        <v>46173</v>
      </c>
      <c r="C114" s="0" t="n">
        <v>83.49</v>
      </c>
      <c r="D114" s="0" t="n">
        <v>2</v>
      </c>
    </row>
    <row r="115" customFormat="false" ht="15" hidden="false" customHeight="false" outlineLevel="0" collapsed="false">
      <c r="A115" s="0" t="s">
        <v>176</v>
      </c>
      <c r="B115" s="2" t="n">
        <v>46174</v>
      </c>
      <c r="C115" s="0" t="n">
        <v>80.08</v>
      </c>
      <c r="D115" s="0" t="n">
        <v>2</v>
      </c>
    </row>
    <row r="116" customFormat="false" ht="15" hidden="false" customHeight="false" outlineLevel="0" collapsed="false">
      <c r="A116" s="0" t="s">
        <v>176</v>
      </c>
      <c r="B116" s="2" t="n">
        <v>46175</v>
      </c>
      <c r="C116" s="0" t="n">
        <v>110.29</v>
      </c>
      <c r="D116" s="0" t="n">
        <v>3</v>
      </c>
    </row>
    <row r="117" customFormat="false" ht="15" hidden="false" customHeight="false" outlineLevel="0" collapsed="false">
      <c r="A117" s="0" t="s">
        <v>176</v>
      </c>
      <c r="B117" s="2" t="n">
        <v>46176</v>
      </c>
      <c r="C117" s="0" t="n">
        <v>101.31</v>
      </c>
      <c r="D117" s="0" t="n">
        <v>2</v>
      </c>
    </row>
    <row r="118" customFormat="false" ht="15" hidden="false" customHeight="false" outlineLevel="0" collapsed="false">
      <c r="A118" s="0" t="s">
        <v>176</v>
      </c>
      <c r="B118" s="2" t="n">
        <v>46177</v>
      </c>
      <c r="C118" s="0" t="n">
        <v>0</v>
      </c>
      <c r="D118" s="0" t="n">
        <v>0</v>
      </c>
    </row>
    <row r="119" customFormat="false" ht="15" hidden="false" customHeight="false" outlineLevel="0" collapsed="false">
      <c r="A119" s="0" t="s">
        <v>176</v>
      </c>
      <c r="B119" s="2" t="n">
        <v>46178</v>
      </c>
      <c r="C119" s="0" t="n">
        <v>93.46</v>
      </c>
      <c r="D119" s="0" t="n">
        <v>2</v>
      </c>
    </row>
    <row r="120" customFormat="false" ht="15" hidden="false" customHeight="false" outlineLevel="0" collapsed="false">
      <c r="A120" s="0" t="s">
        <v>176</v>
      </c>
      <c r="B120" s="2" t="n">
        <v>46179</v>
      </c>
      <c r="C120" s="0" t="n">
        <v>104.29</v>
      </c>
      <c r="D120" s="0" t="n">
        <v>3</v>
      </c>
    </row>
    <row r="121" customFormat="false" ht="15" hidden="false" customHeight="false" outlineLevel="0" collapsed="false">
      <c r="A121" s="0" t="s">
        <v>176</v>
      </c>
      <c r="B121" s="2" t="n">
        <v>46180</v>
      </c>
      <c r="C121" s="0" t="n">
        <v>112.35</v>
      </c>
      <c r="D121" s="0" t="n">
        <v>3</v>
      </c>
    </row>
    <row r="122" customFormat="false" ht="15" hidden="false" customHeight="false" outlineLevel="0" collapsed="false">
      <c r="A122" s="0" t="s">
        <v>176</v>
      </c>
      <c r="B122" s="2" t="n">
        <v>46181</v>
      </c>
      <c r="C122" s="0" t="n">
        <v>87.66</v>
      </c>
      <c r="D122" s="0" t="n">
        <v>2</v>
      </c>
    </row>
    <row r="123" customFormat="false" ht="15" hidden="false" customHeight="false" outlineLevel="0" collapsed="false">
      <c r="A123" s="0" t="s">
        <v>176</v>
      </c>
      <c r="B123" s="2" t="n">
        <v>46182</v>
      </c>
      <c r="C123" s="0" t="n">
        <v>89.34</v>
      </c>
      <c r="D123" s="0" t="n">
        <v>2</v>
      </c>
    </row>
    <row r="124" customFormat="false" ht="15" hidden="false" customHeight="false" outlineLevel="0" collapsed="false">
      <c r="A124" s="0" t="s">
        <v>176</v>
      </c>
      <c r="B124" s="2" t="n">
        <v>46183</v>
      </c>
      <c r="C124" s="0" t="n">
        <v>107.18</v>
      </c>
      <c r="D124" s="0" t="n">
        <v>3</v>
      </c>
    </row>
    <row r="125" customFormat="false" ht="15" hidden="false" customHeight="false" outlineLevel="0" collapsed="false">
      <c r="A125" s="0" t="s">
        <v>176</v>
      </c>
      <c r="B125" s="2" t="n">
        <v>46184</v>
      </c>
      <c r="C125" s="0" t="n">
        <v>83.96</v>
      </c>
      <c r="D125" s="0" t="n">
        <v>2</v>
      </c>
    </row>
    <row r="126" customFormat="false" ht="15" hidden="false" customHeight="false" outlineLevel="0" collapsed="false">
      <c r="A126" s="0" t="s">
        <v>176</v>
      </c>
      <c r="B126" s="2" t="n">
        <v>46185</v>
      </c>
      <c r="C126" s="0" t="n">
        <v>76.77</v>
      </c>
      <c r="D126" s="0" t="n">
        <v>2</v>
      </c>
    </row>
    <row r="127" customFormat="false" ht="15" hidden="false" customHeight="false" outlineLevel="0" collapsed="false">
      <c r="A127" s="0" t="s">
        <v>176</v>
      </c>
      <c r="B127" s="2" t="n">
        <v>46186</v>
      </c>
      <c r="C127" s="0" t="n">
        <v>92.93</v>
      </c>
      <c r="D127" s="0" t="n">
        <v>2</v>
      </c>
    </row>
    <row r="128" customFormat="false" ht="15" hidden="false" customHeight="false" outlineLevel="0" collapsed="false">
      <c r="A128" s="0" t="s">
        <v>176</v>
      </c>
      <c r="B128" s="2" t="n">
        <v>46187</v>
      </c>
      <c r="C128" s="0" t="n">
        <v>94.06</v>
      </c>
      <c r="D128" s="0" t="n">
        <v>2</v>
      </c>
    </row>
    <row r="129" customFormat="false" ht="15" hidden="false" customHeight="false" outlineLevel="0" collapsed="false">
      <c r="A129" s="0" t="s">
        <v>175</v>
      </c>
      <c r="B129" s="2" t="n">
        <v>46188</v>
      </c>
      <c r="C129" s="0" t="n">
        <v>0</v>
      </c>
      <c r="D129" s="0" t="n">
        <v>0</v>
      </c>
    </row>
    <row r="130" customFormat="false" ht="15" hidden="false" customHeight="false" outlineLevel="0" collapsed="false">
      <c r="A130" s="0" t="s">
        <v>177</v>
      </c>
      <c r="B130" s="2" t="n">
        <v>46188</v>
      </c>
      <c r="C130" s="0" t="n">
        <v>122.59</v>
      </c>
      <c r="D130" s="0" t="n">
        <v>3</v>
      </c>
    </row>
    <row r="131" customFormat="false" ht="15" hidden="false" customHeight="false" outlineLevel="0" collapsed="false">
      <c r="A131" s="0" t="s">
        <v>175</v>
      </c>
      <c r="B131" s="2" t="n">
        <v>46189</v>
      </c>
      <c r="C131" s="0" t="n">
        <v>76.35</v>
      </c>
      <c r="D131" s="0" t="n">
        <v>2</v>
      </c>
    </row>
    <row r="132" customFormat="false" ht="15" hidden="false" customHeight="false" outlineLevel="0" collapsed="false">
      <c r="A132" s="0" t="s">
        <v>177</v>
      </c>
      <c r="B132" s="2" t="n">
        <v>46189</v>
      </c>
      <c r="C132" s="0" t="n">
        <v>102.73</v>
      </c>
      <c r="D132" s="0" t="n">
        <v>3</v>
      </c>
    </row>
    <row r="133" customFormat="false" ht="15" hidden="false" customHeight="false" outlineLevel="0" collapsed="false">
      <c r="A133" s="0" t="s">
        <v>175</v>
      </c>
      <c r="B133" s="2" t="n">
        <v>46190</v>
      </c>
      <c r="C133" s="0" t="n">
        <v>0</v>
      </c>
      <c r="D133" s="0" t="n">
        <v>0</v>
      </c>
    </row>
    <row r="134" customFormat="false" ht="15" hidden="false" customHeight="false" outlineLevel="0" collapsed="false">
      <c r="A134" s="0" t="s">
        <v>177</v>
      </c>
      <c r="B134" s="2" t="n">
        <v>46190</v>
      </c>
      <c r="C134" s="0" t="n">
        <v>123.15</v>
      </c>
      <c r="D134" s="0" t="n">
        <v>3</v>
      </c>
    </row>
    <row r="135" customFormat="false" ht="15" hidden="false" customHeight="false" outlineLevel="0" collapsed="false">
      <c r="A135" s="0" t="s">
        <v>175</v>
      </c>
      <c r="B135" s="2" t="n">
        <v>46191</v>
      </c>
      <c r="C135" s="0" t="n">
        <v>0</v>
      </c>
      <c r="D135" s="0" t="n">
        <v>0</v>
      </c>
    </row>
    <row r="136" customFormat="false" ht="15" hidden="false" customHeight="false" outlineLevel="0" collapsed="false">
      <c r="A136" s="0" t="s">
        <v>177</v>
      </c>
      <c r="B136" s="2" t="n">
        <v>46191</v>
      </c>
      <c r="C136" s="0" t="n">
        <v>91.59</v>
      </c>
      <c r="D136" s="0" t="n">
        <v>2</v>
      </c>
    </row>
    <row r="137" customFormat="false" ht="15" hidden="false" customHeight="false" outlineLevel="0" collapsed="false">
      <c r="A137" s="0" t="s">
        <v>175</v>
      </c>
      <c r="B137" s="2" t="n">
        <v>46192</v>
      </c>
      <c r="C137" s="0" t="n">
        <v>83.51</v>
      </c>
      <c r="D137" s="0" t="n">
        <v>2</v>
      </c>
    </row>
    <row r="138" customFormat="false" ht="15" hidden="false" customHeight="false" outlineLevel="0" collapsed="false">
      <c r="A138" s="0" t="s">
        <v>177</v>
      </c>
      <c r="B138" s="2" t="n">
        <v>46192</v>
      </c>
      <c r="C138" s="0" t="n">
        <v>225.96</v>
      </c>
      <c r="D138" s="0" t="n">
        <v>4</v>
      </c>
    </row>
    <row r="139" customFormat="false" ht="15" hidden="false" customHeight="false" outlineLevel="0" collapsed="false">
      <c r="A139" s="0" t="s">
        <v>175</v>
      </c>
      <c r="B139" s="2" t="n">
        <v>46193</v>
      </c>
      <c r="C139" s="0" t="n">
        <v>81.18</v>
      </c>
      <c r="D139" s="0" t="n">
        <v>2</v>
      </c>
    </row>
    <row r="140" customFormat="false" ht="15" hidden="false" customHeight="false" outlineLevel="0" collapsed="false">
      <c r="A140" s="0" t="s">
        <v>177</v>
      </c>
      <c r="B140" s="2" t="n">
        <v>46193</v>
      </c>
      <c r="C140" s="0" t="n">
        <v>228.62</v>
      </c>
      <c r="D140" s="0" t="n">
        <v>4</v>
      </c>
    </row>
    <row r="141" customFormat="false" ht="15" hidden="false" customHeight="false" outlineLevel="0" collapsed="false">
      <c r="A141" s="0" t="s">
        <v>175</v>
      </c>
      <c r="B141" s="2" t="n">
        <v>46194</v>
      </c>
      <c r="C141" s="0" t="n">
        <v>0</v>
      </c>
      <c r="D141" s="0" t="n">
        <v>0</v>
      </c>
    </row>
    <row r="142" customFormat="false" ht="15" hidden="false" customHeight="false" outlineLevel="0" collapsed="false">
      <c r="A142" s="0" t="s">
        <v>177</v>
      </c>
      <c r="B142" s="2" t="n">
        <v>46194</v>
      </c>
      <c r="C142" s="0" t="n">
        <v>0</v>
      </c>
      <c r="D142" s="0" t="n">
        <v>0</v>
      </c>
    </row>
    <row r="143" customFormat="false" ht="15" hidden="false" customHeight="false" outlineLevel="0" collapsed="false">
      <c r="A143" s="0" t="s">
        <v>175</v>
      </c>
      <c r="B143" s="2" t="n">
        <v>46195</v>
      </c>
      <c r="C143" s="0" t="n">
        <v>0</v>
      </c>
      <c r="D143" s="0" t="n">
        <v>0</v>
      </c>
    </row>
    <row r="144" customFormat="false" ht="15" hidden="false" customHeight="false" outlineLevel="0" collapsed="false">
      <c r="A144" s="0" t="s">
        <v>177</v>
      </c>
      <c r="B144" s="2" t="n">
        <v>46195</v>
      </c>
      <c r="C144" s="0" t="n">
        <v>213.75</v>
      </c>
      <c r="D144" s="0" t="n">
        <v>4</v>
      </c>
    </row>
    <row r="145" customFormat="false" ht="15" hidden="false" customHeight="false" outlineLevel="0" collapsed="false">
      <c r="A145" s="0" t="s">
        <v>175</v>
      </c>
      <c r="B145" s="2" t="n">
        <v>46196</v>
      </c>
      <c r="C145" s="0" t="n">
        <v>0</v>
      </c>
      <c r="D145" s="0" t="n">
        <v>0</v>
      </c>
    </row>
    <row r="146" customFormat="false" ht="15" hidden="false" customHeight="false" outlineLevel="0" collapsed="false">
      <c r="A146" s="0" t="s">
        <v>177</v>
      </c>
      <c r="B146" s="2" t="n">
        <v>46196</v>
      </c>
      <c r="C146" s="0" t="n">
        <v>257.2</v>
      </c>
      <c r="D146" s="0" t="n">
        <v>4</v>
      </c>
    </row>
    <row r="147" customFormat="false" ht="15" hidden="false" customHeight="false" outlineLevel="0" collapsed="false">
      <c r="A147" s="0" t="s">
        <v>175</v>
      </c>
      <c r="B147" s="2" t="n">
        <v>46197</v>
      </c>
      <c r="C147" s="0" t="n">
        <v>75.79</v>
      </c>
      <c r="D147" s="0" t="n">
        <v>2</v>
      </c>
    </row>
    <row r="148" customFormat="false" ht="15" hidden="false" customHeight="false" outlineLevel="0" collapsed="false">
      <c r="A148" s="0" t="s">
        <v>177</v>
      </c>
      <c r="B148" s="2" t="n">
        <v>46197</v>
      </c>
      <c r="C148" s="0" t="n">
        <v>200.76</v>
      </c>
      <c r="D148" s="0" t="n">
        <v>4</v>
      </c>
    </row>
    <row r="149" customFormat="false" ht="15" hidden="false" customHeight="false" outlineLevel="0" collapsed="false">
      <c r="A149" s="0" t="s">
        <v>175</v>
      </c>
      <c r="B149" s="2" t="n">
        <v>46198</v>
      </c>
      <c r="C149" s="0" t="n">
        <v>81.86</v>
      </c>
      <c r="D149" s="0" t="n">
        <v>2</v>
      </c>
    </row>
    <row r="150" customFormat="false" ht="15" hidden="false" customHeight="false" outlineLevel="0" collapsed="false">
      <c r="A150" s="0" t="s">
        <v>177</v>
      </c>
      <c r="B150" s="2" t="n">
        <v>46198</v>
      </c>
      <c r="C150" s="0" t="n">
        <v>235.11</v>
      </c>
      <c r="D150" s="0" t="n">
        <v>4</v>
      </c>
    </row>
    <row r="151" customFormat="false" ht="15" hidden="false" customHeight="false" outlineLevel="0" collapsed="false">
      <c r="A151" s="0" t="s">
        <v>175</v>
      </c>
      <c r="B151" s="2" t="n">
        <v>46199</v>
      </c>
      <c r="C151" s="0" t="n">
        <v>52.27</v>
      </c>
      <c r="D151" s="0" t="n">
        <v>2</v>
      </c>
    </row>
    <row r="152" customFormat="false" ht="15" hidden="false" customHeight="false" outlineLevel="0" collapsed="false">
      <c r="A152" s="0" t="s">
        <v>177</v>
      </c>
      <c r="B152" s="2" t="n">
        <v>46199</v>
      </c>
      <c r="C152" s="0" t="n">
        <v>244.49</v>
      </c>
      <c r="D152" s="0" t="n">
        <v>4</v>
      </c>
    </row>
    <row r="153" customFormat="false" ht="15" hidden="false" customHeight="false" outlineLevel="0" collapsed="false">
      <c r="A153" s="0" t="s">
        <v>175</v>
      </c>
      <c r="B153" s="2" t="n">
        <v>46200</v>
      </c>
      <c r="C153" s="0" t="n">
        <v>56.82</v>
      </c>
      <c r="D153" s="0" t="n">
        <v>2</v>
      </c>
    </row>
    <row r="154" customFormat="false" ht="15" hidden="false" customHeight="false" outlineLevel="0" collapsed="false">
      <c r="A154" s="0" t="s">
        <v>177</v>
      </c>
      <c r="B154" s="2" t="n">
        <v>46200</v>
      </c>
      <c r="C154" s="0" t="n">
        <v>195.91</v>
      </c>
      <c r="D154" s="0" t="n">
        <v>4</v>
      </c>
    </row>
    <row r="155" customFormat="false" ht="15" hidden="false" customHeight="false" outlineLevel="0" collapsed="false">
      <c r="A155" s="0" t="s">
        <v>175</v>
      </c>
      <c r="B155" s="2" t="n">
        <v>46201</v>
      </c>
      <c r="C155" s="0" t="n">
        <v>46.83</v>
      </c>
      <c r="D155" s="0" t="n">
        <v>2</v>
      </c>
    </row>
    <row r="156" customFormat="false" ht="15" hidden="false" customHeight="false" outlineLevel="0" collapsed="false">
      <c r="A156" s="0" t="s">
        <v>177</v>
      </c>
      <c r="B156" s="2" t="n">
        <v>46201</v>
      </c>
      <c r="C156" s="0" t="n">
        <v>218.33</v>
      </c>
      <c r="D156" s="0" t="n">
        <v>4</v>
      </c>
    </row>
    <row r="157" customFormat="false" ht="15" hidden="false" customHeight="false" outlineLevel="0" collapsed="false">
      <c r="A157" s="0" t="s">
        <v>175</v>
      </c>
      <c r="B157" s="2" t="n">
        <v>46202</v>
      </c>
      <c r="C157" s="0" t="n">
        <v>0</v>
      </c>
      <c r="D157" s="0" t="n">
        <v>0</v>
      </c>
    </row>
    <row r="158" customFormat="false" ht="15" hidden="false" customHeight="false" outlineLevel="0" collapsed="false">
      <c r="A158" s="0" t="s">
        <v>177</v>
      </c>
      <c r="B158" s="2" t="n">
        <v>46202</v>
      </c>
      <c r="C158" s="0" t="n">
        <v>0</v>
      </c>
      <c r="D158" s="0" t="n">
        <v>0</v>
      </c>
    </row>
    <row r="159" customFormat="false" ht="15" hidden="false" customHeight="false" outlineLevel="0" collapsed="false">
      <c r="A159" s="0" t="s">
        <v>175</v>
      </c>
      <c r="B159" s="2" t="n">
        <v>46203</v>
      </c>
      <c r="C159" s="0" t="n">
        <v>67.27</v>
      </c>
      <c r="D159" s="0" t="n">
        <v>2</v>
      </c>
    </row>
    <row r="160" customFormat="false" ht="15" hidden="false" customHeight="false" outlineLevel="0" collapsed="false">
      <c r="A160" s="0" t="s">
        <v>177</v>
      </c>
      <c r="B160" s="2" t="n">
        <v>46203</v>
      </c>
      <c r="C160" s="0" t="n">
        <v>240.15</v>
      </c>
      <c r="D160" s="0" t="n">
        <v>4</v>
      </c>
    </row>
    <row r="161" customFormat="false" ht="15" hidden="false" customHeight="false" outlineLevel="0" collapsed="false">
      <c r="A161" s="0" t="s">
        <v>175</v>
      </c>
      <c r="B161" s="2" t="n">
        <v>46204</v>
      </c>
      <c r="C161" s="0" t="n">
        <v>58.97</v>
      </c>
      <c r="D161" s="0" t="n">
        <v>2</v>
      </c>
    </row>
    <row r="162" customFormat="false" ht="15" hidden="false" customHeight="false" outlineLevel="0" collapsed="false">
      <c r="A162" s="0" t="s">
        <v>177</v>
      </c>
      <c r="B162" s="2" t="n">
        <v>46204</v>
      </c>
      <c r="C162" s="0" t="n">
        <v>233.6</v>
      </c>
      <c r="D162" s="0" t="n">
        <v>4</v>
      </c>
    </row>
    <row r="163" customFormat="false" ht="15" hidden="false" customHeight="false" outlineLevel="0" collapsed="false">
      <c r="A163" s="0" t="s">
        <v>175</v>
      </c>
      <c r="B163" s="2" t="n">
        <v>46205</v>
      </c>
      <c r="C163" s="0" t="n">
        <v>56.81</v>
      </c>
      <c r="D163" s="0" t="n">
        <v>2</v>
      </c>
    </row>
    <row r="164" customFormat="false" ht="15" hidden="false" customHeight="false" outlineLevel="0" collapsed="false">
      <c r="A164" s="0" t="s">
        <v>177</v>
      </c>
      <c r="B164" s="2" t="n">
        <v>46205</v>
      </c>
      <c r="C164" s="0" t="n">
        <v>225.38</v>
      </c>
      <c r="D164" s="0" t="n">
        <v>4</v>
      </c>
    </row>
    <row r="165" customFormat="false" ht="15" hidden="false" customHeight="false" outlineLevel="0" collapsed="false">
      <c r="A165" s="0" t="s">
        <v>175</v>
      </c>
      <c r="B165" s="2" t="n">
        <v>46206</v>
      </c>
      <c r="C165" s="0" t="n">
        <v>76.77</v>
      </c>
      <c r="D165" s="0" t="n">
        <v>2</v>
      </c>
    </row>
    <row r="166" customFormat="false" ht="15" hidden="false" customHeight="false" outlineLevel="0" collapsed="false">
      <c r="A166" s="0" t="s">
        <v>177</v>
      </c>
      <c r="B166" s="2" t="n">
        <v>46206</v>
      </c>
      <c r="C166" s="0" t="n">
        <v>231.32</v>
      </c>
      <c r="D166" s="0" t="n">
        <v>4</v>
      </c>
    </row>
    <row r="167" customFormat="false" ht="15" hidden="false" customHeight="false" outlineLevel="0" collapsed="false">
      <c r="A167" s="0" t="s">
        <v>175</v>
      </c>
      <c r="B167" s="2" t="n">
        <v>46207</v>
      </c>
      <c r="C167" s="0" t="n">
        <v>58.76</v>
      </c>
      <c r="D167" s="0" t="n">
        <v>2</v>
      </c>
    </row>
    <row r="168" customFormat="false" ht="15" hidden="false" customHeight="false" outlineLevel="0" collapsed="false">
      <c r="A168" s="0" t="s">
        <v>177</v>
      </c>
      <c r="B168" s="2" t="n">
        <v>46207</v>
      </c>
      <c r="C168" s="0" t="n">
        <v>250</v>
      </c>
      <c r="D168" s="0" t="n">
        <v>4</v>
      </c>
    </row>
    <row r="169" customFormat="false" ht="15" hidden="false" customHeight="false" outlineLevel="0" collapsed="false">
      <c r="A169" s="0" t="s">
        <v>175</v>
      </c>
      <c r="B169" s="2" t="n">
        <v>46208</v>
      </c>
      <c r="C169" s="0" t="n">
        <v>30.7</v>
      </c>
      <c r="D169" s="0" t="n">
        <v>2</v>
      </c>
    </row>
    <row r="170" customFormat="false" ht="15" hidden="false" customHeight="false" outlineLevel="0" collapsed="false">
      <c r="A170" s="0" t="s">
        <v>176</v>
      </c>
      <c r="B170" s="2" t="n">
        <v>46208</v>
      </c>
      <c r="C170" s="0" t="n">
        <v>107.74</v>
      </c>
      <c r="D170" s="0" t="n">
        <v>3</v>
      </c>
    </row>
    <row r="171" customFormat="false" ht="15" hidden="false" customHeight="false" outlineLevel="0" collapsed="false">
      <c r="A171" s="0" t="s">
        <v>177</v>
      </c>
      <c r="B171" s="2" t="n">
        <v>46208</v>
      </c>
      <c r="C171" s="0" t="n">
        <v>98.83</v>
      </c>
      <c r="D171" s="0" t="n">
        <v>3</v>
      </c>
    </row>
    <row r="172" customFormat="false" ht="15" hidden="false" customHeight="false" outlineLevel="0" collapsed="false">
      <c r="A172" s="0" t="s">
        <v>175</v>
      </c>
      <c r="B172" s="2" t="n">
        <v>46209</v>
      </c>
      <c r="C172" s="0" t="n">
        <v>42.67</v>
      </c>
      <c r="D172" s="0" t="n">
        <v>2</v>
      </c>
    </row>
    <row r="173" customFormat="false" ht="15" hidden="false" customHeight="false" outlineLevel="0" collapsed="false">
      <c r="A173" s="0" t="s">
        <v>176</v>
      </c>
      <c r="B173" s="2" t="n">
        <v>46209</v>
      </c>
      <c r="C173" s="0" t="n">
        <v>115.84</v>
      </c>
      <c r="D173" s="0" t="n">
        <v>3</v>
      </c>
    </row>
    <row r="174" customFormat="false" ht="15" hidden="false" customHeight="false" outlineLevel="0" collapsed="false">
      <c r="A174" s="0" t="s">
        <v>177</v>
      </c>
      <c r="B174" s="2" t="n">
        <v>46209</v>
      </c>
      <c r="C174" s="0" t="n">
        <v>109.15</v>
      </c>
      <c r="D174" s="0" t="n">
        <v>3</v>
      </c>
    </row>
    <row r="175" customFormat="false" ht="15" hidden="false" customHeight="false" outlineLevel="0" collapsed="false">
      <c r="A175" s="0" t="s">
        <v>175</v>
      </c>
      <c r="B175" s="2" t="n">
        <v>46210</v>
      </c>
      <c r="C175" s="0" t="n">
        <v>50.76</v>
      </c>
      <c r="D175" s="0" t="n">
        <v>2</v>
      </c>
    </row>
    <row r="176" customFormat="false" ht="15" hidden="false" customHeight="false" outlineLevel="0" collapsed="false">
      <c r="A176" s="0" t="s">
        <v>176</v>
      </c>
      <c r="B176" s="2" t="n">
        <v>46210</v>
      </c>
      <c r="C176" s="0" t="n">
        <v>100.85</v>
      </c>
      <c r="D176" s="0" t="n">
        <v>3</v>
      </c>
    </row>
    <row r="177" customFormat="false" ht="15" hidden="false" customHeight="false" outlineLevel="0" collapsed="false">
      <c r="A177" s="0" t="s">
        <v>177</v>
      </c>
      <c r="B177" s="2" t="n">
        <v>46210</v>
      </c>
      <c r="C177" s="0" t="n">
        <v>109.41</v>
      </c>
      <c r="D177" s="0" t="n">
        <v>3</v>
      </c>
    </row>
    <row r="178" customFormat="false" ht="15" hidden="false" customHeight="false" outlineLevel="0" collapsed="false">
      <c r="A178" s="0" t="s">
        <v>175</v>
      </c>
      <c r="B178" s="2" t="n">
        <v>46211</v>
      </c>
      <c r="C178" s="0" t="n">
        <v>29.77</v>
      </c>
      <c r="D178" s="0" t="n">
        <v>2</v>
      </c>
    </row>
    <row r="179" customFormat="false" ht="15" hidden="false" customHeight="false" outlineLevel="0" collapsed="false">
      <c r="A179" s="0" t="s">
        <v>176</v>
      </c>
      <c r="B179" s="2" t="n">
        <v>46211</v>
      </c>
      <c r="C179" s="0" t="n">
        <v>100.9</v>
      </c>
      <c r="D179" s="0" t="n">
        <v>3</v>
      </c>
    </row>
    <row r="180" customFormat="false" ht="15" hidden="false" customHeight="false" outlineLevel="0" collapsed="false">
      <c r="A180" s="0" t="s">
        <v>177</v>
      </c>
      <c r="B180" s="2" t="n">
        <v>46211</v>
      </c>
      <c r="C180" s="0" t="n">
        <v>113.8</v>
      </c>
      <c r="D180" s="0" t="n">
        <v>3</v>
      </c>
    </row>
    <row r="181" customFormat="false" ht="15" hidden="false" customHeight="false" outlineLevel="0" collapsed="false">
      <c r="A181" s="0" t="s">
        <v>175</v>
      </c>
      <c r="B181" s="2" t="n">
        <v>46212</v>
      </c>
      <c r="C181" s="0" t="n">
        <v>45.53</v>
      </c>
      <c r="D181" s="0" t="n">
        <v>2</v>
      </c>
    </row>
    <row r="182" customFormat="false" ht="15" hidden="false" customHeight="false" outlineLevel="0" collapsed="false">
      <c r="A182" s="0" t="s">
        <v>176</v>
      </c>
      <c r="B182" s="2" t="n">
        <v>46212</v>
      </c>
      <c r="C182" s="0" t="n">
        <v>120.66</v>
      </c>
      <c r="D182" s="0" t="n">
        <v>3</v>
      </c>
    </row>
    <row r="183" customFormat="false" ht="15" hidden="false" customHeight="false" outlineLevel="0" collapsed="false">
      <c r="A183" s="0" t="s">
        <v>177</v>
      </c>
      <c r="B183" s="2" t="n">
        <v>46212</v>
      </c>
      <c r="C183" s="0" t="n">
        <v>100.89</v>
      </c>
      <c r="D183" s="0" t="n">
        <v>3</v>
      </c>
    </row>
    <row r="184" customFormat="false" ht="15" hidden="false" customHeight="false" outlineLevel="0" collapsed="false">
      <c r="A184" s="0" t="s">
        <v>175</v>
      </c>
      <c r="B184" s="2" t="n">
        <v>46213</v>
      </c>
      <c r="C184" s="0" t="n">
        <v>64.39</v>
      </c>
      <c r="D184" s="0" t="n">
        <v>2</v>
      </c>
    </row>
    <row r="185" customFormat="false" ht="15" hidden="false" customHeight="false" outlineLevel="0" collapsed="false">
      <c r="A185" s="0" t="s">
        <v>176</v>
      </c>
      <c r="B185" s="2" t="n">
        <v>46213</v>
      </c>
      <c r="C185" s="0" t="n">
        <v>119.76</v>
      </c>
      <c r="D185" s="0" t="n">
        <v>3</v>
      </c>
    </row>
    <row r="186" customFormat="false" ht="15" hidden="false" customHeight="false" outlineLevel="0" collapsed="false">
      <c r="A186" s="0" t="s">
        <v>177</v>
      </c>
      <c r="B186" s="2" t="n">
        <v>46213</v>
      </c>
      <c r="C186" s="0" t="n">
        <v>90.97</v>
      </c>
      <c r="D186" s="0" t="n">
        <v>2</v>
      </c>
    </row>
    <row r="187" customFormat="false" ht="15" hidden="false" customHeight="false" outlineLevel="0" collapsed="false">
      <c r="A187" s="0" t="s">
        <v>175</v>
      </c>
      <c r="B187" s="2" t="n">
        <v>46214</v>
      </c>
      <c r="C187" s="0" t="n">
        <v>44.67</v>
      </c>
      <c r="D187" s="0" t="n">
        <v>2</v>
      </c>
    </row>
    <row r="188" customFormat="false" ht="15" hidden="false" customHeight="false" outlineLevel="0" collapsed="false">
      <c r="A188" s="0" t="s">
        <v>176</v>
      </c>
      <c r="B188" s="2" t="n">
        <v>46214</v>
      </c>
      <c r="C188" s="0" t="n">
        <v>110.21</v>
      </c>
      <c r="D188" s="0" t="n">
        <v>3</v>
      </c>
    </row>
    <row r="189" customFormat="false" ht="15" hidden="false" customHeight="false" outlineLevel="0" collapsed="false">
      <c r="A189" s="0" t="s">
        <v>177</v>
      </c>
      <c r="B189" s="2" t="n">
        <v>46214</v>
      </c>
      <c r="C189" s="0" t="n">
        <v>136.69</v>
      </c>
      <c r="D189" s="0" t="n">
        <v>3</v>
      </c>
    </row>
    <row r="190" customFormat="false" ht="15" hidden="false" customHeight="false" outlineLevel="0" collapsed="false">
      <c r="A190" s="0" t="s">
        <v>175</v>
      </c>
      <c r="B190" s="2" t="n">
        <v>46215</v>
      </c>
      <c r="C190" s="0" t="n">
        <v>44.68</v>
      </c>
      <c r="D190" s="0" t="n">
        <v>2</v>
      </c>
    </row>
    <row r="191" customFormat="false" ht="15" hidden="false" customHeight="false" outlineLevel="0" collapsed="false">
      <c r="A191" s="0" t="s">
        <v>176</v>
      </c>
      <c r="B191" s="2" t="n">
        <v>46215</v>
      </c>
      <c r="C191" s="0" t="n">
        <v>110.11</v>
      </c>
      <c r="D191" s="0" t="n">
        <v>3</v>
      </c>
    </row>
    <row r="192" customFormat="false" ht="15" hidden="false" customHeight="false" outlineLevel="0" collapsed="false">
      <c r="A192" s="0" t="s">
        <v>177</v>
      </c>
      <c r="B192" s="2" t="n">
        <v>46215</v>
      </c>
      <c r="C192" s="0" t="n">
        <v>134.02</v>
      </c>
      <c r="D192" s="0" t="n">
        <v>3</v>
      </c>
    </row>
    <row r="193" customFormat="false" ht="15" hidden="false" customHeight="false" outlineLevel="0" collapsed="false">
      <c r="A193" s="0" t="s">
        <v>175</v>
      </c>
      <c r="B193" s="2" t="n">
        <v>46216</v>
      </c>
      <c r="C193" s="0" t="n">
        <v>61.78</v>
      </c>
      <c r="D193" s="0" t="n">
        <v>2</v>
      </c>
    </row>
    <row r="194" customFormat="false" ht="15" hidden="false" customHeight="false" outlineLevel="0" collapsed="false">
      <c r="A194" s="0" t="s">
        <v>176</v>
      </c>
      <c r="B194" s="2" t="n">
        <v>46216</v>
      </c>
      <c r="C194" s="0" t="n">
        <v>128.26</v>
      </c>
      <c r="D194" s="0" t="n">
        <v>3</v>
      </c>
    </row>
    <row r="195" customFormat="false" ht="15" hidden="false" customHeight="false" outlineLevel="0" collapsed="false">
      <c r="A195" s="0" t="s">
        <v>177</v>
      </c>
      <c r="B195" s="2" t="n">
        <v>46216</v>
      </c>
      <c r="C195" s="0" t="n">
        <v>110.45</v>
      </c>
      <c r="D195" s="0" t="n">
        <v>3</v>
      </c>
    </row>
    <row r="196" customFormat="false" ht="15" hidden="false" customHeight="false" outlineLevel="0" collapsed="false">
      <c r="A196" s="0" t="s">
        <v>175</v>
      </c>
      <c r="B196" s="2" t="n">
        <v>46217</v>
      </c>
      <c r="C196" s="0" t="n">
        <v>48.28</v>
      </c>
      <c r="D196" s="0" t="n">
        <v>2</v>
      </c>
    </row>
    <row r="197" customFormat="false" ht="15" hidden="false" customHeight="false" outlineLevel="0" collapsed="false">
      <c r="A197" s="0" t="s">
        <v>176</v>
      </c>
      <c r="B197" s="2" t="n">
        <v>46217</v>
      </c>
      <c r="C197" s="0" t="n">
        <v>121.92</v>
      </c>
      <c r="D197" s="0" t="n">
        <v>3</v>
      </c>
    </row>
    <row r="198" customFormat="false" ht="15" hidden="false" customHeight="false" outlineLevel="0" collapsed="false">
      <c r="A198" s="0" t="s">
        <v>177</v>
      </c>
      <c r="B198" s="2" t="n">
        <v>46217</v>
      </c>
      <c r="C198" s="0" t="n">
        <v>115.98</v>
      </c>
      <c r="D198" s="0" t="n">
        <v>3</v>
      </c>
    </row>
    <row r="199" customFormat="false" ht="15" hidden="false" customHeight="false" outlineLevel="0" collapsed="false">
      <c r="A199" s="0" t="s">
        <v>175</v>
      </c>
      <c r="B199" s="2" t="n">
        <v>46218</v>
      </c>
      <c r="C199" s="0" t="n">
        <v>107.6</v>
      </c>
      <c r="D199" s="0" t="n">
        <v>3</v>
      </c>
    </row>
    <row r="200" customFormat="false" ht="15" hidden="false" customHeight="false" outlineLevel="0" collapsed="false">
      <c r="A200" s="0" t="s">
        <v>176</v>
      </c>
      <c r="B200" s="2" t="n">
        <v>46218</v>
      </c>
      <c r="C200" s="0" t="n">
        <v>115.72</v>
      </c>
      <c r="D200" s="0" t="n">
        <v>3</v>
      </c>
    </row>
    <row r="201" customFormat="false" ht="15" hidden="false" customHeight="false" outlineLevel="0" collapsed="false">
      <c r="A201" s="0" t="s">
        <v>177</v>
      </c>
      <c r="B201" s="2" t="n">
        <v>46218</v>
      </c>
      <c r="C201" s="0" t="n">
        <v>124.01</v>
      </c>
      <c r="D201" s="0" t="n">
        <v>3</v>
      </c>
    </row>
    <row r="202" customFormat="false" ht="15" hidden="false" customHeight="false" outlineLevel="0" collapsed="false">
      <c r="A202" s="0" t="s">
        <v>175</v>
      </c>
      <c r="B202" s="2" t="n">
        <v>46219</v>
      </c>
      <c r="C202" s="0" t="n">
        <v>103.62</v>
      </c>
      <c r="D202" s="0" t="n">
        <v>3</v>
      </c>
    </row>
    <row r="203" customFormat="false" ht="15" hidden="false" customHeight="false" outlineLevel="0" collapsed="false">
      <c r="A203" s="0" t="s">
        <v>176</v>
      </c>
      <c r="B203" s="2" t="n">
        <v>46219</v>
      </c>
      <c r="C203" s="0" t="n">
        <v>129.58</v>
      </c>
      <c r="D203" s="0" t="n">
        <v>3</v>
      </c>
    </row>
    <row r="204" customFormat="false" ht="15" hidden="false" customHeight="false" outlineLevel="0" collapsed="false">
      <c r="A204" s="0" t="s">
        <v>177</v>
      </c>
      <c r="B204" s="2" t="n">
        <v>46219</v>
      </c>
      <c r="C204" s="0" t="n">
        <v>109.79</v>
      </c>
      <c r="D204" s="0" t="n">
        <v>3</v>
      </c>
    </row>
    <row r="205" customFormat="false" ht="15" hidden="false" customHeight="false" outlineLevel="0" collapsed="false">
      <c r="A205" s="0" t="s">
        <v>175</v>
      </c>
      <c r="B205" s="2" t="n">
        <v>46220</v>
      </c>
      <c r="C205" s="0" t="n">
        <v>77.06</v>
      </c>
      <c r="D205" s="0" t="n">
        <v>2</v>
      </c>
    </row>
    <row r="206" customFormat="false" ht="15" hidden="false" customHeight="false" outlineLevel="0" collapsed="false">
      <c r="A206" s="0" t="s">
        <v>176</v>
      </c>
      <c r="B206" s="2" t="n">
        <v>46220</v>
      </c>
      <c r="C206" s="0" t="n">
        <v>101.56</v>
      </c>
      <c r="D206" s="0" t="n">
        <v>2</v>
      </c>
    </row>
    <row r="207" customFormat="false" ht="15" hidden="false" customHeight="false" outlineLevel="0" collapsed="false">
      <c r="A207" s="0" t="s">
        <v>177</v>
      </c>
      <c r="B207" s="2" t="n">
        <v>46220</v>
      </c>
      <c r="C207" s="0" t="n">
        <v>111.61</v>
      </c>
      <c r="D207" s="0" t="n">
        <v>3</v>
      </c>
    </row>
    <row r="208" customFormat="false" ht="15" hidden="false" customHeight="false" outlineLevel="0" collapsed="false">
      <c r="A208" s="0" t="s">
        <v>175</v>
      </c>
      <c r="B208" s="2" t="n">
        <v>46221</v>
      </c>
      <c r="C208" s="0" t="n">
        <v>91.54</v>
      </c>
      <c r="D208" s="0" t="n">
        <v>2</v>
      </c>
    </row>
    <row r="209" customFormat="false" ht="15" hidden="false" customHeight="false" outlineLevel="0" collapsed="false">
      <c r="A209" s="0" t="s">
        <v>176</v>
      </c>
      <c r="B209" s="2" t="n">
        <v>46221</v>
      </c>
      <c r="C209" s="0" t="n">
        <v>117.74</v>
      </c>
      <c r="D209" s="0" t="n">
        <v>3</v>
      </c>
    </row>
    <row r="210" customFormat="false" ht="15" hidden="false" customHeight="false" outlineLevel="0" collapsed="false">
      <c r="A210" s="0" t="s">
        <v>177</v>
      </c>
      <c r="B210" s="2" t="n">
        <v>46221</v>
      </c>
      <c r="C210" s="0" t="n">
        <v>117.07</v>
      </c>
      <c r="D210" s="0" t="n">
        <v>3</v>
      </c>
    </row>
    <row r="211" customFormat="false" ht="15" hidden="false" customHeight="false" outlineLevel="0" collapsed="false">
      <c r="A211" s="0" t="s">
        <v>175</v>
      </c>
      <c r="B211" s="2" t="n">
        <v>46222</v>
      </c>
      <c r="C211" s="0" t="n">
        <v>90.44</v>
      </c>
      <c r="D211" s="0" t="n">
        <v>2</v>
      </c>
    </row>
    <row r="212" customFormat="false" ht="15" hidden="false" customHeight="false" outlineLevel="0" collapsed="false">
      <c r="A212" s="0" t="s">
        <v>177</v>
      </c>
      <c r="B212" s="2" t="n">
        <v>46222</v>
      </c>
      <c r="C212" s="0" t="n">
        <v>112.39</v>
      </c>
      <c r="D212" s="0" t="n">
        <v>3</v>
      </c>
    </row>
    <row r="213" customFormat="false" ht="15" hidden="false" customHeight="false" outlineLevel="0" collapsed="false">
      <c r="A213" s="0" t="s">
        <v>175</v>
      </c>
      <c r="B213" s="2" t="n">
        <v>46223</v>
      </c>
      <c r="C213" s="0" t="n">
        <v>89.87</v>
      </c>
      <c r="D213" s="0" t="n">
        <v>2</v>
      </c>
    </row>
    <row r="214" customFormat="false" ht="15" hidden="false" customHeight="false" outlineLevel="0" collapsed="false">
      <c r="A214" s="0" t="s">
        <v>177</v>
      </c>
      <c r="B214" s="2" t="n">
        <v>46223</v>
      </c>
      <c r="C214" s="0" t="n">
        <v>113.32</v>
      </c>
      <c r="D214" s="0" t="n">
        <v>3</v>
      </c>
    </row>
    <row r="215" customFormat="false" ht="15" hidden="false" customHeight="false" outlineLevel="0" collapsed="false">
      <c r="A215" s="0" t="s">
        <v>175</v>
      </c>
      <c r="B215" s="2" t="n">
        <v>46224</v>
      </c>
      <c r="C215" s="0" t="n">
        <v>109.74</v>
      </c>
      <c r="D215" s="0" t="n">
        <v>3</v>
      </c>
    </row>
    <row r="216" customFormat="false" ht="15" hidden="false" customHeight="false" outlineLevel="0" collapsed="false">
      <c r="A216" s="0" t="s">
        <v>177</v>
      </c>
      <c r="B216" s="2" t="n">
        <v>46224</v>
      </c>
      <c r="C216" s="0" t="n">
        <v>111.48</v>
      </c>
      <c r="D216" s="0" t="n">
        <v>3</v>
      </c>
    </row>
    <row r="217" customFormat="false" ht="15" hidden="false" customHeight="false" outlineLevel="0" collapsed="false">
      <c r="A217" s="0" t="s">
        <v>175</v>
      </c>
      <c r="B217" s="2" t="n">
        <v>46225</v>
      </c>
      <c r="C217" s="0" t="n">
        <v>103.73</v>
      </c>
      <c r="D217" s="0" t="n">
        <v>3</v>
      </c>
    </row>
    <row r="218" customFormat="false" ht="15" hidden="false" customHeight="false" outlineLevel="0" collapsed="false">
      <c r="A218" s="0" t="s">
        <v>177</v>
      </c>
      <c r="B218" s="2" t="n">
        <v>46225</v>
      </c>
      <c r="C218" s="0" t="n">
        <v>123.56</v>
      </c>
      <c r="D218" s="0" t="n">
        <v>3</v>
      </c>
    </row>
    <row r="219" customFormat="false" ht="15" hidden="false" customHeight="false" outlineLevel="0" collapsed="false">
      <c r="A219" s="0" t="s">
        <v>175</v>
      </c>
      <c r="B219" s="2" t="n">
        <v>46226</v>
      </c>
      <c r="C219" s="0" t="n">
        <v>88.14</v>
      </c>
      <c r="D219" s="0" t="n">
        <v>2</v>
      </c>
    </row>
    <row r="220" customFormat="false" ht="15" hidden="false" customHeight="false" outlineLevel="0" collapsed="false">
      <c r="A220" s="0" t="s">
        <v>177</v>
      </c>
      <c r="B220" s="2" t="n">
        <v>46226</v>
      </c>
      <c r="C220" s="0" t="n">
        <v>93.54</v>
      </c>
      <c r="D220" s="0" t="n">
        <v>2</v>
      </c>
    </row>
    <row r="221" customFormat="false" ht="15" hidden="false" customHeight="false" outlineLevel="0" collapsed="false">
      <c r="A221" s="0" t="s">
        <v>175</v>
      </c>
      <c r="B221" s="2" t="n">
        <v>46227</v>
      </c>
      <c r="C221" s="0" t="n">
        <v>99.73</v>
      </c>
      <c r="D221" s="0" t="n">
        <v>3</v>
      </c>
    </row>
    <row r="222" customFormat="false" ht="15" hidden="false" customHeight="false" outlineLevel="0" collapsed="false">
      <c r="A222" s="0" t="s">
        <v>177</v>
      </c>
      <c r="B222" s="2" t="n">
        <v>46227</v>
      </c>
      <c r="C222" s="0" t="n">
        <v>132.33</v>
      </c>
      <c r="D222" s="0" t="n">
        <v>3</v>
      </c>
    </row>
    <row r="223" customFormat="false" ht="15" hidden="false" customHeight="false" outlineLevel="0" collapsed="false">
      <c r="A223" s="0" t="s">
        <v>175</v>
      </c>
      <c r="B223" s="2" t="n">
        <v>46228</v>
      </c>
      <c r="C223" s="0" t="n">
        <v>42.16</v>
      </c>
      <c r="D223" s="0" t="n">
        <v>2</v>
      </c>
    </row>
    <row r="224" customFormat="false" ht="15" hidden="false" customHeight="false" outlineLevel="0" collapsed="false">
      <c r="A224" s="0" t="s">
        <v>177</v>
      </c>
      <c r="B224" s="2" t="n">
        <v>46228</v>
      </c>
      <c r="C224" s="0" t="n">
        <v>105.76</v>
      </c>
      <c r="D224" s="0" t="n">
        <v>3</v>
      </c>
    </row>
    <row r="225" customFormat="false" ht="15" hidden="false" customHeight="false" outlineLevel="0" collapsed="false">
      <c r="A225" s="0" t="s">
        <v>175</v>
      </c>
      <c r="B225" s="2" t="n">
        <v>46229</v>
      </c>
      <c r="C225" s="0" t="n">
        <v>41.4</v>
      </c>
      <c r="D225" s="0" t="n">
        <v>2</v>
      </c>
    </row>
    <row r="226" customFormat="false" ht="15" hidden="false" customHeight="false" outlineLevel="0" collapsed="false">
      <c r="A226" s="0" t="s">
        <v>177</v>
      </c>
      <c r="B226" s="2" t="n">
        <v>46229</v>
      </c>
      <c r="C226" s="0" t="n">
        <v>129.53</v>
      </c>
      <c r="D226" s="0" t="n">
        <v>3</v>
      </c>
    </row>
    <row r="227" customFormat="false" ht="15" hidden="false" customHeight="false" outlineLevel="0" collapsed="false">
      <c r="A227" s="0" t="s">
        <v>175</v>
      </c>
      <c r="B227" s="2" t="n">
        <v>46230</v>
      </c>
      <c r="C227" s="0" t="n">
        <v>56.3</v>
      </c>
      <c r="D227" s="0" t="n">
        <v>2</v>
      </c>
    </row>
    <row r="228" customFormat="false" ht="15" hidden="false" customHeight="false" outlineLevel="0" collapsed="false">
      <c r="A228" s="0" t="s">
        <v>177</v>
      </c>
      <c r="B228" s="2" t="n">
        <v>46230</v>
      </c>
      <c r="C228" s="0" t="n">
        <v>97.27</v>
      </c>
      <c r="D228" s="0" t="n">
        <v>2</v>
      </c>
    </row>
    <row r="229" customFormat="false" ht="15" hidden="false" customHeight="false" outlineLevel="0" collapsed="false">
      <c r="A229" s="0" t="s">
        <v>175</v>
      </c>
      <c r="B229" s="2" t="n">
        <v>46231</v>
      </c>
      <c r="C229" s="0" t="n">
        <v>61.72</v>
      </c>
      <c r="D229" s="0" t="n">
        <v>2</v>
      </c>
    </row>
    <row r="230" customFormat="false" ht="15" hidden="false" customHeight="false" outlineLevel="0" collapsed="false">
      <c r="A230" s="0" t="s">
        <v>177</v>
      </c>
      <c r="B230" s="2" t="n">
        <v>46231</v>
      </c>
      <c r="C230" s="0" t="n">
        <v>125.87</v>
      </c>
      <c r="D230" s="0" t="n">
        <v>3</v>
      </c>
    </row>
    <row r="231" customFormat="false" ht="15" hidden="false" customHeight="false" outlineLevel="0" collapsed="false">
      <c r="A231" s="0" t="s">
        <v>175</v>
      </c>
      <c r="B231" s="2" t="n">
        <v>46232</v>
      </c>
      <c r="C231" s="0" t="n">
        <v>55.08</v>
      </c>
      <c r="D231" s="0" t="n">
        <v>2</v>
      </c>
    </row>
    <row r="232" customFormat="false" ht="15" hidden="false" customHeight="false" outlineLevel="0" collapsed="false">
      <c r="A232" s="0" t="s">
        <v>177</v>
      </c>
      <c r="B232" s="2" t="n">
        <v>46232</v>
      </c>
      <c r="C232" s="0" t="n">
        <v>116</v>
      </c>
      <c r="D232" s="0" t="n">
        <v>3</v>
      </c>
    </row>
    <row r="233" customFormat="false" ht="15" hidden="false" customHeight="false" outlineLevel="0" collapsed="false">
      <c r="A233" s="0" t="s">
        <v>175</v>
      </c>
      <c r="B233" s="2" t="n">
        <v>46233</v>
      </c>
      <c r="C233" s="0" t="n">
        <v>31.64</v>
      </c>
      <c r="D233" s="0" t="n">
        <v>2</v>
      </c>
    </row>
    <row r="234" customFormat="false" ht="15" hidden="false" customHeight="false" outlineLevel="0" collapsed="false">
      <c r="A234" s="0" t="s">
        <v>177</v>
      </c>
      <c r="B234" s="2" t="n">
        <v>46233</v>
      </c>
      <c r="C234" s="0" t="n">
        <v>205.6</v>
      </c>
      <c r="D234" s="0" t="n">
        <v>4</v>
      </c>
    </row>
    <row r="235" customFormat="false" ht="15" hidden="false" customHeight="false" outlineLevel="0" collapsed="false">
      <c r="A235" s="0" t="s">
        <v>175</v>
      </c>
      <c r="B235" s="2" t="n">
        <v>46234</v>
      </c>
      <c r="C235" s="0" t="n">
        <v>34</v>
      </c>
      <c r="D235" s="0" t="n">
        <v>2</v>
      </c>
    </row>
    <row r="236" customFormat="false" ht="15" hidden="false" customHeight="false" outlineLevel="0" collapsed="false">
      <c r="A236" s="0" t="s">
        <v>177</v>
      </c>
      <c r="B236" s="2" t="n">
        <v>46234</v>
      </c>
      <c r="C236" s="0" t="n">
        <v>211.44</v>
      </c>
      <c r="D236" s="0" t="n">
        <v>4</v>
      </c>
    </row>
    <row r="237" customFormat="false" ht="15" hidden="false" customHeight="false" outlineLevel="0" collapsed="false">
      <c r="A237" s="0" t="s">
        <v>175</v>
      </c>
      <c r="B237" s="2" t="n">
        <v>46235</v>
      </c>
      <c r="C237" s="0" t="n">
        <v>45.61</v>
      </c>
      <c r="D237" s="0" t="n">
        <v>2</v>
      </c>
    </row>
    <row r="238" customFormat="false" ht="15" hidden="false" customHeight="false" outlineLevel="0" collapsed="false">
      <c r="A238" s="0" t="s">
        <v>177</v>
      </c>
      <c r="B238" s="2" t="n">
        <v>46235</v>
      </c>
      <c r="C238" s="0" t="n">
        <v>226.28</v>
      </c>
      <c r="D238" s="0" t="n">
        <v>4</v>
      </c>
    </row>
    <row r="239" customFormat="false" ht="15" hidden="false" customHeight="false" outlineLevel="0" collapsed="false">
      <c r="A239" s="0" t="s">
        <v>175</v>
      </c>
      <c r="B239" s="2" t="n">
        <v>46236</v>
      </c>
      <c r="C239" s="0" t="n">
        <v>30.87</v>
      </c>
      <c r="D239" s="0" t="n">
        <v>2</v>
      </c>
    </row>
    <row r="240" customFormat="false" ht="15" hidden="false" customHeight="false" outlineLevel="0" collapsed="false">
      <c r="A240" s="0" t="s">
        <v>177</v>
      </c>
      <c r="B240" s="2" t="n">
        <v>46236</v>
      </c>
      <c r="C240" s="0" t="n">
        <v>209.11</v>
      </c>
      <c r="D240" s="0" t="n">
        <v>4</v>
      </c>
    </row>
    <row r="241" customFormat="false" ht="15" hidden="false" customHeight="false" outlineLevel="0" collapsed="false">
      <c r="A241" s="0" t="s">
        <v>175</v>
      </c>
      <c r="B241" s="2" t="n">
        <v>46237</v>
      </c>
      <c r="C241" s="0" t="n">
        <v>42.71</v>
      </c>
      <c r="D241" s="0" t="n">
        <v>2</v>
      </c>
    </row>
    <row r="242" customFormat="false" ht="15" hidden="false" customHeight="false" outlineLevel="0" collapsed="false">
      <c r="A242" s="0" t="s">
        <v>177</v>
      </c>
      <c r="B242" s="2" t="n">
        <v>46237</v>
      </c>
      <c r="C242" s="0" t="n">
        <v>199.06</v>
      </c>
      <c r="D242" s="0" t="n">
        <v>4</v>
      </c>
    </row>
    <row r="243" customFormat="false" ht="15" hidden="false" customHeight="false" outlineLevel="0" collapsed="false">
      <c r="A243" s="0" t="s">
        <v>175</v>
      </c>
      <c r="B243" s="2" t="n">
        <v>46238</v>
      </c>
      <c r="C243" s="0" t="n">
        <v>52.59</v>
      </c>
      <c r="D243" s="0" t="n">
        <v>2</v>
      </c>
    </row>
    <row r="244" customFormat="false" ht="15" hidden="false" customHeight="false" outlineLevel="0" collapsed="false">
      <c r="A244" s="0" t="s">
        <v>177</v>
      </c>
      <c r="B244" s="2" t="n">
        <v>46238</v>
      </c>
      <c r="C244" s="0" t="n">
        <v>198.34</v>
      </c>
      <c r="D244" s="0" t="n">
        <v>4</v>
      </c>
    </row>
    <row r="245" customFormat="false" ht="15" hidden="false" customHeight="false" outlineLevel="0" collapsed="false">
      <c r="A245" s="0" t="s">
        <v>175</v>
      </c>
      <c r="B245" s="2" t="n">
        <v>46239</v>
      </c>
      <c r="C245" s="0" t="n">
        <v>33.71</v>
      </c>
      <c r="D245" s="0" t="n">
        <v>2</v>
      </c>
    </row>
    <row r="246" customFormat="false" ht="15" hidden="false" customHeight="false" outlineLevel="0" collapsed="false">
      <c r="A246" s="0" t="s">
        <v>177</v>
      </c>
      <c r="B246" s="2" t="n">
        <v>46239</v>
      </c>
      <c r="C246" s="0" t="n">
        <v>238.79</v>
      </c>
      <c r="D246" s="0" t="n">
        <v>4</v>
      </c>
    </row>
    <row r="247" customFormat="false" ht="15" hidden="false" customHeight="false" outlineLevel="0" collapsed="false">
      <c r="A247" s="0" t="s">
        <v>175</v>
      </c>
      <c r="B247" s="2" t="n">
        <v>46240</v>
      </c>
      <c r="C247" s="0" t="n">
        <v>50.73</v>
      </c>
      <c r="D247" s="0" t="n">
        <v>2</v>
      </c>
    </row>
    <row r="248" customFormat="false" ht="15" hidden="false" customHeight="false" outlineLevel="0" collapsed="false">
      <c r="A248" s="0" t="s">
        <v>177</v>
      </c>
      <c r="B248" s="2" t="n">
        <v>46240</v>
      </c>
      <c r="C248" s="0" t="n">
        <v>216.64</v>
      </c>
      <c r="D248" s="0" t="n">
        <v>4</v>
      </c>
    </row>
    <row r="249" customFormat="false" ht="15" hidden="false" customHeight="false" outlineLevel="0" collapsed="false">
      <c r="A249" s="0" t="s">
        <v>175</v>
      </c>
      <c r="B249" s="2" t="n">
        <v>46241</v>
      </c>
      <c r="C249" s="0" t="n">
        <v>65.76</v>
      </c>
      <c r="D249" s="0" t="n">
        <v>2</v>
      </c>
    </row>
    <row r="250" customFormat="false" ht="15" hidden="false" customHeight="false" outlineLevel="0" collapsed="false">
      <c r="A250" s="0" t="s">
        <v>177</v>
      </c>
      <c r="B250" s="2" t="n">
        <v>46241</v>
      </c>
      <c r="C250" s="0" t="n">
        <v>217.42</v>
      </c>
      <c r="D250" s="0" t="n">
        <v>4</v>
      </c>
    </row>
    <row r="251" customFormat="false" ht="15" hidden="false" customHeight="false" outlineLevel="0" collapsed="false">
      <c r="A251" s="0" t="s">
        <v>175</v>
      </c>
      <c r="B251" s="2" t="n">
        <v>46242</v>
      </c>
      <c r="C251" s="0" t="n">
        <v>48.95</v>
      </c>
      <c r="D251" s="0" t="n">
        <v>2</v>
      </c>
    </row>
    <row r="252" customFormat="false" ht="15" hidden="false" customHeight="false" outlineLevel="0" collapsed="false">
      <c r="A252" s="0" t="s">
        <v>177</v>
      </c>
      <c r="B252" s="2" t="n">
        <v>46242</v>
      </c>
      <c r="C252" s="0" t="n">
        <v>108.57</v>
      </c>
      <c r="D252" s="0" t="n">
        <v>3</v>
      </c>
    </row>
    <row r="253" customFormat="false" ht="15" hidden="false" customHeight="false" outlineLevel="0" collapsed="false">
      <c r="A253" s="0" t="s">
        <v>175</v>
      </c>
      <c r="B253" s="2" t="n">
        <v>46243</v>
      </c>
      <c r="C253" s="0" t="n">
        <v>31.83</v>
      </c>
      <c r="D253" s="0" t="n">
        <v>2</v>
      </c>
    </row>
    <row r="254" customFormat="false" ht="15" hidden="false" customHeight="false" outlineLevel="0" collapsed="false">
      <c r="A254" s="0" t="s">
        <v>177</v>
      </c>
      <c r="B254" s="2" t="n">
        <v>46243</v>
      </c>
      <c r="C254" s="0" t="n">
        <v>102.36</v>
      </c>
      <c r="D254" s="0" t="n">
        <v>2</v>
      </c>
    </row>
    <row r="255" customFormat="false" ht="15" hidden="false" customHeight="false" outlineLevel="0" collapsed="false">
      <c r="A255" s="0" t="s">
        <v>175</v>
      </c>
      <c r="B255" s="2" t="n">
        <v>46244</v>
      </c>
      <c r="C255" s="0" t="n">
        <v>30.61</v>
      </c>
      <c r="D255" s="0" t="n">
        <v>2</v>
      </c>
    </row>
    <row r="256" customFormat="false" ht="15" hidden="false" customHeight="false" outlineLevel="0" collapsed="false">
      <c r="A256" s="0" t="s">
        <v>177</v>
      </c>
      <c r="B256" s="2" t="n">
        <v>46244</v>
      </c>
      <c r="C256" s="0" t="n">
        <v>127.91</v>
      </c>
      <c r="D256" s="0" t="n">
        <v>3</v>
      </c>
    </row>
    <row r="257" customFormat="false" ht="15" hidden="false" customHeight="false" outlineLevel="0" collapsed="false">
      <c r="A257" s="0" t="s">
        <v>175</v>
      </c>
      <c r="B257" s="2" t="n">
        <v>46245</v>
      </c>
      <c r="C257" s="0" t="n">
        <v>59.5</v>
      </c>
      <c r="D257" s="0" t="n">
        <v>2</v>
      </c>
    </row>
    <row r="258" customFormat="false" ht="15" hidden="false" customHeight="false" outlineLevel="0" collapsed="false">
      <c r="A258" s="0" t="s">
        <v>177</v>
      </c>
      <c r="B258" s="2" t="n">
        <v>46245</v>
      </c>
      <c r="C258" s="0" t="n">
        <v>134.46</v>
      </c>
      <c r="D258" s="0" t="n">
        <v>3</v>
      </c>
    </row>
    <row r="259" customFormat="false" ht="15" hidden="false" customHeight="false" outlineLevel="0" collapsed="false">
      <c r="A259" s="0" t="s">
        <v>175</v>
      </c>
      <c r="B259" s="2" t="n">
        <v>46246</v>
      </c>
      <c r="C259" s="0" t="n">
        <v>55.19</v>
      </c>
      <c r="D259" s="0" t="n">
        <v>2</v>
      </c>
    </row>
    <row r="260" customFormat="false" ht="15" hidden="false" customHeight="false" outlineLevel="0" collapsed="false">
      <c r="A260" s="0" t="s">
        <v>177</v>
      </c>
      <c r="B260" s="2" t="n">
        <v>46246</v>
      </c>
      <c r="C260" s="0" t="n">
        <v>106.42</v>
      </c>
      <c r="D260" s="0" t="n">
        <v>3</v>
      </c>
    </row>
    <row r="261" customFormat="false" ht="15" hidden="false" customHeight="false" outlineLevel="0" collapsed="false">
      <c r="A261" s="0" t="s">
        <v>175</v>
      </c>
      <c r="B261" s="2" t="n">
        <v>46247</v>
      </c>
      <c r="C261" s="0" t="n">
        <v>32.92</v>
      </c>
      <c r="D261" s="0" t="n">
        <v>2</v>
      </c>
    </row>
    <row r="262" customFormat="false" ht="15" hidden="false" customHeight="false" outlineLevel="0" collapsed="false">
      <c r="A262" s="0" t="s">
        <v>177</v>
      </c>
      <c r="B262" s="2" t="n">
        <v>46247</v>
      </c>
      <c r="C262" s="0" t="n">
        <v>105.16</v>
      </c>
      <c r="D262" s="0" t="n">
        <v>3</v>
      </c>
    </row>
    <row r="263" customFormat="false" ht="15" hidden="false" customHeight="false" outlineLevel="0" collapsed="false">
      <c r="A263" s="0" t="s">
        <v>177</v>
      </c>
      <c r="B263" s="2" t="n">
        <v>46248</v>
      </c>
      <c r="C263" s="0" t="n">
        <v>178.5</v>
      </c>
      <c r="D263" s="0" t="n">
        <v>3</v>
      </c>
    </row>
    <row r="264" customFormat="false" ht="15" hidden="false" customHeight="false" outlineLevel="0" collapsed="false">
      <c r="A264" s="0" t="s">
        <v>177</v>
      </c>
      <c r="B264" s="2" t="n">
        <v>46249</v>
      </c>
      <c r="C264" s="0" t="n">
        <v>201.56</v>
      </c>
      <c r="D264" s="0" t="n">
        <v>3</v>
      </c>
    </row>
    <row r="265" customFormat="false" ht="15" hidden="false" customHeight="false" outlineLevel="0" collapsed="false">
      <c r="A265" s="0" t="s">
        <v>177</v>
      </c>
      <c r="B265" s="2" t="n">
        <v>46250</v>
      </c>
      <c r="C265" s="0" t="n">
        <v>193.39</v>
      </c>
      <c r="D265" s="0" t="n">
        <v>3</v>
      </c>
    </row>
    <row r="266" customFormat="false" ht="15" hidden="false" customHeight="false" outlineLevel="0" collapsed="false">
      <c r="A266" s="0" t="s">
        <v>177</v>
      </c>
      <c r="B266" s="2" t="n">
        <v>46251</v>
      </c>
      <c r="C266" s="0" t="n">
        <v>184.63</v>
      </c>
      <c r="D266" s="0" t="n">
        <v>3</v>
      </c>
    </row>
    <row r="267" customFormat="false" ht="15" hidden="false" customHeight="false" outlineLevel="0" collapsed="false">
      <c r="A267" s="0" t="s">
        <v>177</v>
      </c>
      <c r="B267" s="2" t="n">
        <v>46252</v>
      </c>
      <c r="C267" s="0" t="n">
        <v>199.12</v>
      </c>
      <c r="D267" s="0" t="n">
        <v>3</v>
      </c>
    </row>
    <row r="268" customFormat="false" ht="15" hidden="false" customHeight="false" outlineLevel="0" collapsed="false">
      <c r="A268" s="0" t="s">
        <v>177</v>
      </c>
      <c r="B268" s="2" t="n">
        <v>46253</v>
      </c>
      <c r="C268" s="0" t="n">
        <v>197.32</v>
      </c>
      <c r="D268" s="0" t="n">
        <v>3</v>
      </c>
    </row>
    <row r="269" customFormat="false" ht="15" hidden="false" customHeight="false" outlineLevel="0" collapsed="false">
      <c r="A269" s="0" t="s">
        <v>177</v>
      </c>
      <c r="B269" s="2" t="n">
        <v>46254</v>
      </c>
      <c r="C269" s="0" t="n">
        <v>174.71</v>
      </c>
      <c r="D269" s="0" t="n">
        <v>3</v>
      </c>
    </row>
    <row r="270" customFormat="false" ht="15" hidden="false" customHeight="false" outlineLevel="0" collapsed="false">
      <c r="A270" s="0" t="s">
        <v>177</v>
      </c>
      <c r="B270" s="2" t="n">
        <v>46255</v>
      </c>
      <c r="C270" s="0" t="n">
        <v>196.05</v>
      </c>
      <c r="D270" s="0" t="n">
        <v>4</v>
      </c>
    </row>
    <row r="271" customFormat="false" ht="15" hidden="false" customHeight="false" outlineLevel="0" collapsed="false">
      <c r="A271" s="0" t="s">
        <v>177</v>
      </c>
      <c r="B271" s="2" t="n">
        <v>46256</v>
      </c>
      <c r="C271" s="0" t="n">
        <v>199.63</v>
      </c>
      <c r="D271" s="0" t="n">
        <v>3</v>
      </c>
    </row>
    <row r="272" customFormat="false" ht="15" hidden="false" customHeight="false" outlineLevel="0" collapsed="false">
      <c r="A272" s="0" t="s">
        <v>177</v>
      </c>
      <c r="B272" s="2" t="n">
        <v>46257</v>
      </c>
      <c r="C272" s="0" t="n">
        <v>184.73</v>
      </c>
      <c r="D272" s="0" t="n">
        <v>3</v>
      </c>
    </row>
    <row r="273" customFormat="false" ht="15" hidden="false" customHeight="false" outlineLevel="0" collapsed="false">
      <c r="A273" s="0" t="s">
        <v>177</v>
      </c>
      <c r="B273" s="2" t="n">
        <v>46258</v>
      </c>
      <c r="C273" s="0" t="n">
        <v>215.36</v>
      </c>
      <c r="D273" s="0" t="n">
        <v>4</v>
      </c>
    </row>
    <row r="274" customFormat="false" ht="15" hidden="false" customHeight="false" outlineLevel="0" collapsed="false">
      <c r="A274" s="0" t="s">
        <v>177</v>
      </c>
      <c r="B274" s="2" t="n">
        <v>46259</v>
      </c>
      <c r="C274" s="0" t="n">
        <v>196.18</v>
      </c>
      <c r="D274" s="0" t="n">
        <v>3</v>
      </c>
    </row>
    <row r="275" customFormat="false" ht="15" hidden="false" customHeight="false" outlineLevel="0" collapsed="false">
      <c r="A275" s="0" t="s">
        <v>177</v>
      </c>
      <c r="B275" s="2" t="n">
        <v>46260</v>
      </c>
      <c r="C275" s="0" t="n">
        <v>194.14</v>
      </c>
      <c r="D275" s="0" t="n">
        <v>4</v>
      </c>
    </row>
    <row r="276" customFormat="false" ht="15" hidden="false" customHeight="false" outlineLevel="0" collapsed="false">
      <c r="A276" s="0" t="s">
        <v>177</v>
      </c>
      <c r="B276" s="2" t="n">
        <v>46261</v>
      </c>
      <c r="C276" s="0" t="n">
        <v>181.79</v>
      </c>
      <c r="D276" s="0" t="n">
        <v>3</v>
      </c>
    </row>
    <row r="277" customFormat="false" ht="15" hidden="false" customHeight="false" outlineLevel="0" collapsed="false">
      <c r="A277" s="0" t="s">
        <v>177</v>
      </c>
      <c r="B277" s="2" t="n">
        <v>46262</v>
      </c>
      <c r="C277" s="0" t="n">
        <v>163.58</v>
      </c>
      <c r="D277" s="0" t="n">
        <v>3</v>
      </c>
    </row>
    <row r="278" customFormat="false" ht="15" hidden="false" customHeight="false" outlineLevel="0" collapsed="false">
      <c r="A278" s="0" t="s">
        <v>177</v>
      </c>
      <c r="B278" s="2" t="n">
        <v>46263</v>
      </c>
      <c r="C278" s="0" t="n">
        <v>197.51</v>
      </c>
      <c r="D278" s="0" t="n">
        <v>3</v>
      </c>
    </row>
    <row r="279" customFormat="false" ht="15" hidden="false" customHeight="false" outlineLevel="0" collapsed="false">
      <c r="A279" s="0" t="s">
        <v>177</v>
      </c>
      <c r="B279" s="2" t="n">
        <v>46264</v>
      </c>
      <c r="C279" s="0" t="n">
        <v>192.62</v>
      </c>
      <c r="D279" s="0" t="n">
        <v>4</v>
      </c>
    </row>
    <row r="280" customFormat="false" ht="15" hidden="false" customHeight="false" outlineLevel="0" collapsed="false">
      <c r="A280" s="0" t="s">
        <v>177</v>
      </c>
      <c r="B280" s="2" t="n">
        <v>46265</v>
      </c>
      <c r="C280" s="0" t="n">
        <v>202.17</v>
      </c>
      <c r="D280" s="0" t="n">
        <v>4</v>
      </c>
    </row>
    <row r="281" customFormat="false" ht="15" hidden="false" customHeight="false" outlineLevel="0" collapsed="false">
      <c r="A281" s="0" t="s">
        <v>177</v>
      </c>
      <c r="B281" s="2" t="n">
        <v>46266</v>
      </c>
      <c r="C281" s="0" t="n">
        <v>182.32</v>
      </c>
      <c r="D281" s="0" t="n">
        <v>3</v>
      </c>
    </row>
    <row r="282" customFormat="false" ht="15" hidden="false" customHeight="false" outlineLevel="0" collapsed="false">
      <c r="A282" s="0" t="s">
        <v>177</v>
      </c>
      <c r="B282" s="2" t="n">
        <v>46267</v>
      </c>
      <c r="C282" s="0" t="n">
        <v>206.93</v>
      </c>
      <c r="D282" s="0" t="n">
        <v>4</v>
      </c>
    </row>
    <row r="283" customFormat="false" ht="15" hidden="false" customHeight="false" outlineLevel="0" collapsed="false">
      <c r="A283" s="0" t="s">
        <v>177</v>
      </c>
      <c r="B283" s="2" t="n">
        <v>46268</v>
      </c>
      <c r="C283" s="0" t="n">
        <v>206.17</v>
      </c>
      <c r="D283" s="0" t="n">
        <v>4</v>
      </c>
    </row>
    <row r="284" customFormat="false" ht="15" hidden="false" customHeight="false" outlineLevel="0" collapsed="false">
      <c r="A284" s="0" t="s">
        <v>178</v>
      </c>
      <c r="B284" s="2" t="n">
        <v>46268</v>
      </c>
      <c r="C284" s="0" t="n">
        <v>74.79</v>
      </c>
      <c r="D284" s="0" t="n">
        <v>2</v>
      </c>
    </row>
    <row r="285" customFormat="false" ht="15" hidden="false" customHeight="false" outlineLevel="0" collapsed="false">
      <c r="A285" s="0" t="s">
        <v>177</v>
      </c>
      <c r="B285" s="2" t="n">
        <v>46269</v>
      </c>
      <c r="C285" s="0" t="n">
        <v>201.88</v>
      </c>
      <c r="D285" s="0" t="n">
        <v>4</v>
      </c>
    </row>
    <row r="286" customFormat="false" ht="15" hidden="false" customHeight="false" outlineLevel="0" collapsed="false">
      <c r="A286" s="0" t="s">
        <v>178</v>
      </c>
      <c r="B286" s="2" t="n">
        <v>46269</v>
      </c>
      <c r="C286" s="0" t="n">
        <v>91.38</v>
      </c>
      <c r="D286" s="0" t="n">
        <v>2</v>
      </c>
    </row>
    <row r="287" customFormat="false" ht="15" hidden="false" customHeight="false" outlineLevel="0" collapsed="false">
      <c r="A287" s="0" t="s">
        <v>177</v>
      </c>
      <c r="B287" s="2" t="n">
        <v>46270</v>
      </c>
      <c r="C287" s="0" t="n">
        <v>175.78</v>
      </c>
      <c r="D287" s="0" t="n">
        <v>3</v>
      </c>
    </row>
    <row r="288" customFormat="false" ht="15" hidden="false" customHeight="false" outlineLevel="0" collapsed="false">
      <c r="A288" s="0" t="s">
        <v>178</v>
      </c>
      <c r="B288" s="2" t="n">
        <v>46270</v>
      </c>
      <c r="C288" s="0" t="n">
        <v>78.69</v>
      </c>
      <c r="D288" s="0" t="n">
        <v>2</v>
      </c>
    </row>
    <row r="289" customFormat="false" ht="15" hidden="false" customHeight="false" outlineLevel="0" collapsed="false">
      <c r="A289" s="0" t="s">
        <v>177</v>
      </c>
      <c r="B289" s="2" t="n">
        <v>46271</v>
      </c>
      <c r="C289" s="0" t="n">
        <v>302.48</v>
      </c>
      <c r="D289" s="0" t="n">
        <v>5</v>
      </c>
    </row>
    <row r="290" customFormat="false" ht="15" hidden="false" customHeight="false" outlineLevel="0" collapsed="false">
      <c r="A290" s="0" t="s">
        <v>178</v>
      </c>
      <c r="B290" s="2" t="n">
        <v>46271</v>
      </c>
      <c r="C290" s="0" t="n">
        <v>81.26</v>
      </c>
      <c r="D290" s="0" t="n">
        <v>2</v>
      </c>
    </row>
    <row r="291" customFormat="false" ht="15" hidden="false" customHeight="false" outlineLevel="0" collapsed="false">
      <c r="A291" s="0" t="s">
        <v>177</v>
      </c>
      <c r="B291" s="2" t="n">
        <v>46272</v>
      </c>
      <c r="C291" s="0" t="n">
        <v>312.26</v>
      </c>
      <c r="D291" s="0" t="n">
        <v>5</v>
      </c>
    </row>
    <row r="292" customFormat="false" ht="15" hidden="false" customHeight="false" outlineLevel="0" collapsed="false">
      <c r="A292" s="0" t="s">
        <v>178</v>
      </c>
      <c r="B292" s="2" t="n">
        <v>46272</v>
      </c>
      <c r="C292" s="0" t="n">
        <v>81.73</v>
      </c>
      <c r="D292" s="0" t="n">
        <v>2</v>
      </c>
    </row>
    <row r="293" customFormat="false" ht="15" hidden="false" customHeight="false" outlineLevel="0" collapsed="false">
      <c r="A293" s="0" t="s">
        <v>177</v>
      </c>
      <c r="B293" s="2" t="n">
        <v>46273</v>
      </c>
      <c r="C293" s="0" t="n">
        <v>326.72</v>
      </c>
      <c r="D293" s="0" t="n">
        <v>5</v>
      </c>
    </row>
    <row r="294" customFormat="false" ht="15" hidden="false" customHeight="false" outlineLevel="0" collapsed="false">
      <c r="A294" s="0" t="s">
        <v>178</v>
      </c>
      <c r="B294" s="2" t="n">
        <v>46273</v>
      </c>
      <c r="C294" s="0" t="n">
        <v>71.53</v>
      </c>
      <c r="D294" s="0" t="n">
        <v>2</v>
      </c>
    </row>
    <row r="295" customFormat="false" ht="15" hidden="false" customHeight="false" outlineLevel="0" collapsed="false">
      <c r="A295" s="0" t="s">
        <v>177</v>
      </c>
      <c r="B295" s="2" t="n">
        <v>46274</v>
      </c>
      <c r="C295" s="0" t="n">
        <v>308.71</v>
      </c>
      <c r="D295" s="0" t="n">
        <v>5</v>
      </c>
    </row>
    <row r="296" customFormat="false" ht="15" hidden="false" customHeight="false" outlineLevel="0" collapsed="false">
      <c r="A296" s="0" t="s">
        <v>178</v>
      </c>
      <c r="B296" s="2" t="n">
        <v>46274</v>
      </c>
      <c r="C296" s="0" t="n">
        <v>92.26</v>
      </c>
      <c r="D296" s="0" t="n">
        <v>2</v>
      </c>
    </row>
    <row r="297" customFormat="false" ht="15" hidden="false" customHeight="false" outlineLevel="0" collapsed="false">
      <c r="A297" s="0" t="s">
        <v>177</v>
      </c>
      <c r="B297" s="2" t="n">
        <v>46275</v>
      </c>
      <c r="C297" s="0" t="n">
        <v>325.94</v>
      </c>
      <c r="D297" s="0" t="n">
        <v>5</v>
      </c>
    </row>
    <row r="298" customFormat="false" ht="15" hidden="false" customHeight="false" outlineLevel="0" collapsed="false">
      <c r="A298" s="0" t="s">
        <v>178</v>
      </c>
      <c r="B298" s="2" t="n">
        <v>46275</v>
      </c>
      <c r="C298" s="0" t="n">
        <v>66.68</v>
      </c>
      <c r="D298" s="0" t="n">
        <v>2</v>
      </c>
    </row>
    <row r="299" customFormat="false" ht="15" hidden="false" customHeight="false" outlineLevel="0" collapsed="false">
      <c r="A299" s="0" t="s">
        <v>177</v>
      </c>
      <c r="B299" s="2" t="n">
        <v>46276</v>
      </c>
      <c r="C299" s="0" t="n">
        <v>277.18</v>
      </c>
      <c r="D299" s="0" t="n">
        <v>5</v>
      </c>
    </row>
    <row r="300" customFormat="false" ht="15" hidden="false" customHeight="false" outlineLevel="0" collapsed="false">
      <c r="A300" s="0" t="s">
        <v>178</v>
      </c>
      <c r="B300" s="2" t="n">
        <v>46276</v>
      </c>
      <c r="C300" s="0" t="n">
        <v>61.49</v>
      </c>
      <c r="D300" s="0" t="n">
        <v>2</v>
      </c>
    </row>
    <row r="301" customFormat="false" ht="15" hidden="false" customHeight="false" outlineLevel="0" collapsed="false">
      <c r="A301" s="0" t="s">
        <v>179</v>
      </c>
      <c r="B301" s="2" t="n">
        <v>46276</v>
      </c>
      <c r="C301" s="0" t="n">
        <v>89.53</v>
      </c>
      <c r="D301" s="0" t="n">
        <v>2</v>
      </c>
    </row>
    <row r="302" customFormat="false" ht="15" hidden="false" customHeight="false" outlineLevel="0" collapsed="false">
      <c r="A302" s="0" t="s">
        <v>177</v>
      </c>
      <c r="B302" s="2" t="n">
        <v>46277</v>
      </c>
      <c r="C302" s="0" t="n">
        <v>335.62</v>
      </c>
      <c r="D302" s="0" t="n">
        <v>5</v>
      </c>
    </row>
    <row r="303" customFormat="false" ht="15" hidden="false" customHeight="false" outlineLevel="0" collapsed="false">
      <c r="A303" s="0" t="s">
        <v>178</v>
      </c>
      <c r="B303" s="2" t="n">
        <v>46277</v>
      </c>
      <c r="C303" s="0" t="n">
        <v>87.06</v>
      </c>
      <c r="D303" s="0" t="n">
        <v>2</v>
      </c>
    </row>
    <row r="304" customFormat="false" ht="15" hidden="false" customHeight="false" outlineLevel="0" collapsed="false">
      <c r="A304" s="0" t="s">
        <v>179</v>
      </c>
      <c r="B304" s="2" t="n">
        <v>46277</v>
      </c>
      <c r="C304" s="0" t="n">
        <v>96.77</v>
      </c>
      <c r="D304" s="0" t="n">
        <v>2</v>
      </c>
    </row>
    <row r="305" customFormat="false" ht="15" hidden="false" customHeight="false" outlineLevel="0" collapsed="false">
      <c r="A305" s="0" t="s">
        <v>177</v>
      </c>
      <c r="B305" s="2" t="n">
        <v>46278</v>
      </c>
      <c r="C305" s="0" t="n">
        <v>316.63</v>
      </c>
      <c r="D305" s="0" t="n">
        <v>5</v>
      </c>
    </row>
    <row r="306" customFormat="false" ht="15" hidden="false" customHeight="false" outlineLevel="0" collapsed="false">
      <c r="A306" s="0" t="s">
        <v>178</v>
      </c>
      <c r="B306" s="2" t="n">
        <v>46278</v>
      </c>
      <c r="C306" s="0" t="n">
        <v>78.85</v>
      </c>
      <c r="D306" s="0" t="n">
        <v>2</v>
      </c>
    </row>
    <row r="307" customFormat="false" ht="15" hidden="false" customHeight="false" outlineLevel="0" collapsed="false">
      <c r="A307" s="0" t="s">
        <v>179</v>
      </c>
      <c r="B307" s="2" t="n">
        <v>46278</v>
      </c>
      <c r="C307" s="0" t="n">
        <v>88.09</v>
      </c>
      <c r="D307" s="0" t="n">
        <v>2</v>
      </c>
    </row>
    <row r="308" customFormat="false" ht="15" hidden="false" customHeight="false" outlineLevel="0" collapsed="false">
      <c r="A308" s="0" t="s">
        <v>177</v>
      </c>
      <c r="B308" s="2" t="n">
        <v>46279</v>
      </c>
      <c r="C308" s="0" t="n">
        <v>305.32</v>
      </c>
      <c r="D308" s="0" t="n">
        <v>5</v>
      </c>
    </row>
    <row r="309" customFormat="false" ht="15" hidden="false" customHeight="false" outlineLevel="0" collapsed="false">
      <c r="A309" s="0" t="s">
        <v>178</v>
      </c>
      <c r="B309" s="2" t="n">
        <v>46279</v>
      </c>
      <c r="C309" s="0" t="n">
        <v>96.34</v>
      </c>
      <c r="D309" s="0" t="n">
        <v>2</v>
      </c>
    </row>
    <row r="310" customFormat="false" ht="15" hidden="false" customHeight="false" outlineLevel="0" collapsed="false">
      <c r="A310" s="0" t="s">
        <v>179</v>
      </c>
      <c r="B310" s="2" t="n">
        <v>46279</v>
      </c>
      <c r="C310" s="0" t="n">
        <v>85.31</v>
      </c>
      <c r="D310" s="0" t="n">
        <v>2</v>
      </c>
    </row>
    <row r="311" customFormat="false" ht="15" hidden="false" customHeight="false" outlineLevel="0" collapsed="false">
      <c r="A311" s="0" t="s">
        <v>177</v>
      </c>
      <c r="B311" s="2" t="n">
        <v>46280</v>
      </c>
      <c r="C311" s="0" t="n">
        <v>183.59</v>
      </c>
      <c r="D311" s="0" t="n">
        <v>3</v>
      </c>
    </row>
    <row r="312" customFormat="false" ht="15" hidden="false" customHeight="false" outlineLevel="0" collapsed="false">
      <c r="A312" s="0" t="s">
        <v>178</v>
      </c>
      <c r="B312" s="2" t="n">
        <v>46280</v>
      </c>
      <c r="C312" s="0" t="n">
        <v>83.61</v>
      </c>
      <c r="D312" s="0" t="n">
        <v>2</v>
      </c>
    </row>
    <row r="313" customFormat="false" ht="15" hidden="false" customHeight="false" outlineLevel="0" collapsed="false">
      <c r="A313" s="0" t="s">
        <v>179</v>
      </c>
      <c r="B313" s="2" t="n">
        <v>46280</v>
      </c>
      <c r="C313" s="0" t="n">
        <v>168.32</v>
      </c>
      <c r="D313" s="0" t="n">
        <v>3</v>
      </c>
    </row>
    <row r="314" customFormat="false" ht="15" hidden="false" customHeight="false" outlineLevel="0" collapsed="false">
      <c r="A314" s="0" t="s">
        <v>177</v>
      </c>
      <c r="B314" s="2" t="n">
        <v>46281</v>
      </c>
      <c r="C314" s="0" t="n">
        <v>201.67</v>
      </c>
      <c r="D314" s="0" t="n">
        <v>4</v>
      </c>
    </row>
    <row r="315" customFormat="false" ht="15" hidden="false" customHeight="false" outlineLevel="0" collapsed="false">
      <c r="A315" s="0" t="s">
        <v>178</v>
      </c>
      <c r="B315" s="2" t="n">
        <v>46281</v>
      </c>
      <c r="C315" s="0" t="n">
        <v>82.18</v>
      </c>
      <c r="D315" s="0" t="n">
        <v>2</v>
      </c>
    </row>
    <row r="316" customFormat="false" ht="15" hidden="false" customHeight="false" outlineLevel="0" collapsed="false">
      <c r="A316" s="0" t="s">
        <v>179</v>
      </c>
      <c r="B316" s="2" t="n">
        <v>46281</v>
      </c>
      <c r="C316" s="0" t="n">
        <v>173.7</v>
      </c>
      <c r="D316" s="0" t="n">
        <v>3</v>
      </c>
    </row>
    <row r="317" customFormat="false" ht="15" hidden="false" customHeight="false" outlineLevel="0" collapsed="false">
      <c r="A317" s="0" t="s">
        <v>177</v>
      </c>
      <c r="B317" s="2" t="n">
        <v>46282</v>
      </c>
      <c r="C317" s="0" t="n">
        <v>179.83</v>
      </c>
      <c r="D317" s="0" t="n">
        <v>3</v>
      </c>
    </row>
    <row r="318" customFormat="false" ht="15" hidden="false" customHeight="false" outlineLevel="0" collapsed="false">
      <c r="A318" s="0" t="s">
        <v>178</v>
      </c>
      <c r="B318" s="2" t="n">
        <v>46282</v>
      </c>
      <c r="C318" s="0" t="n">
        <v>63.08</v>
      </c>
      <c r="D318" s="0" t="n">
        <v>2</v>
      </c>
    </row>
    <row r="319" customFormat="false" ht="15" hidden="false" customHeight="false" outlineLevel="0" collapsed="false">
      <c r="A319" s="0" t="s">
        <v>179</v>
      </c>
      <c r="B319" s="2" t="n">
        <v>46282</v>
      </c>
      <c r="C319" s="0" t="n">
        <v>144.19</v>
      </c>
      <c r="D319" s="0" t="n">
        <v>3</v>
      </c>
    </row>
    <row r="320" customFormat="false" ht="15" hidden="false" customHeight="false" outlineLevel="0" collapsed="false">
      <c r="A320" s="0" t="s">
        <v>177</v>
      </c>
      <c r="B320" s="2" t="n">
        <v>46283</v>
      </c>
      <c r="C320" s="0" t="n">
        <v>169.62</v>
      </c>
      <c r="D320" s="0" t="n">
        <v>3</v>
      </c>
    </row>
    <row r="321" customFormat="false" ht="15" hidden="false" customHeight="false" outlineLevel="0" collapsed="false">
      <c r="A321" s="0" t="s">
        <v>178</v>
      </c>
      <c r="B321" s="2" t="n">
        <v>46283</v>
      </c>
      <c r="C321" s="0" t="n">
        <v>71.17</v>
      </c>
      <c r="D321" s="0" t="n">
        <v>2</v>
      </c>
    </row>
    <row r="322" customFormat="false" ht="15" hidden="false" customHeight="false" outlineLevel="0" collapsed="false">
      <c r="A322" s="0" t="s">
        <v>179</v>
      </c>
      <c r="B322" s="2" t="n">
        <v>46283</v>
      </c>
      <c r="C322" s="0" t="n">
        <v>144.44</v>
      </c>
      <c r="D322" s="0" t="n">
        <v>3</v>
      </c>
    </row>
    <row r="323" customFormat="false" ht="15" hidden="false" customHeight="false" outlineLevel="0" collapsed="false">
      <c r="A323" s="0" t="s">
        <v>177</v>
      </c>
      <c r="B323" s="2" t="n">
        <v>46284</v>
      </c>
      <c r="C323" s="0" t="n">
        <v>180.26</v>
      </c>
      <c r="D323" s="0" t="n">
        <v>3</v>
      </c>
    </row>
    <row r="324" customFormat="false" ht="15" hidden="false" customHeight="false" outlineLevel="0" collapsed="false">
      <c r="A324" s="0" t="s">
        <v>178</v>
      </c>
      <c r="B324" s="2" t="n">
        <v>46284</v>
      </c>
      <c r="C324" s="0" t="n">
        <v>89.49</v>
      </c>
      <c r="D324" s="0" t="n">
        <v>2</v>
      </c>
    </row>
    <row r="325" customFormat="false" ht="15" hidden="false" customHeight="false" outlineLevel="0" collapsed="false">
      <c r="A325" s="0" t="s">
        <v>179</v>
      </c>
      <c r="B325" s="2" t="n">
        <v>46284</v>
      </c>
      <c r="C325" s="0" t="n">
        <v>140.84</v>
      </c>
      <c r="D325" s="0" t="n">
        <v>3</v>
      </c>
    </row>
    <row r="326" customFormat="false" ht="15" hidden="false" customHeight="false" outlineLevel="0" collapsed="false">
      <c r="A326" s="0" t="s">
        <v>177</v>
      </c>
      <c r="B326" s="2" t="n">
        <v>46285</v>
      </c>
      <c r="C326" s="0" t="n">
        <v>209.28</v>
      </c>
      <c r="D326" s="0" t="n">
        <v>4</v>
      </c>
    </row>
    <row r="327" customFormat="false" ht="15" hidden="false" customHeight="false" outlineLevel="0" collapsed="false">
      <c r="A327" s="0" t="s">
        <v>178</v>
      </c>
      <c r="B327" s="2" t="n">
        <v>46285</v>
      </c>
      <c r="C327" s="0" t="n">
        <v>75.33</v>
      </c>
      <c r="D327" s="0" t="n">
        <v>2</v>
      </c>
    </row>
    <row r="328" customFormat="false" ht="15" hidden="false" customHeight="false" outlineLevel="0" collapsed="false">
      <c r="A328" s="0" t="s">
        <v>179</v>
      </c>
      <c r="B328" s="2" t="n">
        <v>46285</v>
      </c>
      <c r="C328" s="0" t="n">
        <v>177.15</v>
      </c>
      <c r="D328" s="0" t="n">
        <v>3</v>
      </c>
    </row>
    <row r="329" customFormat="false" ht="15" hidden="false" customHeight="false" outlineLevel="0" collapsed="false">
      <c r="A329" s="0" t="s">
        <v>177</v>
      </c>
      <c r="B329" s="2" t="n">
        <v>46286</v>
      </c>
      <c r="C329" s="0" t="n">
        <v>194.67</v>
      </c>
      <c r="D329" s="0" t="n">
        <v>4</v>
      </c>
    </row>
    <row r="330" customFormat="false" ht="15" hidden="false" customHeight="false" outlineLevel="0" collapsed="false">
      <c r="A330" s="0" t="s">
        <v>178</v>
      </c>
      <c r="B330" s="2" t="n">
        <v>46286</v>
      </c>
      <c r="C330" s="0" t="n">
        <v>88.56</v>
      </c>
      <c r="D330" s="0" t="n">
        <v>2</v>
      </c>
    </row>
    <row r="331" customFormat="false" ht="15" hidden="false" customHeight="false" outlineLevel="0" collapsed="false">
      <c r="A331" s="0" t="s">
        <v>179</v>
      </c>
      <c r="B331" s="2" t="n">
        <v>46286</v>
      </c>
      <c r="C331" s="0" t="n">
        <v>156.32</v>
      </c>
      <c r="D331" s="0" t="n">
        <v>3</v>
      </c>
    </row>
    <row r="332" customFormat="false" ht="15" hidden="false" customHeight="false" outlineLevel="0" collapsed="false">
      <c r="A332" s="0" t="s">
        <v>177</v>
      </c>
      <c r="B332" s="2" t="n">
        <v>46287</v>
      </c>
      <c r="C332" s="0" t="n">
        <v>211.36</v>
      </c>
      <c r="D332" s="0" t="n">
        <v>4</v>
      </c>
    </row>
    <row r="333" customFormat="false" ht="15" hidden="false" customHeight="false" outlineLevel="0" collapsed="false">
      <c r="A333" s="0" t="s">
        <v>178</v>
      </c>
      <c r="B333" s="2" t="n">
        <v>46287</v>
      </c>
      <c r="C333" s="0" t="n">
        <v>73.35</v>
      </c>
      <c r="D333" s="0" t="n">
        <v>2</v>
      </c>
    </row>
    <row r="334" customFormat="false" ht="15" hidden="false" customHeight="false" outlineLevel="0" collapsed="false">
      <c r="A334" s="0" t="s">
        <v>179</v>
      </c>
      <c r="B334" s="2" t="n">
        <v>46287</v>
      </c>
      <c r="C334" s="0" t="n">
        <v>168.48</v>
      </c>
      <c r="D334" s="0" t="n">
        <v>3</v>
      </c>
    </row>
    <row r="335" customFormat="false" ht="15" hidden="false" customHeight="false" outlineLevel="0" collapsed="false">
      <c r="A335" s="0" t="s">
        <v>177</v>
      </c>
      <c r="B335" s="2" t="n">
        <v>46288</v>
      </c>
      <c r="C335" s="0" t="n">
        <v>194.45</v>
      </c>
      <c r="D335" s="0" t="n">
        <v>3</v>
      </c>
    </row>
    <row r="336" customFormat="false" ht="15" hidden="false" customHeight="false" outlineLevel="0" collapsed="false">
      <c r="A336" s="0" t="s">
        <v>178</v>
      </c>
      <c r="B336" s="2" t="n">
        <v>46288</v>
      </c>
      <c r="C336" s="0" t="n">
        <v>76.29</v>
      </c>
      <c r="D336" s="0" t="n">
        <v>2</v>
      </c>
    </row>
    <row r="337" customFormat="false" ht="15" hidden="false" customHeight="false" outlineLevel="0" collapsed="false">
      <c r="A337" s="0" t="s">
        <v>179</v>
      </c>
      <c r="B337" s="2" t="n">
        <v>46288</v>
      </c>
      <c r="C337" s="0" t="n">
        <v>175.13</v>
      </c>
      <c r="D337" s="0" t="n">
        <v>3</v>
      </c>
    </row>
    <row r="338" customFormat="false" ht="15" hidden="false" customHeight="false" outlineLevel="0" collapsed="false">
      <c r="A338" s="0" t="s">
        <v>177</v>
      </c>
      <c r="B338" s="2" t="n">
        <v>46289</v>
      </c>
      <c r="C338" s="0" t="n">
        <v>194.25</v>
      </c>
      <c r="D338" s="0" t="n">
        <v>3</v>
      </c>
    </row>
    <row r="339" customFormat="false" ht="15" hidden="false" customHeight="false" outlineLevel="0" collapsed="false">
      <c r="A339" s="0" t="s">
        <v>178</v>
      </c>
      <c r="B339" s="2" t="n">
        <v>46289</v>
      </c>
      <c r="C339" s="0" t="n">
        <v>81.01</v>
      </c>
      <c r="D339" s="0" t="n">
        <v>2</v>
      </c>
    </row>
    <row r="340" customFormat="false" ht="15" hidden="false" customHeight="false" outlineLevel="0" collapsed="false">
      <c r="A340" s="0" t="s">
        <v>179</v>
      </c>
      <c r="B340" s="2" t="n">
        <v>46289</v>
      </c>
      <c r="C340" s="0" t="n">
        <v>158.89</v>
      </c>
      <c r="D340" s="0" t="n">
        <v>3</v>
      </c>
    </row>
    <row r="341" customFormat="false" ht="15" hidden="false" customHeight="false" outlineLevel="0" collapsed="false">
      <c r="A341" s="0" t="s">
        <v>177</v>
      </c>
      <c r="B341" s="2" t="n">
        <v>46290</v>
      </c>
      <c r="C341" s="0" t="n">
        <v>199.95</v>
      </c>
      <c r="D341" s="0" t="n">
        <v>4</v>
      </c>
    </row>
    <row r="342" customFormat="false" ht="15" hidden="false" customHeight="false" outlineLevel="0" collapsed="false">
      <c r="A342" s="0" t="s">
        <v>178</v>
      </c>
      <c r="B342" s="2" t="n">
        <v>46290</v>
      </c>
      <c r="C342" s="0" t="n">
        <v>62.21</v>
      </c>
      <c r="D342" s="0" t="n">
        <v>2</v>
      </c>
    </row>
    <row r="343" customFormat="false" ht="15" hidden="false" customHeight="false" outlineLevel="0" collapsed="false">
      <c r="A343" s="0" t="s">
        <v>179</v>
      </c>
      <c r="B343" s="2" t="n">
        <v>46290</v>
      </c>
      <c r="C343" s="0" t="n">
        <v>184.63</v>
      </c>
      <c r="D343" s="0" t="n">
        <v>3</v>
      </c>
    </row>
    <row r="344" customFormat="false" ht="15" hidden="false" customHeight="false" outlineLevel="0" collapsed="false">
      <c r="A344" s="0" t="s">
        <v>177</v>
      </c>
      <c r="B344" s="2" t="n">
        <v>46291</v>
      </c>
      <c r="C344" s="0" t="n">
        <v>181.51</v>
      </c>
      <c r="D344" s="0" t="n">
        <v>3</v>
      </c>
    </row>
    <row r="345" customFormat="false" ht="15" hidden="false" customHeight="false" outlineLevel="0" collapsed="false">
      <c r="A345" s="0" t="s">
        <v>178</v>
      </c>
      <c r="B345" s="2" t="n">
        <v>46291</v>
      </c>
      <c r="C345" s="0" t="n">
        <v>73.26</v>
      </c>
      <c r="D345" s="0" t="n">
        <v>2</v>
      </c>
    </row>
    <row r="346" customFormat="false" ht="15" hidden="false" customHeight="false" outlineLevel="0" collapsed="false">
      <c r="A346" s="0" t="s">
        <v>179</v>
      </c>
      <c r="B346" s="2" t="n">
        <v>46291</v>
      </c>
      <c r="C346" s="0" t="n">
        <v>165.13</v>
      </c>
      <c r="D346" s="0" t="n">
        <v>3</v>
      </c>
    </row>
    <row r="347" customFormat="false" ht="15" hidden="false" customHeight="false" outlineLevel="0" collapsed="false">
      <c r="A347" s="0" t="s">
        <v>177</v>
      </c>
      <c r="B347" s="2" t="n">
        <v>46292</v>
      </c>
      <c r="C347" s="0" t="n">
        <v>183.53</v>
      </c>
      <c r="D347" s="0" t="n">
        <v>3</v>
      </c>
    </row>
    <row r="348" customFormat="false" ht="15" hidden="false" customHeight="false" outlineLevel="0" collapsed="false">
      <c r="A348" s="0" t="s">
        <v>178</v>
      </c>
      <c r="B348" s="2" t="n">
        <v>46292</v>
      </c>
      <c r="C348" s="0" t="n">
        <v>86.69</v>
      </c>
      <c r="D348" s="0" t="n">
        <v>2</v>
      </c>
    </row>
    <row r="349" customFormat="false" ht="15" hidden="false" customHeight="false" outlineLevel="0" collapsed="false">
      <c r="A349" s="0" t="s">
        <v>179</v>
      </c>
      <c r="B349" s="2" t="n">
        <v>46292</v>
      </c>
      <c r="C349" s="0" t="n">
        <v>154.75</v>
      </c>
      <c r="D349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89</v>
      </c>
      <c r="C1" s="1" t="s">
        <v>180</v>
      </c>
    </row>
    <row r="2" customFormat="false" ht="15" hidden="false" customHeight="false" outlineLevel="0" collapsed="false">
      <c r="A2" s="0" t="s">
        <v>175</v>
      </c>
      <c r="B2" s="2" t="n">
        <v>46120</v>
      </c>
      <c r="C2" s="0" t="n">
        <v>1850000</v>
      </c>
    </row>
    <row r="3" customFormat="false" ht="15" hidden="false" customHeight="false" outlineLevel="0" collapsed="false">
      <c r="A3" s="0" t="s">
        <v>176</v>
      </c>
      <c r="B3" s="2" t="n">
        <v>46134</v>
      </c>
      <c r="C3" s="0" t="n">
        <v>2400000</v>
      </c>
    </row>
    <row r="4" customFormat="false" ht="15" hidden="false" customHeight="false" outlineLevel="0" collapsed="false">
      <c r="A4" s="0" t="s">
        <v>177</v>
      </c>
      <c r="B4" s="2" t="n">
        <v>46153</v>
      </c>
      <c r="C4" s="0" t="n">
        <v>4200000</v>
      </c>
    </row>
    <row r="5" customFormat="false" ht="15" hidden="false" customHeight="false" outlineLevel="0" collapsed="false">
      <c r="A5" s="0" t="s">
        <v>176</v>
      </c>
      <c r="B5" s="2" t="n">
        <v>46167</v>
      </c>
      <c r="C5" s="0" t="n">
        <v>1850000</v>
      </c>
    </row>
    <row r="6" customFormat="false" ht="15" hidden="false" customHeight="false" outlineLevel="0" collapsed="false">
      <c r="A6" s="0" t="s">
        <v>177</v>
      </c>
      <c r="B6" s="2" t="n">
        <v>46175</v>
      </c>
      <c r="C6" s="0" t="n">
        <v>1150000</v>
      </c>
    </row>
    <row r="7" customFormat="false" ht="15" hidden="false" customHeight="false" outlineLevel="0" collapsed="false">
      <c r="A7" s="0" t="s">
        <v>176</v>
      </c>
      <c r="B7" s="2" t="n">
        <v>46177</v>
      </c>
      <c r="C7" s="0" t="n">
        <v>1850000</v>
      </c>
    </row>
    <row r="8" customFormat="false" ht="15" hidden="false" customHeight="false" outlineLevel="0" collapsed="false">
      <c r="A8" s="0" t="s">
        <v>181</v>
      </c>
      <c r="B8" s="2" t="n">
        <v>46188</v>
      </c>
      <c r="C8" s="0" t="n">
        <v>11100000</v>
      </c>
    </row>
    <row r="9" customFormat="false" ht="15" hidden="false" customHeight="false" outlineLevel="0" collapsed="false">
      <c r="A9" s="0" t="s">
        <v>177</v>
      </c>
      <c r="B9" s="2" t="n">
        <v>46188</v>
      </c>
      <c r="C9" s="0" t="n">
        <v>5100000</v>
      </c>
    </row>
    <row r="10" customFormat="false" ht="15" hidden="false" customHeight="false" outlineLevel="0" collapsed="false">
      <c r="A10" s="0" t="s">
        <v>181</v>
      </c>
      <c r="B10" s="2" t="n">
        <v>46202</v>
      </c>
      <c r="C10" s="0" t="n">
        <v>1850000</v>
      </c>
    </row>
    <row r="11" customFormat="false" ht="15" hidden="false" customHeight="false" outlineLevel="0" collapsed="false">
      <c r="A11" s="0" t="s">
        <v>177</v>
      </c>
      <c r="B11" s="2" t="n">
        <v>46217</v>
      </c>
      <c r="C11" s="0" t="n">
        <v>3800000</v>
      </c>
    </row>
    <row r="12" customFormat="false" ht="15" hidden="false" customHeight="false" outlineLevel="0" collapsed="false">
      <c r="A12" s="0" t="s">
        <v>175</v>
      </c>
      <c r="B12" s="2" t="n">
        <v>46260</v>
      </c>
      <c r="C12" s="0" t="n">
        <v>1650000</v>
      </c>
    </row>
    <row r="13" customFormat="false" ht="15" hidden="false" customHeight="false" outlineLevel="0" collapsed="false">
      <c r="A13" s="0" t="s">
        <v>177</v>
      </c>
      <c r="B13" s="2" t="n">
        <v>46280</v>
      </c>
      <c r="C13" s="0" t="n">
        <v>890000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182</v>
      </c>
      <c r="C1" s="1" t="s">
        <v>183</v>
      </c>
      <c r="D1" s="1" t="s">
        <v>184</v>
      </c>
    </row>
    <row r="2" customFormat="false" ht="15" hidden="false" customHeight="false" outlineLevel="0" collapsed="false">
      <c r="A2" s="0" t="s">
        <v>174</v>
      </c>
      <c r="B2" s="2" t="n">
        <v>46083</v>
      </c>
      <c r="C2" s="2" t="n">
        <v>46092</v>
      </c>
      <c r="D2" s="0" t="n">
        <v>5</v>
      </c>
    </row>
    <row r="3" customFormat="false" ht="15" hidden="false" customHeight="false" outlineLevel="0" collapsed="false">
      <c r="A3" s="0" t="s">
        <v>174</v>
      </c>
      <c r="B3" s="2" t="n">
        <v>46093</v>
      </c>
      <c r="C3" s="2" t="n">
        <v>46104</v>
      </c>
      <c r="D3" s="0" t="n">
        <v>5</v>
      </c>
    </row>
    <row r="4" customFormat="false" ht="15" hidden="false" customHeight="false" outlineLevel="0" collapsed="false">
      <c r="A4" s="0" t="s">
        <v>174</v>
      </c>
      <c r="B4" s="2" t="n">
        <v>46105</v>
      </c>
      <c r="C4" s="2" t="n">
        <v>46112</v>
      </c>
      <c r="D4" s="0" t="n">
        <v>5</v>
      </c>
    </row>
    <row r="5" customFormat="false" ht="15" hidden="false" customHeight="false" outlineLevel="0" collapsed="false">
      <c r="A5" s="0" t="s">
        <v>174</v>
      </c>
      <c r="B5" s="2" t="n">
        <v>46105</v>
      </c>
      <c r="C5" s="2" t="n">
        <v>46110</v>
      </c>
      <c r="D5" s="0" t="n">
        <v>4</v>
      </c>
    </row>
    <row r="6" customFormat="false" ht="15" hidden="false" customHeight="false" outlineLevel="0" collapsed="false">
      <c r="A6" s="0" t="s">
        <v>174</v>
      </c>
      <c r="B6" s="2" t="n">
        <v>46485</v>
      </c>
      <c r="C6" s="2" t="n">
        <v>46494</v>
      </c>
      <c r="D6" s="0" t="n">
        <v>5</v>
      </c>
    </row>
    <row r="7" customFormat="false" ht="15" hidden="false" customHeight="false" outlineLevel="0" collapsed="false">
      <c r="A7" s="0" t="s">
        <v>175</v>
      </c>
      <c r="B7" s="2" t="n">
        <v>46093</v>
      </c>
      <c r="C7" s="2" t="n">
        <v>46100</v>
      </c>
      <c r="D7" s="0" t="n">
        <v>8</v>
      </c>
    </row>
    <row r="8" customFormat="false" ht="15" hidden="false" customHeight="false" outlineLevel="0" collapsed="false">
      <c r="A8" s="0" t="s">
        <v>175</v>
      </c>
      <c r="B8" s="2" t="n">
        <v>46101</v>
      </c>
      <c r="C8" s="2" t="n">
        <v>46118</v>
      </c>
      <c r="D8" s="0" t="n">
        <v>8</v>
      </c>
    </row>
    <row r="9" customFormat="false" ht="15" hidden="false" customHeight="false" outlineLevel="0" collapsed="false">
      <c r="A9" s="0" t="s">
        <v>175</v>
      </c>
      <c r="B9" s="2" t="n">
        <v>46119</v>
      </c>
      <c r="C9" s="2" t="n">
        <v>46132</v>
      </c>
      <c r="D9" s="0" t="n">
        <v>8</v>
      </c>
    </row>
    <row r="10" customFormat="false" ht="15" hidden="false" customHeight="false" outlineLevel="0" collapsed="false">
      <c r="A10" s="0" t="s">
        <v>175</v>
      </c>
      <c r="B10" s="2" t="n">
        <v>46181</v>
      </c>
      <c r="C10" s="2" t="n">
        <v>46192</v>
      </c>
      <c r="D10" s="0" t="n">
        <v>8</v>
      </c>
    </row>
    <row r="11" customFormat="false" ht="15" hidden="false" customHeight="false" outlineLevel="0" collapsed="false">
      <c r="A11" s="0" t="s">
        <v>175</v>
      </c>
      <c r="B11" s="2" t="n">
        <v>46193</v>
      </c>
      <c r="C11" s="2" t="n">
        <v>46207</v>
      </c>
      <c r="D11" s="0" t="n">
        <v>6</v>
      </c>
    </row>
    <row r="12" customFormat="false" ht="15" hidden="false" customHeight="false" outlineLevel="0" collapsed="false">
      <c r="A12" s="0" t="s">
        <v>175</v>
      </c>
      <c r="B12" s="2" t="n">
        <v>46203</v>
      </c>
      <c r="C12" s="2" t="n">
        <v>46212</v>
      </c>
      <c r="D12" s="0" t="n">
        <v>6</v>
      </c>
    </row>
    <row r="13" customFormat="false" ht="15" hidden="false" customHeight="false" outlineLevel="0" collapsed="false">
      <c r="A13" s="0" t="s">
        <v>175</v>
      </c>
      <c r="B13" s="2" t="n">
        <v>46208</v>
      </c>
      <c r="C13" s="2" t="n">
        <v>46219</v>
      </c>
      <c r="D13" s="0" t="n">
        <v>6</v>
      </c>
    </row>
    <row r="14" customFormat="false" ht="15" hidden="false" customHeight="false" outlineLevel="0" collapsed="false">
      <c r="A14" s="0" t="s">
        <v>175</v>
      </c>
      <c r="B14" s="2" t="n">
        <v>46220</v>
      </c>
      <c r="C14" s="2" t="n">
        <v>46229</v>
      </c>
      <c r="D14" s="0" t="n">
        <v>6</v>
      </c>
    </row>
    <row r="15" customFormat="false" ht="15" hidden="false" customHeight="false" outlineLevel="0" collapsed="false">
      <c r="A15" s="0" t="s">
        <v>176</v>
      </c>
      <c r="B15" s="2" t="n">
        <v>46133</v>
      </c>
      <c r="C15" s="2" t="n">
        <v>46138</v>
      </c>
      <c r="D15" s="0" t="n">
        <v>14</v>
      </c>
    </row>
    <row r="16" customFormat="false" ht="15" hidden="false" customHeight="false" outlineLevel="0" collapsed="false">
      <c r="A16" s="0" t="s">
        <v>176</v>
      </c>
      <c r="B16" s="2" t="n">
        <v>46139</v>
      </c>
      <c r="C16" s="2" t="n">
        <v>46158</v>
      </c>
      <c r="D16" s="0" t="n">
        <v>12</v>
      </c>
    </row>
    <row r="17" customFormat="false" ht="15" hidden="false" customHeight="false" outlineLevel="0" collapsed="false">
      <c r="A17" s="0" t="s">
        <v>176</v>
      </c>
      <c r="B17" s="2" t="n">
        <v>46147</v>
      </c>
      <c r="C17" s="2" t="n">
        <v>46162</v>
      </c>
      <c r="D17" s="0" t="n">
        <v>12</v>
      </c>
    </row>
    <row r="18" customFormat="false" ht="15" hidden="false" customHeight="false" outlineLevel="0" collapsed="false">
      <c r="A18" s="0" t="s">
        <v>176</v>
      </c>
      <c r="B18" s="2" t="n">
        <v>46163</v>
      </c>
      <c r="C18" s="2" t="n">
        <v>46180</v>
      </c>
      <c r="D18" s="0" t="n">
        <v>12</v>
      </c>
    </row>
    <row r="19" customFormat="false" ht="15" hidden="false" customHeight="false" outlineLevel="0" collapsed="false">
      <c r="A19" s="0" t="s">
        <v>176</v>
      </c>
      <c r="B19" s="2" t="n">
        <v>46193</v>
      </c>
      <c r="C19" s="2" t="n">
        <v>46206</v>
      </c>
      <c r="D19" s="0" t="n">
        <v>14</v>
      </c>
    </row>
    <row r="20" customFormat="false" ht="15" hidden="false" customHeight="false" outlineLevel="0" collapsed="false">
      <c r="A20" s="0" t="s">
        <v>177</v>
      </c>
      <c r="B20" s="2" t="n">
        <v>46181</v>
      </c>
      <c r="C20" s="2" t="n">
        <v>46192</v>
      </c>
      <c r="D20" s="0" t="n">
        <v>14</v>
      </c>
    </row>
    <row r="21" customFormat="false" ht="15" hidden="false" customHeight="false" outlineLevel="0" collapsed="false">
      <c r="A21" s="0" t="s">
        <v>177</v>
      </c>
      <c r="B21" s="2" t="n">
        <v>46185</v>
      </c>
      <c r="C21" s="2" t="n">
        <v>46198</v>
      </c>
      <c r="D21" s="0" t="n">
        <v>14</v>
      </c>
    </row>
    <row r="22" customFormat="false" ht="15" hidden="false" customHeight="false" outlineLevel="0" collapsed="false">
      <c r="A22" s="0" t="s">
        <v>177</v>
      </c>
      <c r="B22" s="2" t="n">
        <v>46199</v>
      </c>
      <c r="C22" s="2" t="n">
        <v>46216</v>
      </c>
      <c r="D22" s="0" t="n">
        <v>14</v>
      </c>
    </row>
    <row r="23" customFormat="false" ht="15" hidden="false" customHeight="false" outlineLevel="0" collapsed="false">
      <c r="A23" s="0" t="s">
        <v>177</v>
      </c>
      <c r="B23" s="2" t="n">
        <v>46217</v>
      </c>
      <c r="C23" s="2" t="n">
        <v>46228</v>
      </c>
      <c r="D23" s="0" t="n">
        <v>14</v>
      </c>
    </row>
    <row r="24" customFormat="false" ht="15" hidden="false" customHeight="false" outlineLevel="0" collapsed="false">
      <c r="A24" s="0" t="s">
        <v>177</v>
      </c>
      <c r="B24" s="2" t="n">
        <v>46221</v>
      </c>
      <c r="C24" s="2" t="n">
        <v>46234</v>
      </c>
      <c r="D24" s="0" t="n">
        <v>14</v>
      </c>
    </row>
    <row r="25" customFormat="false" ht="15" hidden="false" customHeight="false" outlineLevel="0" collapsed="false">
      <c r="A25" s="0" t="s">
        <v>177</v>
      </c>
      <c r="B25" s="2" t="n">
        <v>46235</v>
      </c>
      <c r="C25" s="2" t="n">
        <v>46280</v>
      </c>
      <c r="D25" s="0" t="n">
        <v>10</v>
      </c>
    </row>
    <row r="26" customFormat="false" ht="15" hidden="false" customHeight="false" outlineLevel="0" collapsed="false">
      <c r="A26" s="0" t="s">
        <v>177</v>
      </c>
      <c r="B26" s="2" t="n">
        <v>46235</v>
      </c>
      <c r="C26" s="2" t="n">
        <v>46252</v>
      </c>
      <c r="D26" s="0" t="n">
        <v>14</v>
      </c>
    </row>
    <row r="27" customFormat="false" ht="15" hidden="false" customHeight="false" outlineLevel="0" collapsed="false">
      <c r="A27" s="0" t="s">
        <v>177</v>
      </c>
      <c r="B27" s="2" t="n">
        <v>46253</v>
      </c>
      <c r="C27" s="2" t="n">
        <v>46264</v>
      </c>
      <c r="D27" s="0" t="n">
        <v>14</v>
      </c>
    </row>
    <row r="28" customFormat="false" ht="15" hidden="false" customHeight="false" outlineLevel="0" collapsed="false">
      <c r="A28" s="0" t="s">
        <v>177</v>
      </c>
      <c r="B28" s="2" t="n">
        <v>46257</v>
      </c>
      <c r="C28" s="2" t="n">
        <v>46270</v>
      </c>
      <c r="D28" s="0" t="n">
        <v>14</v>
      </c>
    </row>
    <row r="29" customFormat="false" ht="15" hidden="false" customHeight="false" outlineLevel="0" collapsed="false">
      <c r="A29" s="0" t="s">
        <v>177</v>
      </c>
      <c r="B29" s="2" t="n">
        <v>46271</v>
      </c>
      <c r="C29" s="2" t="n">
        <v>46288</v>
      </c>
      <c r="D29" s="0" t="n">
        <v>14</v>
      </c>
    </row>
    <row r="30" customFormat="false" ht="15" hidden="false" customHeight="false" outlineLevel="0" collapsed="false">
      <c r="A30" s="0" t="s">
        <v>177</v>
      </c>
      <c r="B30" s="2" t="n">
        <v>46289</v>
      </c>
      <c r="C30" s="2" t="n">
        <v>46300</v>
      </c>
      <c r="D30" s="0" t="n">
        <v>14</v>
      </c>
    </row>
    <row r="31" customFormat="false" ht="15" hidden="false" customHeight="false" outlineLevel="0" collapsed="false">
      <c r="A31" s="0" t="s">
        <v>177</v>
      </c>
      <c r="B31" s="2" t="n">
        <v>46293</v>
      </c>
      <c r="C31" s="2" t="n">
        <v>46306</v>
      </c>
      <c r="D31" s="0" t="n">
        <v>14</v>
      </c>
    </row>
    <row r="32" customFormat="false" ht="15" hidden="false" customHeight="false" outlineLevel="0" collapsed="false">
      <c r="A32" s="0" t="s">
        <v>177</v>
      </c>
      <c r="B32" s="2" t="n">
        <v>46307</v>
      </c>
      <c r="C32" s="2" t="n">
        <v>46324</v>
      </c>
      <c r="D32" s="0" t="n">
        <v>14</v>
      </c>
    </row>
    <row r="33" customFormat="false" ht="15" hidden="false" customHeight="false" outlineLevel="0" collapsed="false">
      <c r="A33" s="0" t="s">
        <v>177</v>
      </c>
      <c r="B33" s="2" t="n">
        <v>46325</v>
      </c>
      <c r="C33" s="2" t="n">
        <v>46336</v>
      </c>
      <c r="D33" s="0" t="n">
        <v>14</v>
      </c>
    </row>
    <row r="34" customFormat="false" ht="15" hidden="false" customHeight="false" outlineLevel="0" collapsed="false">
      <c r="A34" s="0" t="s">
        <v>177</v>
      </c>
      <c r="B34" s="2" t="n">
        <v>46325</v>
      </c>
      <c r="C34" s="2" t="n">
        <v>46344</v>
      </c>
      <c r="D34" s="0" t="n">
        <v>14</v>
      </c>
    </row>
    <row r="35" customFormat="false" ht="15" hidden="false" customHeight="false" outlineLevel="0" collapsed="false">
      <c r="A35" s="0" t="s">
        <v>185</v>
      </c>
      <c r="B35" s="2" t="n">
        <v>46325</v>
      </c>
      <c r="C35" s="2" t="n">
        <v>46344</v>
      </c>
      <c r="D35" s="0" t="n">
        <v>8</v>
      </c>
    </row>
    <row r="36" customFormat="false" ht="15" hidden="false" customHeight="false" outlineLevel="0" collapsed="false">
      <c r="A36" s="0" t="s">
        <v>185</v>
      </c>
      <c r="B36" s="2" t="n">
        <v>46337</v>
      </c>
      <c r="C36" s="2" t="n">
        <v>46351</v>
      </c>
      <c r="D36" s="0" t="n">
        <v>6</v>
      </c>
    </row>
    <row r="37" customFormat="false" ht="15" hidden="false" customHeight="false" outlineLevel="0" collapsed="false">
      <c r="A37" s="0" t="s">
        <v>185</v>
      </c>
      <c r="B37" s="2" t="n">
        <v>46345</v>
      </c>
      <c r="C37" s="2" t="n">
        <v>46362</v>
      </c>
      <c r="D37" s="0" t="n">
        <v>8</v>
      </c>
    </row>
    <row r="38" customFormat="false" ht="15" hidden="false" customHeight="false" outlineLevel="0" collapsed="false">
      <c r="A38" s="0" t="s">
        <v>185</v>
      </c>
      <c r="B38" s="2" t="n">
        <v>46363</v>
      </c>
      <c r="C38" s="2" t="n">
        <v>46372</v>
      </c>
      <c r="D38" s="0" t="n">
        <v>6</v>
      </c>
    </row>
    <row r="39" customFormat="false" ht="15" hidden="false" customHeight="false" outlineLevel="0" collapsed="false">
      <c r="A39" s="0" t="s">
        <v>178</v>
      </c>
      <c r="B39" s="2" t="n">
        <v>46255</v>
      </c>
      <c r="C39" s="2" t="n">
        <v>46284</v>
      </c>
      <c r="D39" s="0" t="n">
        <v>10</v>
      </c>
    </row>
    <row r="40" customFormat="false" ht="15" hidden="false" customHeight="false" outlineLevel="0" collapsed="false">
      <c r="A40" s="0" t="s">
        <v>178</v>
      </c>
      <c r="B40" s="2" t="n">
        <v>46285</v>
      </c>
      <c r="C40" s="2" t="n">
        <v>46322</v>
      </c>
      <c r="D40" s="0" t="n">
        <v>12</v>
      </c>
    </row>
    <row r="41" customFormat="false" ht="15" hidden="false" customHeight="false" outlineLevel="0" collapsed="false">
      <c r="A41" s="0" t="s">
        <v>178</v>
      </c>
      <c r="B41" s="2" t="n">
        <v>46323</v>
      </c>
      <c r="C41" s="2" t="n">
        <v>46344</v>
      </c>
      <c r="D41" s="0" t="n">
        <v>10</v>
      </c>
    </row>
    <row r="42" customFormat="false" ht="15" hidden="false" customHeight="false" outlineLevel="0" collapsed="false">
      <c r="A42" s="0" t="s">
        <v>178</v>
      </c>
      <c r="B42" s="2" t="n">
        <v>46345</v>
      </c>
      <c r="C42" s="2" t="n">
        <v>46362</v>
      </c>
      <c r="D42" s="0" t="n">
        <v>10</v>
      </c>
    </row>
    <row r="43" customFormat="false" ht="15" hidden="false" customHeight="false" outlineLevel="0" collapsed="false">
      <c r="A43" s="0" t="s">
        <v>178</v>
      </c>
      <c r="B43" s="2" t="n">
        <v>46345</v>
      </c>
      <c r="C43" s="2" t="n">
        <v>46378</v>
      </c>
      <c r="D43" s="0" t="n">
        <v>10</v>
      </c>
    </row>
    <row r="44" customFormat="false" ht="15" hidden="false" customHeight="false" outlineLevel="0" collapsed="false">
      <c r="A44" s="0" t="s">
        <v>178</v>
      </c>
      <c r="B44" s="2" t="n">
        <v>46363</v>
      </c>
      <c r="C44" s="2" t="n">
        <v>46394</v>
      </c>
      <c r="D44" s="0" t="n">
        <v>12</v>
      </c>
    </row>
    <row r="45" customFormat="false" ht="15" hidden="false" customHeight="false" outlineLevel="0" collapsed="false">
      <c r="A45" s="0" t="s">
        <v>178</v>
      </c>
      <c r="B45" s="2" t="n">
        <v>46379</v>
      </c>
      <c r="C45" s="2" t="n">
        <v>46400</v>
      </c>
      <c r="D45" s="0" t="n">
        <v>10</v>
      </c>
    </row>
    <row r="46" customFormat="false" ht="15" hidden="false" customHeight="false" outlineLevel="0" collapsed="false">
      <c r="A46" s="0" t="s">
        <v>178</v>
      </c>
      <c r="B46" s="2" t="n">
        <v>46395</v>
      </c>
      <c r="C46" s="2" t="n">
        <v>46420</v>
      </c>
      <c r="D46" s="0" t="n">
        <v>10</v>
      </c>
    </row>
    <row r="47" customFormat="false" ht="15" hidden="false" customHeight="false" outlineLevel="0" collapsed="false">
      <c r="A47" s="0" t="s">
        <v>179</v>
      </c>
      <c r="B47" s="2" t="n">
        <v>46263</v>
      </c>
      <c r="C47" s="2" t="n">
        <v>46288</v>
      </c>
      <c r="D47" s="0" t="n">
        <v>10</v>
      </c>
    </row>
    <row r="48" customFormat="false" ht="15" hidden="false" customHeight="false" outlineLevel="0" collapsed="false">
      <c r="A48" s="0" t="s">
        <v>179</v>
      </c>
      <c r="B48" s="2" t="n">
        <v>46267</v>
      </c>
      <c r="C48" s="2" t="n">
        <v>46290</v>
      </c>
      <c r="D48" s="0" t="n">
        <v>10</v>
      </c>
    </row>
    <row r="49" customFormat="false" ht="15" hidden="false" customHeight="false" outlineLevel="0" collapsed="false">
      <c r="A49" s="0" t="s">
        <v>179</v>
      </c>
      <c r="B49" s="2" t="n">
        <v>46289</v>
      </c>
      <c r="C49" s="2" t="n">
        <v>46312</v>
      </c>
      <c r="D49" s="0" t="n">
        <v>10</v>
      </c>
    </row>
    <row r="50" customFormat="false" ht="15" hidden="false" customHeight="false" outlineLevel="0" collapsed="false">
      <c r="A50" s="0" t="s">
        <v>179</v>
      </c>
      <c r="B50" s="2" t="n">
        <v>46289</v>
      </c>
      <c r="C50" s="2" t="n">
        <v>46306</v>
      </c>
      <c r="D50" s="0" t="n">
        <v>10</v>
      </c>
    </row>
    <row r="51" customFormat="false" ht="15" hidden="false" customHeight="false" outlineLevel="0" collapsed="false">
      <c r="A51" s="0" t="s">
        <v>179</v>
      </c>
      <c r="B51" s="2" t="n">
        <v>46291</v>
      </c>
      <c r="C51" s="2" t="n">
        <v>46310</v>
      </c>
      <c r="D51" s="0" t="n">
        <v>10</v>
      </c>
    </row>
    <row r="52" customFormat="false" ht="15" hidden="false" customHeight="false" outlineLevel="0" collapsed="false">
      <c r="A52" s="0" t="s">
        <v>179</v>
      </c>
      <c r="B52" s="2" t="n">
        <v>46379</v>
      </c>
      <c r="C52" s="2" t="n">
        <v>46394</v>
      </c>
      <c r="D52" s="0" t="n">
        <v>10</v>
      </c>
    </row>
    <row r="53" customFormat="false" ht="15" hidden="false" customHeight="false" outlineLevel="0" collapsed="false">
      <c r="A53" s="0" t="s">
        <v>179</v>
      </c>
      <c r="B53" s="2" t="n">
        <v>46379</v>
      </c>
      <c r="C53" s="2" t="n">
        <v>46396</v>
      </c>
      <c r="D53" s="0" t="n">
        <v>10</v>
      </c>
    </row>
    <row r="54" customFormat="false" ht="15" hidden="false" customHeight="false" outlineLevel="0" collapsed="false">
      <c r="A54" s="0" t="s">
        <v>179</v>
      </c>
      <c r="B54" s="2" t="n">
        <v>46397</v>
      </c>
      <c r="C54" s="2" t="n">
        <v>46410</v>
      </c>
      <c r="D54" s="0" t="n">
        <v>10</v>
      </c>
    </row>
    <row r="55" customFormat="false" ht="15" hidden="false" customHeight="false" outlineLevel="0" collapsed="false">
      <c r="A55" s="0" t="s">
        <v>186</v>
      </c>
      <c r="B55" s="2" t="n">
        <v>46401</v>
      </c>
      <c r="C55" s="2" t="n">
        <v>46430</v>
      </c>
      <c r="D55" s="0" t="n">
        <v>10</v>
      </c>
    </row>
    <row r="56" customFormat="false" ht="15" hidden="false" customHeight="false" outlineLevel="0" collapsed="false">
      <c r="A56" s="0" t="s">
        <v>186</v>
      </c>
      <c r="B56" s="2" t="n">
        <v>46421</v>
      </c>
      <c r="C56" s="2" t="n">
        <v>46442</v>
      </c>
      <c r="D56" s="0" t="n">
        <v>12</v>
      </c>
    </row>
    <row r="57" customFormat="false" ht="15" hidden="false" customHeight="false" outlineLevel="0" collapsed="false">
      <c r="A57" s="0" t="s">
        <v>186</v>
      </c>
      <c r="B57" s="2" t="n">
        <v>46431</v>
      </c>
      <c r="C57" s="2" t="n">
        <v>46442</v>
      </c>
      <c r="D57" s="0" t="n">
        <v>10</v>
      </c>
    </row>
    <row r="58" customFormat="false" ht="15" hidden="false" customHeight="false" outlineLevel="0" collapsed="false">
      <c r="A58" s="0" t="s">
        <v>186</v>
      </c>
      <c r="B58" s="2" t="n">
        <v>46443</v>
      </c>
      <c r="C58" s="2" t="n">
        <v>46466</v>
      </c>
      <c r="D58" s="0" t="n">
        <v>6</v>
      </c>
    </row>
    <row r="59" customFormat="false" ht="15" hidden="false" customHeight="false" outlineLevel="0" collapsed="false">
      <c r="A59" s="0" t="s">
        <v>186</v>
      </c>
      <c r="B59" s="2" t="n">
        <v>46467</v>
      </c>
      <c r="C59" s="2" t="n">
        <v>46480</v>
      </c>
      <c r="D59" s="0" t="n">
        <v>6</v>
      </c>
    </row>
    <row r="60" customFormat="false" ht="15" hidden="false" customHeight="false" outlineLevel="0" collapsed="false">
      <c r="A60" s="0" t="s">
        <v>186</v>
      </c>
      <c r="B60" s="2" t="n">
        <v>46467</v>
      </c>
      <c r="C60" s="2" t="n">
        <v>46484</v>
      </c>
      <c r="D60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89</v>
      </c>
      <c r="C1" s="1" t="s">
        <v>187</v>
      </c>
      <c r="D1" s="1" t="s">
        <v>188</v>
      </c>
      <c r="E1" s="1" t="s">
        <v>189</v>
      </c>
      <c r="F1" s="1" t="s">
        <v>190</v>
      </c>
    </row>
    <row r="2" customFormat="false" ht="15" hidden="false" customHeight="false" outlineLevel="0" collapsed="false">
      <c r="A2" s="0" t="s">
        <v>175</v>
      </c>
      <c r="B2" s="2" t="n">
        <v>46094</v>
      </c>
      <c r="C2" s="0" t="n">
        <v>14.6</v>
      </c>
      <c r="D2" s="0" t="n">
        <v>118000</v>
      </c>
      <c r="E2" s="3" t="s">
        <v>191</v>
      </c>
      <c r="F2" s="3" t="n">
        <f aca="false">IF(E2="HEURE",C2*D2,IF(E2="JOUR",C2/Parametres!$B$6*D2,0))</f>
        <v>215350</v>
      </c>
    </row>
    <row r="3" customFormat="false" ht="15" hidden="false" customHeight="false" outlineLevel="0" collapsed="false">
      <c r="A3" s="0" t="s">
        <v>175</v>
      </c>
      <c r="B3" s="2" t="n">
        <v>46094</v>
      </c>
      <c r="C3" s="0" t="n">
        <v>8.3</v>
      </c>
      <c r="D3" s="0" t="n">
        <v>265000</v>
      </c>
      <c r="E3" s="3" t="s">
        <v>191</v>
      </c>
      <c r="F3" s="3" t="n">
        <f aca="false">IF(E3="HEURE",C3*D3,IF(E3="JOUR",C3/Parametres!$B$6*D3,0))</f>
        <v>274937.5</v>
      </c>
    </row>
    <row r="4" customFormat="false" ht="15" hidden="false" customHeight="false" outlineLevel="0" collapsed="false">
      <c r="A4" s="0" t="s">
        <v>175</v>
      </c>
      <c r="B4" s="2" t="n">
        <v>46095</v>
      </c>
      <c r="C4" s="0" t="n">
        <v>13.8</v>
      </c>
      <c r="D4" s="0" t="n">
        <v>118000</v>
      </c>
      <c r="E4" s="3" t="s">
        <v>191</v>
      </c>
      <c r="F4" s="3" t="n">
        <f aca="false">IF(E4="HEURE",C4*D4,IF(E4="JOUR",C4/Parametres!$B$6*D4,0))</f>
        <v>203550</v>
      </c>
    </row>
    <row r="5" customFormat="false" ht="15" hidden="false" customHeight="false" outlineLevel="0" collapsed="false">
      <c r="A5" s="0" t="s">
        <v>175</v>
      </c>
      <c r="B5" s="2" t="n">
        <v>46095</v>
      </c>
      <c r="C5" s="0" t="n">
        <v>7.1</v>
      </c>
      <c r="D5" s="0" t="n">
        <v>265000</v>
      </c>
      <c r="E5" s="3" t="s">
        <v>191</v>
      </c>
      <c r="F5" s="3" t="n">
        <f aca="false">IF(E5="HEURE",C5*D5,IF(E5="JOUR",C5/Parametres!$B$6*D5,0))</f>
        <v>235187.5</v>
      </c>
    </row>
    <row r="6" customFormat="false" ht="15" hidden="false" customHeight="false" outlineLevel="0" collapsed="false">
      <c r="A6" s="0" t="s">
        <v>175</v>
      </c>
      <c r="B6" s="2" t="n">
        <v>46096</v>
      </c>
      <c r="C6" s="0" t="n">
        <v>15.7</v>
      </c>
      <c r="D6" s="0" t="n">
        <v>118000</v>
      </c>
      <c r="E6" s="3" t="s">
        <v>191</v>
      </c>
      <c r="F6" s="3" t="n">
        <f aca="false">IF(E6="HEURE",C6*D6,IF(E6="JOUR",C6/Parametres!$B$6*D6,0))</f>
        <v>231575</v>
      </c>
    </row>
    <row r="7" customFormat="false" ht="15" hidden="false" customHeight="false" outlineLevel="0" collapsed="false">
      <c r="A7" s="0" t="s">
        <v>175</v>
      </c>
      <c r="B7" s="2" t="n">
        <v>46096</v>
      </c>
      <c r="C7" s="0" t="n">
        <v>7.7</v>
      </c>
      <c r="D7" s="0" t="n">
        <v>265000</v>
      </c>
      <c r="E7" s="3" t="s">
        <v>191</v>
      </c>
      <c r="F7" s="3" t="n">
        <f aca="false">IF(E7="HEURE",C7*D7,IF(E7="JOUR",C7/Parametres!$B$6*D7,0))</f>
        <v>255062.5</v>
      </c>
    </row>
    <row r="8" customFormat="false" ht="15" hidden="false" customHeight="false" outlineLevel="0" collapsed="false">
      <c r="A8" s="0" t="s">
        <v>175</v>
      </c>
      <c r="B8" s="2" t="n">
        <v>46097</v>
      </c>
      <c r="C8" s="0" t="n">
        <v>14.2</v>
      </c>
      <c r="D8" s="0" t="n">
        <v>118000</v>
      </c>
      <c r="E8" s="3" t="s">
        <v>191</v>
      </c>
      <c r="F8" s="3" t="n">
        <f aca="false">IF(E8="HEURE",C8*D8,IF(E8="JOUR",C8/Parametres!$B$6*D8,0))</f>
        <v>209450</v>
      </c>
    </row>
    <row r="9" customFormat="false" ht="15" hidden="false" customHeight="false" outlineLevel="0" collapsed="false">
      <c r="A9" s="0" t="s">
        <v>175</v>
      </c>
      <c r="B9" s="2" t="n">
        <v>46097</v>
      </c>
      <c r="C9" s="0" t="n">
        <v>7.4</v>
      </c>
      <c r="D9" s="0" t="n">
        <v>265000</v>
      </c>
      <c r="E9" s="3" t="s">
        <v>191</v>
      </c>
      <c r="F9" s="3" t="n">
        <f aca="false">IF(E9="HEURE",C9*D9,IF(E9="JOUR",C9/Parametres!$B$6*D9,0))</f>
        <v>245125</v>
      </c>
    </row>
    <row r="10" customFormat="false" ht="15" hidden="false" customHeight="false" outlineLevel="0" collapsed="false">
      <c r="A10" s="0" t="s">
        <v>175</v>
      </c>
      <c r="B10" s="2" t="n">
        <v>46098</v>
      </c>
      <c r="C10" s="0" t="n">
        <v>15</v>
      </c>
      <c r="D10" s="0" t="n">
        <v>118000</v>
      </c>
      <c r="E10" s="3" t="s">
        <v>191</v>
      </c>
      <c r="F10" s="3" t="n">
        <f aca="false">IF(E10="HEURE",C10*D10,IF(E10="JOUR",C10/Parametres!$B$6*D10,0))</f>
        <v>221250</v>
      </c>
    </row>
    <row r="11" customFormat="false" ht="15" hidden="false" customHeight="false" outlineLevel="0" collapsed="false">
      <c r="A11" s="0" t="s">
        <v>175</v>
      </c>
      <c r="B11" s="2" t="n">
        <v>46098</v>
      </c>
      <c r="C11" s="0" t="n">
        <v>8.1</v>
      </c>
      <c r="D11" s="0" t="n">
        <v>265000</v>
      </c>
      <c r="E11" s="3" t="s">
        <v>191</v>
      </c>
      <c r="F11" s="3" t="n">
        <f aca="false">IF(E11="HEURE",C11*D11,IF(E11="JOUR",C11/Parametres!$B$6*D11,0))</f>
        <v>268312.5</v>
      </c>
    </row>
    <row r="12" customFormat="false" ht="15" hidden="false" customHeight="false" outlineLevel="0" collapsed="false">
      <c r="A12" s="0" t="s">
        <v>175</v>
      </c>
      <c r="B12" s="2" t="n">
        <v>46099</v>
      </c>
      <c r="C12" s="0" t="n">
        <v>14.1</v>
      </c>
      <c r="D12" s="0" t="n">
        <v>118000</v>
      </c>
      <c r="E12" s="3" t="s">
        <v>191</v>
      </c>
      <c r="F12" s="3" t="n">
        <f aca="false">IF(E12="HEURE",C12*D12,IF(E12="JOUR",C12/Parametres!$B$6*D12,0))</f>
        <v>207975</v>
      </c>
    </row>
    <row r="13" customFormat="false" ht="15" hidden="false" customHeight="false" outlineLevel="0" collapsed="false">
      <c r="A13" s="0" t="s">
        <v>175</v>
      </c>
      <c r="B13" s="2" t="n">
        <v>46099</v>
      </c>
      <c r="C13" s="0" t="n">
        <v>6.9</v>
      </c>
      <c r="D13" s="0" t="n">
        <v>265000</v>
      </c>
      <c r="E13" s="3" t="s">
        <v>191</v>
      </c>
      <c r="F13" s="3" t="n">
        <f aca="false">IF(E13="HEURE",C13*D13,IF(E13="JOUR",C13/Parametres!$B$6*D13,0))</f>
        <v>228562.5</v>
      </c>
    </row>
    <row r="14" customFormat="false" ht="15" hidden="false" customHeight="false" outlineLevel="0" collapsed="false">
      <c r="A14" s="0" t="s">
        <v>175</v>
      </c>
      <c r="B14" s="2" t="n">
        <v>46100</v>
      </c>
      <c r="C14" s="0" t="n">
        <v>16</v>
      </c>
      <c r="D14" s="0" t="n">
        <v>118000</v>
      </c>
      <c r="E14" s="3" t="s">
        <v>191</v>
      </c>
      <c r="F14" s="3" t="n">
        <f aca="false">IF(E14="HEURE",C14*D14,IF(E14="JOUR",C14/Parametres!$B$6*D14,0))</f>
        <v>236000</v>
      </c>
    </row>
    <row r="15" customFormat="false" ht="15" hidden="false" customHeight="false" outlineLevel="0" collapsed="false">
      <c r="A15" s="0" t="s">
        <v>175</v>
      </c>
      <c r="B15" s="2" t="n">
        <v>46100</v>
      </c>
      <c r="C15" s="0" t="n">
        <v>7.7</v>
      </c>
      <c r="D15" s="0" t="n">
        <v>265000</v>
      </c>
      <c r="E15" s="3" t="s">
        <v>191</v>
      </c>
      <c r="F15" s="3" t="n">
        <f aca="false">IF(E15="HEURE",C15*D15,IF(E15="JOUR",C15/Parametres!$B$6*D15,0))</f>
        <v>255062.5</v>
      </c>
    </row>
    <row r="16" customFormat="false" ht="15" hidden="false" customHeight="false" outlineLevel="0" collapsed="false">
      <c r="A16" s="0" t="s">
        <v>175</v>
      </c>
      <c r="B16" s="2" t="n">
        <v>46101</v>
      </c>
      <c r="C16" s="0" t="n">
        <v>13.6</v>
      </c>
      <c r="D16" s="0" t="n">
        <v>118000</v>
      </c>
      <c r="E16" s="3" t="s">
        <v>191</v>
      </c>
      <c r="F16" s="3" t="n">
        <f aca="false">IF(E16="HEURE",C16*D16,IF(E16="JOUR",C16/Parametres!$B$6*D16,0))</f>
        <v>200600</v>
      </c>
    </row>
    <row r="17" customFormat="false" ht="15" hidden="false" customHeight="false" outlineLevel="0" collapsed="false">
      <c r="A17" s="0" t="s">
        <v>175</v>
      </c>
      <c r="B17" s="2" t="n">
        <v>46101</v>
      </c>
      <c r="C17" s="0" t="n">
        <v>7.7</v>
      </c>
      <c r="D17" s="0" t="n">
        <v>265000</v>
      </c>
      <c r="E17" s="3" t="s">
        <v>191</v>
      </c>
      <c r="F17" s="3" t="n">
        <f aca="false">IF(E17="HEURE",C17*D17,IF(E17="JOUR",C17/Parametres!$B$6*D17,0))</f>
        <v>255062.5</v>
      </c>
    </row>
    <row r="18" customFormat="false" ht="15" hidden="false" customHeight="false" outlineLevel="0" collapsed="false">
      <c r="A18" s="0" t="s">
        <v>175</v>
      </c>
      <c r="B18" s="2" t="n">
        <v>46102</v>
      </c>
      <c r="C18" s="0" t="n">
        <v>14.4</v>
      </c>
      <c r="D18" s="0" t="n">
        <v>118000</v>
      </c>
      <c r="E18" s="3" t="s">
        <v>191</v>
      </c>
      <c r="F18" s="3" t="n">
        <f aca="false">IF(E18="HEURE",C18*D18,IF(E18="JOUR",C18/Parametres!$B$6*D18,0))</f>
        <v>212400</v>
      </c>
    </row>
    <row r="19" customFormat="false" ht="15" hidden="false" customHeight="false" outlineLevel="0" collapsed="false">
      <c r="A19" s="0" t="s">
        <v>175</v>
      </c>
      <c r="B19" s="2" t="n">
        <v>46102</v>
      </c>
      <c r="C19" s="0" t="n">
        <v>8</v>
      </c>
      <c r="D19" s="0" t="n">
        <v>265000</v>
      </c>
      <c r="E19" s="3" t="s">
        <v>191</v>
      </c>
      <c r="F19" s="3" t="n">
        <f aca="false">IF(E19="HEURE",C19*D19,IF(E19="JOUR",C19/Parametres!$B$6*D19,0))</f>
        <v>265000</v>
      </c>
    </row>
    <row r="20" customFormat="false" ht="15" hidden="false" customHeight="false" outlineLevel="0" collapsed="false">
      <c r="A20" s="0" t="s">
        <v>175</v>
      </c>
      <c r="B20" s="2" t="n">
        <v>46103</v>
      </c>
      <c r="C20" s="0" t="n">
        <v>13.9</v>
      </c>
      <c r="D20" s="0" t="n">
        <v>118000</v>
      </c>
      <c r="E20" s="3" t="s">
        <v>191</v>
      </c>
      <c r="F20" s="3" t="n">
        <f aca="false">IF(E20="HEURE",C20*D20,IF(E20="JOUR",C20/Parametres!$B$6*D20,0))</f>
        <v>205025</v>
      </c>
    </row>
    <row r="21" customFormat="false" ht="15" hidden="false" customHeight="false" outlineLevel="0" collapsed="false">
      <c r="A21" s="0" t="s">
        <v>175</v>
      </c>
      <c r="B21" s="2" t="n">
        <v>46103</v>
      </c>
      <c r="C21" s="0" t="n">
        <v>7.4</v>
      </c>
      <c r="D21" s="0" t="n">
        <v>265000</v>
      </c>
      <c r="E21" s="3" t="s">
        <v>191</v>
      </c>
      <c r="F21" s="3" t="n">
        <f aca="false">IF(E21="HEURE",C21*D21,IF(E21="JOUR",C21/Parametres!$B$6*D21,0))</f>
        <v>245125</v>
      </c>
    </row>
    <row r="22" customFormat="false" ht="15" hidden="false" customHeight="false" outlineLevel="0" collapsed="false">
      <c r="A22" s="0" t="s">
        <v>175</v>
      </c>
      <c r="B22" s="2" t="n">
        <v>46104</v>
      </c>
      <c r="C22" s="0" t="n">
        <v>15.4</v>
      </c>
      <c r="D22" s="0" t="n">
        <v>118000</v>
      </c>
      <c r="E22" s="3" t="s">
        <v>191</v>
      </c>
      <c r="F22" s="3" t="n">
        <f aca="false">IF(E22="HEURE",C22*D22,IF(E22="JOUR",C22/Parametres!$B$6*D22,0))</f>
        <v>227150</v>
      </c>
    </row>
    <row r="23" customFormat="false" ht="15" hidden="false" customHeight="false" outlineLevel="0" collapsed="false">
      <c r="A23" s="0" t="s">
        <v>175</v>
      </c>
      <c r="B23" s="2" t="n">
        <v>46104</v>
      </c>
      <c r="C23" s="0" t="n">
        <v>8.3</v>
      </c>
      <c r="D23" s="0" t="n">
        <v>265000</v>
      </c>
      <c r="E23" s="3" t="s">
        <v>191</v>
      </c>
      <c r="F23" s="3" t="n">
        <f aca="false">IF(E23="HEURE",C23*D23,IF(E23="JOUR",C23/Parametres!$B$6*D23,0))</f>
        <v>274937.5</v>
      </c>
    </row>
    <row r="24" customFormat="false" ht="15" hidden="false" customHeight="false" outlineLevel="0" collapsed="false">
      <c r="A24" s="0" t="s">
        <v>175</v>
      </c>
      <c r="B24" s="2" t="n">
        <v>46105</v>
      </c>
      <c r="C24" s="0" t="n">
        <v>14.9</v>
      </c>
      <c r="D24" s="0" t="n">
        <v>118000</v>
      </c>
      <c r="E24" s="3" t="s">
        <v>191</v>
      </c>
      <c r="F24" s="3" t="n">
        <f aca="false">IF(E24="HEURE",C24*D24,IF(E24="JOUR",C24/Parametres!$B$6*D24,0))</f>
        <v>219775</v>
      </c>
    </row>
    <row r="25" customFormat="false" ht="15" hidden="false" customHeight="false" outlineLevel="0" collapsed="false">
      <c r="A25" s="0" t="s">
        <v>175</v>
      </c>
      <c r="B25" s="2" t="n">
        <v>46105</v>
      </c>
      <c r="C25" s="0" t="n">
        <v>7.8</v>
      </c>
      <c r="D25" s="0" t="n">
        <v>265000</v>
      </c>
      <c r="E25" s="3" t="s">
        <v>191</v>
      </c>
      <c r="F25" s="3" t="n">
        <f aca="false">IF(E25="HEURE",C25*D25,IF(E25="JOUR",C25/Parametres!$B$6*D25,0))</f>
        <v>258375</v>
      </c>
    </row>
    <row r="26" customFormat="false" ht="15" hidden="false" customHeight="false" outlineLevel="0" collapsed="false">
      <c r="A26" s="0" t="s">
        <v>175</v>
      </c>
      <c r="B26" s="2" t="n">
        <v>46106</v>
      </c>
      <c r="C26" s="0" t="n">
        <v>14.4</v>
      </c>
      <c r="D26" s="0" t="n">
        <v>118000</v>
      </c>
      <c r="E26" s="3" t="s">
        <v>191</v>
      </c>
      <c r="F26" s="3" t="n">
        <f aca="false">IF(E26="HEURE",C26*D26,IF(E26="JOUR",C26/Parametres!$B$6*D26,0))</f>
        <v>212400</v>
      </c>
    </row>
    <row r="27" customFormat="false" ht="15" hidden="false" customHeight="false" outlineLevel="0" collapsed="false">
      <c r="A27" s="0" t="s">
        <v>175</v>
      </c>
      <c r="B27" s="2" t="n">
        <v>46106</v>
      </c>
      <c r="C27" s="0" t="n">
        <v>7.7</v>
      </c>
      <c r="D27" s="0" t="n">
        <v>265000</v>
      </c>
      <c r="E27" s="3" t="s">
        <v>191</v>
      </c>
      <c r="F27" s="3" t="n">
        <f aca="false">IF(E27="HEURE",C27*D27,IF(E27="JOUR",C27/Parametres!$B$6*D27,0))</f>
        <v>255062.5</v>
      </c>
    </row>
    <row r="28" customFormat="false" ht="15" hidden="false" customHeight="false" outlineLevel="0" collapsed="false">
      <c r="A28" s="0" t="s">
        <v>175</v>
      </c>
      <c r="B28" s="2" t="n">
        <v>46107</v>
      </c>
      <c r="C28" s="0" t="n">
        <v>14.2</v>
      </c>
      <c r="D28" s="0" t="n">
        <v>118000</v>
      </c>
      <c r="E28" s="3" t="s">
        <v>191</v>
      </c>
      <c r="F28" s="3" t="n">
        <f aca="false">IF(E28="HEURE",C28*D28,IF(E28="JOUR",C28/Parametres!$B$6*D28,0))</f>
        <v>209450</v>
      </c>
    </row>
    <row r="29" customFormat="false" ht="15" hidden="false" customHeight="false" outlineLevel="0" collapsed="false">
      <c r="A29" s="0" t="s">
        <v>175</v>
      </c>
      <c r="B29" s="2" t="n">
        <v>46107</v>
      </c>
      <c r="C29" s="0" t="n">
        <v>7.8</v>
      </c>
      <c r="D29" s="0" t="n">
        <v>265000</v>
      </c>
      <c r="E29" s="3" t="s">
        <v>191</v>
      </c>
      <c r="F29" s="3" t="n">
        <f aca="false">IF(E29="HEURE",C29*D29,IF(E29="JOUR",C29/Parametres!$B$6*D29,0))</f>
        <v>258375</v>
      </c>
    </row>
    <row r="30" customFormat="false" ht="15" hidden="false" customHeight="false" outlineLevel="0" collapsed="false">
      <c r="A30" s="0" t="s">
        <v>175</v>
      </c>
      <c r="B30" s="2" t="n">
        <v>46108</v>
      </c>
      <c r="C30" s="0" t="n">
        <v>16.6</v>
      </c>
      <c r="D30" s="0" t="n">
        <v>118000</v>
      </c>
      <c r="E30" s="3" t="s">
        <v>191</v>
      </c>
      <c r="F30" s="3" t="n">
        <f aca="false">IF(E30="HEURE",C30*D30,IF(E30="JOUR",C30/Parametres!$B$6*D30,0))</f>
        <v>244850</v>
      </c>
    </row>
    <row r="31" customFormat="false" ht="15" hidden="false" customHeight="false" outlineLevel="0" collapsed="false">
      <c r="A31" s="0" t="s">
        <v>175</v>
      </c>
      <c r="B31" s="2" t="n">
        <v>46108</v>
      </c>
      <c r="C31" s="0" t="n">
        <v>6.8</v>
      </c>
      <c r="D31" s="0" t="n">
        <v>265000</v>
      </c>
      <c r="E31" s="3" t="s">
        <v>191</v>
      </c>
      <c r="F31" s="3" t="n">
        <f aca="false">IF(E31="HEURE",C31*D31,IF(E31="JOUR",C31/Parametres!$B$6*D31,0))</f>
        <v>225250</v>
      </c>
    </row>
    <row r="32" customFormat="false" ht="15" hidden="false" customHeight="false" outlineLevel="0" collapsed="false">
      <c r="A32" s="0" t="s">
        <v>175</v>
      </c>
      <c r="B32" s="2" t="n">
        <v>46109</v>
      </c>
      <c r="C32" s="0" t="n">
        <v>13.8</v>
      </c>
      <c r="D32" s="0" t="n">
        <v>118000</v>
      </c>
      <c r="E32" s="3" t="s">
        <v>191</v>
      </c>
      <c r="F32" s="3" t="n">
        <f aca="false">IF(E32="HEURE",C32*D32,IF(E32="JOUR",C32/Parametres!$B$6*D32,0))</f>
        <v>203550</v>
      </c>
    </row>
    <row r="33" customFormat="false" ht="15" hidden="false" customHeight="false" outlineLevel="0" collapsed="false">
      <c r="A33" s="0" t="s">
        <v>175</v>
      </c>
      <c r="B33" s="2" t="n">
        <v>46109</v>
      </c>
      <c r="C33" s="0" t="n">
        <v>7</v>
      </c>
      <c r="D33" s="0" t="n">
        <v>265000</v>
      </c>
      <c r="E33" s="3" t="s">
        <v>191</v>
      </c>
      <c r="F33" s="3" t="n">
        <f aca="false">IF(E33="HEURE",C33*D33,IF(E33="JOUR",C33/Parametres!$B$6*D33,0))</f>
        <v>231875</v>
      </c>
    </row>
    <row r="34" customFormat="false" ht="15" hidden="false" customHeight="false" outlineLevel="0" collapsed="false">
      <c r="A34" s="0" t="s">
        <v>175</v>
      </c>
      <c r="B34" s="2" t="n">
        <v>46110</v>
      </c>
      <c r="C34" s="0" t="n">
        <v>14.4</v>
      </c>
      <c r="D34" s="0" t="n">
        <v>118000</v>
      </c>
      <c r="E34" s="3" t="s">
        <v>191</v>
      </c>
      <c r="F34" s="3" t="n">
        <f aca="false">IF(E34="HEURE",C34*D34,IF(E34="JOUR",C34/Parametres!$B$6*D34,0))</f>
        <v>212400</v>
      </c>
    </row>
    <row r="35" customFormat="false" ht="15" hidden="false" customHeight="false" outlineLevel="0" collapsed="false">
      <c r="A35" s="0" t="s">
        <v>175</v>
      </c>
      <c r="B35" s="2" t="n">
        <v>46110</v>
      </c>
      <c r="C35" s="0" t="n">
        <v>7.1</v>
      </c>
      <c r="D35" s="0" t="n">
        <v>265000</v>
      </c>
      <c r="E35" s="3" t="s">
        <v>191</v>
      </c>
      <c r="F35" s="3" t="n">
        <f aca="false">IF(E35="HEURE",C35*D35,IF(E35="JOUR",C35/Parametres!$B$6*D35,0))</f>
        <v>235187.5</v>
      </c>
    </row>
    <row r="36" customFormat="false" ht="15" hidden="false" customHeight="false" outlineLevel="0" collapsed="false">
      <c r="A36" s="0" t="s">
        <v>175</v>
      </c>
      <c r="B36" s="2" t="n">
        <v>46111</v>
      </c>
      <c r="C36" s="0" t="n">
        <v>15.2</v>
      </c>
      <c r="D36" s="0" t="n">
        <v>118000</v>
      </c>
      <c r="E36" s="3" t="s">
        <v>191</v>
      </c>
      <c r="F36" s="3" t="n">
        <f aca="false">IF(E36="HEURE",C36*D36,IF(E36="JOUR",C36/Parametres!$B$6*D36,0))</f>
        <v>224200</v>
      </c>
    </row>
    <row r="37" customFormat="false" ht="15" hidden="false" customHeight="false" outlineLevel="0" collapsed="false">
      <c r="A37" s="0" t="s">
        <v>175</v>
      </c>
      <c r="B37" s="2" t="n">
        <v>46111</v>
      </c>
      <c r="C37" s="0" t="n">
        <v>7.9</v>
      </c>
      <c r="D37" s="0" t="n">
        <v>265000</v>
      </c>
      <c r="E37" s="3" t="s">
        <v>191</v>
      </c>
      <c r="F37" s="3" t="n">
        <f aca="false">IF(E37="HEURE",C37*D37,IF(E37="JOUR",C37/Parametres!$B$6*D37,0))</f>
        <v>261687.5</v>
      </c>
    </row>
    <row r="38" customFormat="false" ht="15" hidden="false" customHeight="false" outlineLevel="0" collapsed="false">
      <c r="A38" s="0" t="s">
        <v>175</v>
      </c>
      <c r="B38" s="2" t="n">
        <v>46112</v>
      </c>
      <c r="C38" s="0" t="n">
        <v>15.8</v>
      </c>
      <c r="D38" s="0" t="n">
        <v>118000</v>
      </c>
      <c r="E38" s="3" t="s">
        <v>191</v>
      </c>
      <c r="F38" s="3" t="n">
        <f aca="false">IF(E38="HEURE",C38*D38,IF(E38="JOUR",C38/Parametres!$B$6*D38,0))</f>
        <v>233050</v>
      </c>
    </row>
    <row r="39" customFormat="false" ht="15" hidden="false" customHeight="false" outlineLevel="0" collapsed="false">
      <c r="A39" s="0" t="s">
        <v>175</v>
      </c>
      <c r="B39" s="2" t="n">
        <v>46112</v>
      </c>
      <c r="C39" s="0" t="n">
        <v>8.1</v>
      </c>
      <c r="D39" s="0" t="n">
        <v>265000</v>
      </c>
      <c r="E39" s="3" t="s">
        <v>191</v>
      </c>
      <c r="F39" s="3" t="n">
        <f aca="false">IF(E39="HEURE",C39*D39,IF(E39="JOUR",C39/Parametres!$B$6*D39,0))</f>
        <v>268312.5</v>
      </c>
    </row>
    <row r="40" customFormat="false" ht="15" hidden="false" customHeight="false" outlineLevel="0" collapsed="false">
      <c r="A40" s="0" t="s">
        <v>175</v>
      </c>
      <c r="B40" s="2" t="n">
        <v>46113</v>
      </c>
      <c r="C40" s="0" t="n">
        <v>14.6</v>
      </c>
      <c r="D40" s="0" t="n">
        <v>118000</v>
      </c>
      <c r="E40" s="3" t="s">
        <v>191</v>
      </c>
      <c r="F40" s="3" t="n">
        <f aca="false">IF(E40="HEURE",C40*D40,IF(E40="JOUR",C40/Parametres!$B$6*D40,0))</f>
        <v>215350</v>
      </c>
    </row>
    <row r="41" customFormat="false" ht="15" hidden="false" customHeight="false" outlineLevel="0" collapsed="false">
      <c r="A41" s="0" t="s">
        <v>175</v>
      </c>
      <c r="B41" s="2" t="n">
        <v>46113</v>
      </c>
      <c r="C41" s="0" t="n">
        <v>7.9</v>
      </c>
      <c r="D41" s="0" t="n">
        <v>265000</v>
      </c>
      <c r="E41" s="3" t="s">
        <v>191</v>
      </c>
      <c r="F41" s="3" t="n">
        <f aca="false">IF(E41="HEURE",C41*D41,IF(E41="JOUR",C41/Parametres!$B$6*D41,0))</f>
        <v>261687.5</v>
      </c>
    </row>
    <row r="42" customFormat="false" ht="15" hidden="false" customHeight="false" outlineLevel="0" collapsed="false">
      <c r="A42" s="0" t="s">
        <v>175</v>
      </c>
      <c r="B42" s="2" t="n">
        <v>46114</v>
      </c>
      <c r="C42" s="0" t="n">
        <v>15.2</v>
      </c>
      <c r="D42" s="0" t="n">
        <v>118000</v>
      </c>
      <c r="E42" s="3" t="s">
        <v>191</v>
      </c>
      <c r="F42" s="3" t="n">
        <f aca="false">IF(E42="HEURE",C42*D42,IF(E42="JOUR",C42/Parametres!$B$6*D42,0))</f>
        <v>224200</v>
      </c>
    </row>
    <row r="43" customFormat="false" ht="15" hidden="false" customHeight="false" outlineLevel="0" collapsed="false">
      <c r="A43" s="0" t="s">
        <v>175</v>
      </c>
      <c r="B43" s="2" t="n">
        <v>46114</v>
      </c>
      <c r="C43" s="0" t="n">
        <v>6.9</v>
      </c>
      <c r="D43" s="0" t="n">
        <v>265000</v>
      </c>
      <c r="E43" s="3" t="s">
        <v>191</v>
      </c>
      <c r="F43" s="3" t="n">
        <f aca="false">IF(E43="HEURE",C43*D43,IF(E43="JOUR",C43/Parametres!$B$6*D43,0))</f>
        <v>228562.5</v>
      </c>
    </row>
    <row r="44" customFormat="false" ht="15" hidden="false" customHeight="false" outlineLevel="0" collapsed="false">
      <c r="A44" s="0" t="s">
        <v>175</v>
      </c>
      <c r="B44" s="2" t="n">
        <v>46115</v>
      </c>
      <c r="C44" s="0" t="n">
        <v>15.4</v>
      </c>
      <c r="D44" s="0" t="n">
        <v>118000</v>
      </c>
      <c r="E44" s="3" t="s">
        <v>191</v>
      </c>
      <c r="F44" s="3" t="n">
        <f aca="false">IF(E44="HEURE",C44*D44,IF(E44="JOUR",C44/Parametres!$B$6*D44,0))</f>
        <v>227150</v>
      </c>
    </row>
    <row r="45" customFormat="false" ht="15" hidden="false" customHeight="false" outlineLevel="0" collapsed="false">
      <c r="A45" s="0" t="s">
        <v>175</v>
      </c>
      <c r="B45" s="2" t="n">
        <v>46115</v>
      </c>
      <c r="C45" s="0" t="n">
        <v>8.2</v>
      </c>
      <c r="D45" s="0" t="n">
        <v>265000</v>
      </c>
      <c r="E45" s="3" t="s">
        <v>191</v>
      </c>
      <c r="F45" s="3" t="n">
        <f aca="false">IF(E45="HEURE",C45*D45,IF(E45="JOUR",C45/Parametres!$B$6*D45,0))</f>
        <v>271625</v>
      </c>
    </row>
    <row r="46" customFormat="false" ht="15" hidden="false" customHeight="false" outlineLevel="0" collapsed="false">
      <c r="A46" s="0" t="s">
        <v>175</v>
      </c>
      <c r="B46" s="2" t="n">
        <v>46116</v>
      </c>
      <c r="C46" s="0" t="n">
        <v>14.2</v>
      </c>
      <c r="D46" s="0" t="n">
        <v>118000</v>
      </c>
      <c r="E46" s="3" t="s">
        <v>191</v>
      </c>
      <c r="F46" s="3" t="n">
        <f aca="false">IF(E46="HEURE",C46*D46,IF(E46="JOUR",C46/Parametres!$B$6*D46,0))</f>
        <v>209450</v>
      </c>
    </row>
    <row r="47" customFormat="false" ht="15" hidden="false" customHeight="false" outlineLevel="0" collapsed="false">
      <c r="A47" s="0" t="s">
        <v>175</v>
      </c>
      <c r="B47" s="2" t="n">
        <v>46116</v>
      </c>
      <c r="C47" s="0" t="n">
        <v>8</v>
      </c>
      <c r="D47" s="0" t="n">
        <v>265000</v>
      </c>
      <c r="E47" s="3" t="s">
        <v>191</v>
      </c>
      <c r="F47" s="3" t="n">
        <f aca="false">IF(E47="HEURE",C47*D47,IF(E47="JOUR",C47/Parametres!$B$6*D47,0))</f>
        <v>265000</v>
      </c>
    </row>
    <row r="48" customFormat="false" ht="15" hidden="false" customHeight="false" outlineLevel="0" collapsed="false">
      <c r="A48" s="0" t="s">
        <v>175</v>
      </c>
      <c r="B48" s="2" t="n">
        <v>46117</v>
      </c>
      <c r="C48" s="0" t="n">
        <v>13.9</v>
      </c>
      <c r="D48" s="0" t="n">
        <v>118000</v>
      </c>
      <c r="E48" s="3" t="s">
        <v>191</v>
      </c>
      <c r="F48" s="3" t="n">
        <f aca="false">IF(E48="HEURE",C48*D48,IF(E48="JOUR",C48/Parametres!$B$6*D48,0))</f>
        <v>205025</v>
      </c>
    </row>
    <row r="49" customFormat="false" ht="15" hidden="false" customHeight="false" outlineLevel="0" collapsed="false">
      <c r="A49" s="0" t="s">
        <v>175</v>
      </c>
      <c r="B49" s="2" t="n">
        <v>46117</v>
      </c>
      <c r="C49" s="0" t="n">
        <v>7.9</v>
      </c>
      <c r="D49" s="0" t="n">
        <v>265000</v>
      </c>
      <c r="E49" s="3" t="s">
        <v>191</v>
      </c>
      <c r="F49" s="3" t="n">
        <f aca="false">IF(E49="HEURE",C49*D49,IF(E49="JOUR",C49/Parametres!$B$6*D49,0))</f>
        <v>261687.5</v>
      </c>
    </row>
    <row r="50" customFormat="false" ht="15" hidden="false" customHeight="false" outlineLevel="0" collapsed="false">
      <c r="A50" s="0" t="s">
        <v>175</v>
      </c>
      <c r="B50" s="2" t="n">
        <v>46118</v>
      </c>
      <c r="C50" s="0" t="n">
        <v>16.2</v>
      </c>
      <c r="D50" s="0" t="n">
        <v>118000</v>
      </c>
      <c r="E50" s="3" t="s">
        <v>191</v>
      </c>
      <c r="F50" s="3" t="n">
        <f aca="false">IF(E50="HEURE",C50*D50,IF(E50="JOUR",C50/Parametres!$B$6*D50,0))</f>
        <v>238950</v>
      </c>
    </row>
    <row r="51" customFormat="false" ht="15" hidden="false" customHeight="false" outlineLevel="0" collapsed="false">
      <c r="A51" s="0" t="s">
        <v>175</v>
      </c>
      <c r="B51" s="2" t="n">
        <v>46118</v>
      </c>
      <c r="C51" s="0" t="n">
        <v>7.7</v>
      </c>
      <c r="D51" s="0" t="n">
        <v>265000</v>
      </c>
      <c r="E51" s="3" t="s">
        <v>191</v>
      </c>
      <c r="F51" s="3" t="n">
        <f aca="false">IF(E51="HEURE",C51*D51,IF(E51="JOUR",C51/Parametres!$B$6*D51,0))</f>
        <v>255062.5</v>
      </c>
    </row>
    <row r="52" customFormat="false" ht="15" hidden="false" customHeight="false" outlineLevel="0" collapsed="false">
      <c r="A52" s="0" t="s">
        <v>175</v>
      </c>
      <c r="B52" s="2" t="n">
        <v>46119</v>
      </c>
      <c r="C52" s="0" t="n">
        <v>14.1</v>
      </c>
      <c r="D52" s="0" t="n">
        <v>118000</v>
      </c>
      <c r="E52" s="3" t="s">
        <v>191</v>
      </c>
      <c r="F52" s="3" t="n">
        <f aca="false">IF(E52="HEURE",C52*D52,IF(E52="JOUR",C52/Parametres!$B$6*D52,0))</f>
        <v>207975</v>
      </c>
    </row>
    <row r="53" customFormat="false" ht="15" hidden="false" customHeight="false" outlineLevel="0" collapsed="false">
      <c r="A53" s="0" t="s">
        <v>175</v>
      </c>
      <c r="B53" s="2" t="n">
        <v>46119</v>
      </c>
      <c r="C53" s="0" t="n">
        <v>8</v>
      </c>
      <c r="D53" s="0" t="n">
        <v>265000</v>
      </c>
      <c r="E53" s="3" t="s">
        <v>191</v>
      </c>
      <c r="F53" s="3" t="n">
        <f aca="false">IF(E53="HEURE",C53*D53,IF(E53="JOUR",C53/Parametres!$B$6*D53,0))</f>
        <v>265000</v>
      </c>
    </row>
    <row r="54" customFormat="false" ht="15" hidden="false" customHeight="false" outlineLevel="0" collapsed="false">
      <c r="A54" s="0" t="s">
        <v>175</v>
      </c>
      <c r="B54" s="2" t="n">
        <v>46121</v>
      </c>
      <c r="C54" s="0" t="n">
        <v>14.7</v>
      </c>
      <c r="D54" s="0" t="n">
        <v>118000</v>
      </c>
      <c r="E54" s="3" t="s">
        <v>191</v>
      </c>
      <c r="F54" s="3" t="n">
        <f aca="false">IF(E54="HEURE",C54*D54,IF(E54="JOUR",C54/Parametres!$B$6*D54,0))</f>
        <v>216825</v>
      </c>
    </row>
    <row r="55" customFormat="false" ht="15" hidden="false" customHeight="false" outlineLevel="0" collapsed="false">
      <c r="A55" s="0" t="s">
        <v>175</v>
      </c>
      <c r="B55" s="2" t="n">
        <v>46121</v>
      </c>
      <c r="C55" s="0" t="n">
        <v>6.9</v>
      </c>
      <c r="D55" s="0" t="n">
        <v>265000</v>
      </c>
      <c r="E55" s="3" t="s">
        <v>191</v>
      </c>
      <c r="F55" s="3" t="n">
        <f aca="false">IF(E55="HEURE",C55*D55,IF(E55="JOUR",C55/Parametres!$B$6*D55,0))</f>
        <v>228562.5</v>
      </c>
    </row>
    <row r="56" customFormat="false" ht="15" hidden="false" customHeight="false" outlineLevel="0" collapsed="false">
      <c r="A56" s="0" t="s">
        <v>175</v>
      </c>
      <c r="B56" s="2" t="n">
        <v>46122</v>
      </c>
      <c r="C56" s="0" t="n">
        <v>15.8</v>
      </c>
      <c r="D56" s="0" t="n">
        <v>118000</v>
      </c>
      <c r="E56" s="3" t="s">
        <v>191</v>
      </c>
      <c r="F56" s="3" t="n">
        <f aca="false">IF(E56="HEURE",C56*D56,IF(E56="JOUR",C56/Parametres!$B$6*D56,0))</f>
        <v>233050</v>
      </c>
    </row>
    <row r="57" customFormat="false" ht="15" hidden="false" customHeight="false" outlineLevel="0" collapsed="false">
      <c r="A57" s="0" t="s">
        <v>175</v>
      </c>
      <c r="B57" s="2" t="n">
        <v>46122</v>
      </c>
      <c r="C57" s="0" t="n">
        <v>8.1</v>
      </c>
      <c r="D57" s="0" t="n">
        <v>265000</v>
      </c>
      <c r="E57" s="3" t="s">
        <v>191</v>
      </c>
      <c r="F57" s="3" t="n">
        <f aca="false">IF(E57="HEURE",C57*D57,IF(E57="JOUR",C57/Parametres!$B$6*D57,0))</f>
        <v>268312.5</v>
      </c>
    </row>
    <row r="58" customFormat="false" ht="15" hidden="false" customHeight="false" outlineLevel="0" collapsed="false">
      <c r="A58" s="0" t="s">
        <v>175</v>
      </c>
      <c r="B58" s="2" t="n">
        <v>46123</v>
      </c>
      <c r="C58" s="0" t="n">
        <v>15</v>
      </c>
      <c r="D58" s="0" t="n">
        <v>118000</v>
      </c>
      <c r="E58" s="3" t="s">
        <v>191</v>
      </c>
      <c r="F58" s="3" t="n">
        <f aca="false">IF(E58="HEURE",C58*D58,IF(E58="JOUR",C58/Parametres!$B$6*D58,0))</f>
        <v>221250</v>
      </c>
    </row>
    <row r="59" customFormat="false" ht="15" hidden="false" customHeight="false" outlineLevel="0" collapsed="false">
      <c r="A59" s="0" t="s">
        <v>175</v>
      </c>
      <c r="B59" s="2" t="n">
        <v>46123</v>
      </c>
      <c r="C59" s="0" t="n">
        <v>8.3</v>
      </c>
      <c r="D59" s="0" t="n">
        <v>265000</v>
      </c>
      <c r="E59" s="3" t="s">
        <v>191</v>
      </c>
      <c r="F59" s="3" t="n">
        <f aca="false">IF(E59="HEURE",C59*D59,IF(E59="JOUR",C59/Parametres!$B$6*D59,0))</f>
        <v>274937.5</v>
      </c>
    </row>
    <row r="60" customFormat="false" ht="15" hidden="false" customHeight="false" outlineLevel="0" collapsed="false">
      <c r="A60" s="0" t="s">
        <v>175</v>
      </c>
      <c r="B60" s="2" t="n">
        <v>46124</v>
      </c>
      <c r="C60" s="0" t="n">
        <v>14.2</v>
      </c>
      <c r="D60" s="0" t="n">
        <v>118000</v>
      </c>
      <c r="E60" s="3" t="s">
        <v>191</v>
      </c>
      <c r="F60" s="3" t="n">
        <f aca="false">IF(E60="HEURE",C60*D60,IF(E60="JOUR",C60/Parametres!$B$6*D60,0))</f>
        <v>209450</v>
      </c>
    </row>
    <row r="61" customFormat="false" ht="15" hidden="false" customHeight="false" outlineLevel="0" collapsed="false">
      <c r="A61" s="0" t="s">
        <v>175</v>
      </c>
      <c r="B61" s="2" t="n">
        <v>46124</v>
      </c>
      <c r="C61" s="0" t="n">
        <v>8</v>
      </c>
      <c r="D61" s="0" t="n">
        <v>265000</v>
      </c>
      <c r="E61" s="3" t="s">
        <v>191</v>
      </c>
      <c r="F61" s="3" t="n">
        <f aca="false">IF(E61="HEURE",C61*D61,IF(E61="JOUR",C61/Parametres!$B$6*D61,0))</f>
        <v>265000</v>
      </c>
    </row>
    <row r="62" customFormat="false" ht="15" hidden="false" customHeight="false" outlineLevel="0" collapsed="false">
      <c r="A62" s="0" t="s">
        <v>175</v>
      </c>
      <c r="B62" s="2" t="n">
        <v>46125</v>
      </c>
      <c r="C62" s="0" t="n">
        <v>13.6</v>
      </c>
      <c r="D62" s="0" t="n">
        <v>118000</v>
      </c>
      <c r="E62" s="3" t="s">
        <v>191</v>
      </c>
      <c r="F62" s="3" t="n">
        <f aca="false">IF(E62="HEURE",C62*D62,IF(E62="JOUR",C62/Parametres!$B$6*D62,0))</f>
        <v>200600</v>
      </c>
    </row>
    <row r="63" customFormat="false" ht="15" hidden="false" customHeight="false" outlineLevel="0" collapsed="false">
      <c r="A63" s="0" t="s">
        <v>175</v>
      </c>
      <c r="B63" s="2" t="n">
        <v>46125</v>
      </c>
      <c r="C63" s="0" t="n">
        <v>8.2</v>
      </c>
      <c r="D63" s="0" t="n">
        <v>265000</v>
      </c>
      <c r="E63" s="3" t="s">
        <v>191</v>
      </c>
      <c r="F63" s="3" t="n">
        <f aca="false">IF(E63="HEURE",C63*D63,IF(E63="JOUR",C63/Parametres!$B$6*D63,0))</f>
        <v>271625</v>
      </c>
    </row>
    <row r="64" customFormat="false" ht="15" hidden="false" customHeight="false" outlineLevel="0" collapsed="false">
      <c r="A64" s="0" t="s">
        <v>175</v>
      </c>
      <c r="B64" s="2" t="n">
        <v>46126</v>
      </c>
      <c r="C64" s="0" t="n">
        <v>16.6</v>
      </c>
      <c r="D64" s="0" t="n">
        <v>118000</v>
      </c>
      <c r="E64" s="3" t="s">
        <v>191</v>
      </c>
      <c r="F64" s="3" t="n">
        <f aca="false">IF(E64="HEURE",C64*D64,IF(E64="JOUR",C64/Parametres!$B$6*D64,0))</f>
        <v>244850</v>
      </c>
    </row>
    <row r="65" customFormat="false" ht="15" hidden="false" customHeight="false" outlineLevel="0" collapsed="false">
      <c r="A65" s="0" t="s">
        <v>175</v>
      </c>
      <c r="B65" s="2" t="n">
        <v>46126</v>
      </c>
      <c r="C65" s="0" t="n">
        <v>7.4</v>
      </c>
      <c r="D65" s="0" t="n">
        <v>265000</v>
      </c>
      <c r="E65" s="3" t="s">
        <v>191</v>
      </c>
      <c r="F65" s="3" t="n">
        <f aca="false">IF(E65="HEURE",C65*D65,IF(E65="JOUR",C65/Parametres!$B$6*D65,0))</f>
        <v>245125</v>
      </c>
    </row>
    <row r="66" customFormat="false" ht="15" hidden="false" customHeight="false" outlineLevel="0" collapsed="false">
      <c r="A66" s="0" t="s">
        <v>175</v>
      </c>
      <c r="B66" s="2" t="n">
        <v>46127</v>
      </c>
      <c r="C66" s="0" t="n">
        <v>14.7</v>
      </c>
      <c r="D66" s="0" t="n">
        <v>118000</v>
      </c>
      <c r="E66" s="3" t="s">
        <v>191</v>
      </c>
      <c r="F66" s="3" t="n">
        <f aca="false">IF(E66="HEURE",C66*D66,IF(E66="JOUR",C66/Parametres!$B$6*D66,0))</f>
        <v>216825</v>
      </c>
    </row>
    <row r="67" customFormat="false" ht="15" hidden="false" customHeight="false" outlineLevel="0" collapsed="false">
      <c r="A67" s="0" t="s">
        <v>175</v>
      </c>
      <c r="B67" s="2" t="n">
        <v>46127</v>
      </c>
      <c r="C67" s="0" t="n">
        <v>7.3</v>
      </c>
      <c r="D67" s="0" t="n">
        <v>265000</v>
      </c>
      <c r="E67" s="3" t="s">
        <v>191</v>
      </c>
      <c r="F67" s="3" t="n">
        <f aca="false">IF(E67="HEURE",C67*D67,IF(E67="JOUR",C67/Parametres!$B$6*D67,0))</f>
        <v>241812.5</v>
      </c>
    </row>
    <row r="68" customFormat="false" ht="15" hidden="false" customHeight="false" outlineLevel="0" collapsed="false">
      <c r="A68" s="0" t="s">
        <v>175</v>
      </c>
      <c r="B68" s="2" t="n">
        <v>46128</v>
      </c>
      <c r="C68" s="0" t="n">
        <v>16.6</v>
      </c>
      <c r="D68" s="0" t="n">
        <v>118000</v>
      </c>
      <c r="E68" s="3" t="s">
        <v>191</v>
      </c>
      <c r="F68" s="3" t="n">
        <f aca="false">IF(E68="HEURE",C68*D68,IF(E68="JOUR",C68/Parametres!$B$6*D68,0))</f>
        <v>244850</v>
      </c>
    </row>
    <row r="69" customFormat="false" ht="15" hidden="false" customHeight="false" outlineLevel="0" collapsed="false">
      <c r="A69" s="0" t="s">
        <v>175</v>
      </c>
      <c r="B69" s="2" t="n">
        <v>46128</v>
      </c>
      <c r="C69" s="0" t="n">
        <v>7.6</v>
      </c>
      <c r="D69" s="0" t="n">
        <v>265000</v>
      </c>
      <c r="E69" s="3" t="s">
        <v>191</v>
      </c>
      <c r="F69" s="3" t="n">
        <f aca="false">IF(E69="HEURE",C69*D69,IF(E69="JOUR",C69/Parametres!$B$6*D69,0))</f>
        <v>251750</v>
      </c>
    </row>
    <row r="70" customFormat="false" ht="15" hidden="false" customHeight="false" outlineLevel="0" collapsed="false">
      <c r="A70" s="0" t="s">
        <v>175</v>
      </c>
      <c r="B70" s="2" t="n">
        <v>46129</v>
      </c>
      <c r="C70" s="0" t="n">
        <v>14.6</v>
      </c>
      <c r="D70" s="0" t="n">
        <v>118000</v>
      </c>
      <c r="E70" s="3" t="s">
        <v>191</v>
      </c>
      <c r="F70" s="3" t="n">
        <f aca="false">IF(E70="HEURE",C70*D70,IF(E70="JOUR",C70/Parametres!$B$6*D70,0))</f>
        <v>215350</v>
      </c>
    </row>
    <row r="71" customFormat="false" ht="15" hidden="false" customHeight="false" outlineLevel="0" collapsed="false">
      <c r="A71" s="0" t="s">
        <v>175</v>
      </c>
      <c r="B71" s="2" t="n">
        <v>46129</v>
      </c>
      <c r="C71" s="0" t="n">
        <v>6.9</v>
      </c>
      <c r="D71" s="0" t="n">
        <v>265000</v>
      </c>
      <c r="E71" s="3" t="s">
        <v>191</v>
      </c>
      <c r="F71" s="3" t="n">
        <f aca="false">IF(E71="HEURE",C71*D71,IF(E71="JOUR",C71/Parametres!$B$6*D71,0))</f>
        <v>228562.5</v>
      </c>
    </row>
    <row r="72" customFormat="false" ht="15" hidden="false" customHeight="false" outlineLevel="0" collapsed="false">
      <c r="A72" s="0" t="s">
        <v>175</v>
      </c>
      <c r="B72" s="2" t="n">
        <v>46130</v>
      </c>
      <c r="C72" s="0" t="n">
        <v>16.6</v>
      </c>
      <c r="D72" s="0" t="n">
        <v>118000</v>
      </c>
      <c r="E72" s="3" t="s">
        <v>191</v>
      </c>
      <c r="F72" s="3" t="n">
        <f aca="false">IF(E72="HEURE",C72*D72,IF(E72="JOUR",C72/Parametres!$B$6*D72,0))</f>
        <v>244850</v>
      </c>
    </row>
    <row r="73" customFormat="false" ht="15" hidden="false" customHeight="false" outlineLevel="0" collapsed="false">
      <c r="A73" s="0" t="s">
        <v>175</v>
      </c>
      <c r="B73" s="2" t="n">
        <v>46130</v>
      </c>
      <c r="C73" s="0" t="n">
        <v>8.2</v>
      </c>
      <c r="D73" s="0" t="n">
        <v>265000</v>
      </c>
      <c r="E73" s="3" t="s">
        <v>191</v>
      </c>
      <c r="F73" s="3" t="n">
        <f aca="false">IF(E73="HEURE",C73*D73,IF(E73="JOUR",C73/Parametres!$B$6*D73,0))</f>
        <v>271625</v>
      </c>
    </row>
    <row r="74" customFormat="false" ht="15" hidden="false" customHeight="false" outlineLevel="0" collapsed="false">
      <c r="A74" s="0" t="s">
        <v>175</v>
      </c>
      <c r="B74" s="2" t="n">
        <v>46131</v>
      </c>
      <c r="C74" s="0" t="n">
        <v>15.2</v>
      </c>
      <c r="D74" s="0" t="n">
        <v>118000</v>
      </c>
      <c r="E74" s="3" t="s">
        <v>191</v>
      </c>
      <c r="F74" s="3" t="n">
        <f aca="false">IF(E74="HEURE",C74*D74,IF(E74="JOUR",C74/Parametres!$B$6*D74,0))</f>
        <v>224200</v>
      </c>
    </row>
    <row r="75" customFormat="false" ht="15" hidden="false" customHeight="false" outlineLevel="0" collapsed="false">
      <c r="A75" s="0" t="s">
        <v>175</v>
      </c>
      <c r="B75" s="2" t="n">
        <v>46131</v>
      </c>
      <c r="C75" s="0" t="n">
        <v>6.9</v>
      </c>
      <c r="D75" s="0" t="n">
        <v>265000</v>
      </c>
      <c r="E75" s="3" t="s">
        <v>191</v>
      </c>
      <c r="F75" s="3" t="n">
        <f aca="false">IF(E75="HEURE",C75*D75,IF(E75="JOUR",C75/Parametres!$B$6*D75,0))</f>
        <v>228562.5</v>
      </c>
    </row>
    <row r="76" customFormat="false" ht="15" hidden="false" customHeight="false" outlineLevel="0" collapsed="false">
      <c r="A76" s="0" t="s">
        <v>175</v>
      </c>
      <c r="B76" s="2" t="n">
        <v>46132</v>
      </c>
      <c r="C76" s="0" t="n">
        <v>14.1</v>
      </c>
      <c r="D76" s="0" t="n">
        <v>118000</v>
      </c>
      <c r="E76" s="3" t="s">
        <v>191</v>
      </c>
      <c r="F76" s="3" t="n">
        <f aca="false">IF(E76="HEURE",C76*D76,IF(E76="JOUR",C76/Parametres!$B$6*D76,0))</f>
        <v>207975</v>
      </c>
    </row>
    <row r="77" customFormat="false" ht="15" hidden="false" customHeight="false" outlineLevel="0" collapsed="false">
      <c r="A77" s="0" t="s">
        <v>175</v>
      </c>
      <c r="B77" s="2" t="n">
        <v>46132</v>
      </c>
      <c r="C77" s="0" t="n">
        <v>7.4</v>
      </c>
      <c r="D77" s="0" t="n">
        <v>265000</v>
      </c>
      <c r="E77" s="3" t="s">
        <v>191</v>
      </c>
      <c r="F77" s="3" t="n">
        <f aca="false">IF(E77="HEURE",C77*D77,IF(E77="JOUR",C77/Parametres!$B$6*D77,0))</f>
        <v>245125</v>
      </c>
    </row>
    <row r="78" customFormat="false" ht="15" hidden="false" customHeight="false" outlineLevel="0" collapsed="false">
      <c r="A78" s="0" t="s">
        <v>175</v>
      </c>
      <c r="B78" s="2" t="n">
        <v>46133</v>
      </c>
      <c r="C78" s="0" t="n">
        <v>16.5</v>
      </c>
      <c r="D78" s="0" t="n">
        <v>118000</v>
      </c>
      <c r="E78" s="3" t="s">
        <v>191</v>
      </c>
      <c r="F78" s="3" t="n">
        <f aca="false">IF(E78="HEURE",C78*D78,IF(E78="JOUR",C78/Parametres!$B$6*D78,0))</f>
        <v>243375</v>
      </c>
    </row>
    <row r="79" customFormat="false" ht="15" hidden="false" customHeight="false" outlineLevel="0" collapsed="false">
      <c r="A79" s="0" t="s">
        <v>175</v>
      </c>
      <c r="B79" s="2" t="n">
        <v>46133</v>
      </c>
      <c r="C79" s="0" t="n">
        <v>7.4</v>
      </c>
      <c r="D79" s="0" t="n">
        <v>265000</v>
      </c>
      <c r="E79" s="3" t="s">
        <v>191</v>
      </c>
      <c r="F79" s="3" t="n">
        <f aca="false">IF(E79="HEURE",C79*D79,IF(E79="JOUR",C79/Parametres!$B$6*D79,0))</f>
        <v>245125</v>
      </c>
    </row>
    <row r="80" customFormat="false" ht="15" hidden="false" customHeight="false" outlineLevel="0" collapsed="false">
      <c r="A80" s="0" t="s">
        <v>175</v>
      </c>
      <c r="B80" s="2" t="n">
        <v>46134</v>
      </c>
      <c r="C80" s="0" t="n">
        <v>14.1</v>
      </c>
      <c r="D80" s="0" t="n">
        <v>118000</v>
      </c>
      <c r="E80" s="3" t="s">
        <v>191</v>
      </c>
      <c r="F80" s="3" t="n">
        <f aca="false">IF(E80="HEURE",C80*D80,IF(E80="JOUR",C80/Parametres!$B$6*D80,0))</f>
        <v>207975</v>
      </c>
    </row>
    <row r="81" customFormat="false" ht="15" hidden="false" customHeight="false" outlineLevel="0" collapsed="false">
      <c r="A81" s="0" t="s">
        <v>175</v>
      </c>
      <c r="B81" s="2" t="n">
        <v>46134</v>
      </c>
      <c r="C81" s="0" t="n">
        <v>7.5</v>
      </c>
      <c r="D81" s="0" t="n">
        <v>265000</v>
      </c>
      <c r="E81" s="3" t="s">
        <v>191</v>
      </c>
      <c r="F81" s="3" t="n">
        <f aca="false">IF(E81="HEURE",C81*D81,IF(E81="JOUR",C81/Parametres!$B$6*D81,0))</f>
        <v>248437.5</v>
      </c>
    </row>
    <row r="82" customFormat="false" ht="15" hidden="false" customHeight="false" outlineLevel="0" collapsed="false">
      <c r="A82" s="0" t="s">
        <v>175</v>
      </c>
      <c r="B82" s="2" t="n">
        <v>46135</v>
      </c>
      <c r="C82" s="0" t="n">
        <v>14.9</v>
      </c>
      <c r="D82" s="0" t="n">
        <v>118000</v>
      </c>
      <c r="E82" s="3" t="s">
        <v>191</v>
      </c>
      <c r="F82" s="3" t="n">
        <f aca="false">IF(E82="HEURE",C82*D82,IF(E82="JOUR",C82/Parametres!$B$6*D82,0))</f>
        <v>219775</v>
      </c>
    </row>
    <row r="83" customFormat="false" ht="15" hidden="false" customHeight="false" outlineLevel="0" collapsed="false">
      <c r="A83" s="0" t="s">
        <v>175</v>
      </c>
      <c r="B83" s="2" t="n">
        <v>46135</v>
      </c>
      <c r="C83" s="0" t="n">
        <v>8</v>
      </c>
      <c r="D83" s="0" t="n">
        <v>265000</v>
      </c>
      <c r="E83" s="3" t="s">
        <v>191</v>
      </c>
      <c r="F83" s="3" t="n">
        <f aca="false">IF(E83="HEURE",C83*D83,IF(E83="JOUR",C83/Parametres!$B$6*D83,0))</f>
        <v>265000</v>
      </c>
    </row>
    <row r="84" customFormat="false" ht="15" hidden="false" customHeight="false" outlineLevel="0" collapsed="false">
      <c r="A84" s="0" t="s">
        <v>175</v>
      </c>
      <c r="B84" s="2" t="n">
        <v>46189</v>
      </c>
      <c r="C84" s="0" t="n">
        <v>15.4</v>
      </c>
      <c r="D84" s="0" t="n">
        <v>118000</v>
      </c>
      <c r="E84" s="3" t="s">
        <v>191</v>
      </c>
      <c r="F84" s="3" t="n">
        <f aca="false">IF(E84="HEURE",C84*D84,IF(E84="JOUR",C84/Parametres!$B$6*D84,0))</f>
        <v>227150</v>
      </c>
    </row>
    <row r="85" customFormat="false" ht="15" hidden="false" customHeight="false" outlineLevel="0" collapsed="false">
      <c r="A85" s="0" t="s">
        <v>175</v>
      </c>
      <c r="B85" s="2" t="n">
        <v>46189</v>
      </c>
      <c r="C85" s="0" t="n">
        <v>7.7</v>
      </c>
      <c r="D85" s="0" t="n">
        <v>265000</v>
      </c>
      <c r="E85" s="3" t="s">
        <v>191</v>
      </c>
      <c r="F85" s="3" t="n">
        <f aca="false">IF(E85="HEURE",C85*D85,IF(E85="JOUR",C85/Parametres!$B$6*D85,0))</f>
        <v>255062.5</v>
      </c>
    </row>
    <row r="86" customFormat="false" ht="15" hidden="false" customHeight="false" outlineLevel="0" collapsed="false">
      <c r="A86" s="0" t="s">
        <v>175</v>
      </c>
      <c r="B86" s="2" t="n">
        <v>46192</v>
      </c>
      <c r="C86" s="0" t="n">
        <v>14.9</v>
      </c>
      <c r="D86" s="0" t="n">
        <v>118000</v>
      </c>
      <c r="E86" s="3" t="s">
        <v>191</v>
      </c>
      <c r="F86" s="3" t="n">
        <f aca="false">IF(E86="HEURE",C86*D86,IF(E86="JOUR",C86/Parametres!$B$6*D86,0))</f>
        <v>219775</v>
      </c>
    </row>
    <row r="87" customFormat="false" ht="15" hidden="false" customHeight="false" outlineLevel="0" collapsed="false">
      <c r="A87" s="0" t="s">
        <v>175</v>
      </c>
      <c r="B87" s="2" t="n">
        <v>46192</v>
      </c>
      <c r="C87" s="0" t="n">
        <v>7.9</v>
      </c>
      <c r="D87" s="0" t="n">
        <v>265000</v>
      </c>
      <c r="E87" s="3" t="s">
        <v>191</v>
      </c>
      <c r="F87" s="3" t="n">
        <f aca="false">IF(E87="HEURE",C87*D87,IF(E87="JOUR",C87/Parametres!$B$6*D87,0))</f>
        <v>261687.5</v>
      </c>
    </row>
    <row r="88" customFormat="false" ht="15" hidden="false" customHeight="false" outlineLevel="0" collapsed="false">
      <c r="A88" s="0" t="s">
        <v>175</v>
      </c>
      <c r="B88" s="2" t="n">
        <v>46193</v>
      </c>
      <c r="C88" s="0" t="n">
        <v>14.1</v>
      </c>
      <c r="D88" s="0" t="n">
        <v>118000</v>
      </c>
      <c r="E88" s="3" t="s">
        <v>191</v>
      </c>
      <c r="F88" s="3" t="n">
        <f aca="false">IF(E88="HEURE",C88*D88,IF(E88="JOUR",C88/Parametres!$B$6*D88,0))</f>
        <v>207975</v>
      </c>
    </row>
    <row r="89" customFormat="false" ht="15" hidden="false" customHeight="false" outlineLevel="0" collapsed="false">
      <c r="A89" s="0" t="s">
        <v>175</v>
      </c>
      <c r="B89" s="2" t="n">
        <v>46193</v>
      </c>
      <c r="C89" s="0" t="n">
        <v>8.2</v>
      </c>
      <c r="D89" s="0" t="n">
        <v>265000</v>
      </c>
      <c r="E89" s="3" t="s">
        <v>191</v>
      </c>
      <c r="F89" s="3" t="n">
        <f aca="false">IF(E89="HEURE",C89*D89,IF(E89="JOUR",C89/Parametres!$B$6*D89,0))</f>
        <v>271625</v>
      </c>
    </row>
    <row r="90" customFormat="false" ht="15" hidden="false" customHeight="false" outlineLevel="0" collapsed="false">
      <c r="A90" s="0" t="s">
        <v>175</v>
      </c>
      <c r="B90" s="2" t="n">
        <v>46197</v>
      </c>
      <c r="C90" s="0" t="n">
        <v>13.6</v>
      </c>
      <c r="D90" s="0" t="n">
        <v>118000</v>
      </c>
      <c r="E90" s="3" t="s">
        <v>191</v>
      </c>
      <c r="F90" s="3" t="n">
        <f aca="false">IF(E90="HEURE",C90*D90,IF(E90="JOUR",C90/Parametres!$B$6*D90,0))</f>
        <v>200600</v>
      </c>
    </row>
    <row r="91" customFormat="false" ht="15" hidden="false" customHeight="false" outlineLevel="0" collapsed="false">
      <c r="A91" s="0" t="s">
        <v>175</v>
      </c>
      <c r="B91" s="2" t="n">
        <v>46197</v>
      </c>
      <c r="C91" s="0" t="n">
        <v>7.2</v>
      </c>
      <c r="D91" s="0" t="n">
        <v>265000</v>
      </c>
      <c r="E91" s="3" t="s">
        <v>191</v>
      </c>
      <c r="F91" s="3" t="n">
        <f aca="false">IF(E91="HEURE",C91*D91,IF(E91="JOUR",C91/Parametres!$B$6*D91,0))</f>
        <v>238500</v>
      </c>
    </row>
    <row r="92" customFormat="false" ht="15" hidden="false" customHeight="false" outlineLevel="0" collapsed="false">
      <c r="A92" s="0" t="s">
        <v>175</v>
      </c>
      <c r="B92" s="2" t="n">
        <v>46198</v>
      </c>
      <c r="C92" s="0" t="n">
        <v>15.5</v>
      </c>
      <c r="D92" s="0" t="n">
        <v>118000</v>
      </c>
      <c r="E92" s="3" t="s">
        <v>191</v>
      </c>
      <c r="F92" s="3" t="n">
        <f aca="false">IF(E92="HEURE",C92*D92,IF(E92="JOUR",C92/Parametres!$B$6*D92,0))</f>
        <v>228625</v>
      </c>
    </row>
    <row r="93" customFormat="false" ht="15" hidden="false" customHeight="false" outlineLevel="0" collapsed="false">
      <c r="A93" s="0" t="s">
        <v>175</v>
      </c>
      <c r="B93" s="2" t="n">
        <v>46198</v>
      </c>
      <c r="C93" s="0" t="n">
        <v>7.2</v>
      </c>
      <c r="D93" s="0" t="n">
        <v>265000</v>
      </c>
      <c r="E93" s="3" t="s">
        <v>191</v>
      </c>
      <c r="F93" s="3" t="n">
        <f aca="false">IF(E93="HEURE",C93*D93,IF(E93="JOUR",C93/Parametres!$B$6*D93,0))</f>
        <v>238500</v>
      </c>
    </row>
    <row r="94" customFormat="false" ht="15" hidden="false" customHeight="false" outlineLevel="0" collapsed="false">
      <c r="A94" s="0" t="s">
        <v>175</v>
      </c>
      <c r="B94" s="2" t="n">
        <v>46199</v>
      </c>
      <c r="C94" s="0" t="n">
        <v>16.6</v>
      </c>
      <c r="D94" s="0" t="n">
        <v>118000</v>
      </c>
      <c r="E94" s="3" t="s">
        <v>191</v>
      </c>
      <c r="F94" s="3" t="n">
        <f aca="false">IF(E94="HEURE",C94*D94,IF(E94="JOUR",C94/Parametres!$B$6*D94,0))</f>
        <v>244850</v>
      </c>
    </row>
    <row r="95" customFormat="false" ht="15" hidden="false" customHeight="false" outlineLevel="0" collapsed="false">
      <c r="A95" s="0" t="s">
        <v>175</v>
      </c>
      <c r="B95" s="2" t="n">
        <v>46199</v>
      </c>
      <c r="C95" s="0" t="n">
        <v>7.3</v>
      </c>
      <c r="D95" s="0" t="n">
        <v>265000</v>
      </c>
      <c r="E95" s="3" t="s">
        <v>191</v>
      </c>
      <c r="F95" s="3" t="n">
        <f aca="false">IF(E95="HEURE",C95*D95,IF(E95="JOUR",C95/Parametres!$B$6*D95,0))</f>
        <v>241812.5</v>
      </c>
    </row>
    <row r="96" customFormat="false" ht="15" hidden="false" customHeight="false" outlineLevel="0" collapsed="false">
      <c r="A96" s="0" t="s">
        <v>175</v>
      </c>
      <c r="B96" s="2" t="n">
        <v>46200</v>
      </c>
      <c r="C96" s="0" t="n">
        <v>15.4</v>
      </c>
      <c r="D96" s="0" t="n">
        <v>118000</v>
      </c>
      <c r="E96" s="3" t="s">
        <v>191</v>
      </c>
      <c r="F96" s="3" t="n">
        <f aca="false">IF(E96="HEURE",C96*D96,IF(E96="JOUR",C96/Parametres!$B$6*D96,0))</f>
        <v>227150</v>
      </c>
    </row>
    <row r="97" customFormat="false" ht="15" hidden="false" customHeight="false" outlineLevel="0" collapsed="false">
      <c r="A97" s="0" t="s">
        <v>175</v>
      </c>
      <c r="B97" s="2" t="n">
        <v>46200</v>
      </c>
      <c r="C97" s="0" t="n">
        <v>7.1</v>
      </c>
      <c r="D97" s="0" t="n">
        <v>265000</v>
      </c>
      <c r="E97" s="3" t="s">
        <v>191</v>
      </c>
      <c r="F97" s="3" t="n">
        <f aca="false">IF(E97="HEURE",C97*D97,IF(E97="JOUR",C97/Parametres!$B$6*D97,0))</f>
        <v>235187.5</v>
      </c>
    </row>
    <row r="98" customFormat="false" ht="15" hidden="false" customHeight="false" outlineLevel="0" collapsed="false">
      <c r="A98" s="0" t="s">
        <v>175</v>
      </c>
      <c r="B98" s="2" t="n">
        <v>46201</v>
      </c>
      <c r="C98" s="0" t="n">
        <v>15.2</v>
      </c>
      <c r="D98" s="0" t="n">
        <v>118000</v>
      </c>
      <c r="E98" s="3" t="s">
        <v>191</v>
      </c>
      <c r="F98" s="3" t="n">
        <f aca="false">IF(E98="HEURE",C98*D98,IF(E98="JOUR",C98/Parametres!$B$6*D98,0))</f>
        <v>224200</v>
      </c>
    </row>
    <row r="99" customFormat="false" ht="15" hidden="false" customHeight="false" outlineLevel="0" collapsed="false">
      <c r="A99" s="0" t="s">
        <v>175</v>
      </c>
      <c r="B99" s="2" t="n">
        <v>46201</v>
      </c>
      <c r="C99" s="0" t="n">
        <v>7.4</v>
      </c>
      <c r="D99" s="0" t="n">
        <v>265000</v>
      </c>
      <c r="E99" s="3" t="s">
        <v>191</v>
      </c>
      <c r="F99" s="3" t="n">
        <f aca="false">IF(E99="HEURE",C99*D99,IF(E99="JOUR",C99/Parametres!$B$6*D99,0))</f>
        <v>245125</v>
      </c>
    </row>
    <row r="100" customFormat="false" ht="15" hidden="false" customHeight="false" outlineLevel="0" collapsed="false">
      <c r="A100" s="0" t="s">
        <v>175</v>
      </c>
      <c r="B100" s="2" t="n">
        <v>46203</v>
      </c>
      <c r="C100" s="0" t="n">
        <v>14.9</v>
      </c>
      <c r="D100" s="0" t="n">
        <v>118000</v>
      </c>
      <c r="E100" s="3" t="s">
        <v>191</v>
      </c>
      <c r="F100" s="3" t="n">
        <f aca="false">IF(E100="HEURE",C100*D100,IF(E100="JOUR",C100/Parametres!$B$6*D100,0))</f>
        <v>219775</v>
      </c>
    </row>
    <row r="101" customFormat="false" ht="15" hidden="false" customHeight="false" outlineLevel="0" collapsed="false">
      <c r="A101" s="0" t="s">
        <v>175</v>
      </c>
      <c r="B101" s="2" t="n">
        <v>46203</v>
      </c>
      <c r="C101" s="0" t="n">
        <v>7.8</v>
      </c>
      <c r="D101" s="0" t="n">
        <v>265000</v>
      </c>
      <c r="E101" s="3" t="s">
        <v>191</v>
      </c>
      <c r="F101" s="3" t="n">
        <f aca="false">IF(E101="HEURE",C101*D101,IF(E101="JOUR",C101/Parametres!$B$6*D101,0))</f>
        <v>258375</v>
      </c>
    </row>
    <row r="102" customFormat="false" ht="15" hidden="false" customHeight="false" outlineLevel="0" collapsed="false">
      <c r="A102" s="0" t="s">
        <v>175</v>
      </c>
      <c r="B102" s="2" t="n">
        <v>46204</v>
      </c>
      <c r="C102" s="0" t="n">
        <v>14.1</v>
      </c>
      <c r="D102" s="0" t="n">
        <v>118000</v>
      </c>
      <c r="E102" s="3" t="s">
        <v>191</v>
      </c>
      <c r="F102" s="3" t="n">
        <f aca="false">IF(E102="HEURE",C102*D102,IF(E102="JOUR",C102/Parametres!$B$6*D102,0))</f>
        <v>207975</v>
      </c>
    </row>
    <row r="103" customFormat="false" ht="15" hidden="false" customHeight="false" outlineLevel="0" collapsed="false">
      <c r="A103" s="0" t="s">
        <v>175</v>
      </c>
      <c r="B103" s="2" t="n">
        <v>46204</v>
      </c>
      <c r="C103" s="0" t="n">
        <v>7.2</v>
      </c>
      <c r="D103" s="0" t="n">
        <v>265000</v>
      </c>
      <c r="E103" s="3" t="s">
        <v>191</v>
      </c>
      <c r="F103" s="3" t="n">
        <f aca="false">IF(E103="HEURE",C103*D103,IF(E103="JOUR",C103/Parametres!$B$6*D103,0))</f>
        <v>238500</v>
      </c>
    </row>
    <row r="104" customFormat="false" ht="15" hidden="false" customHeight="false" outlineLevel="0" collapsed="false">
      <c r="A104" s="0" t="s">
        <v>175</v>
      </c>
      <c r="B104" s="2" t="n">
        <v>46205</v>
      </c>
      <c r="C104" s="0" t="n">
        <v>15.8</v>
      </c>
      <c r="D104" s="0" t="n">
        <v>118000</v>
      </c>
      <c r="E104" s="3" t="s">
        <v>191</v>
      </c>
      <c r="F104" s="3" t="n">
        <f aca="false">IF(E104="HEURE",C104*D104,IF(E104="JOUR",C104/Parametres!$B$6*D104,0))</f>
        <v>233050</v>
      </c>
    </row>
    <row r="105" customFormat="false" ht="15" hidden="false" customHeight="false" outlineLevel="0" collapsed="false">
      <c r="A105" s="0" t="s">
        <v>175</v>
      </c>
      <c r="B105" s="2" t="n">
        <v>46205</v>
      </c>
      <c r="C105" s="0" t="n">
        <v>7.8</v>
      </c>
      <c r="D105" s="0" t="n">
        <v>265000</v>
      </c>
      <c r="E105" s="3" t="s">
        <v>191</v>
      </c>
      <c r="F105" s="3" t="n">
        <f aca="false">IF(E105="HEURE",C105*D105,IF(E105="JOUR",C105/Parametres!$B$6*D105,0))</f>
        <v>258375</v>
      </c>
    </row>
    <row r="106" customFormat="false" ht="15" hidden="false" customHeight="false" outlineLevel="0" collapsed="false">
      <c r="A106" s="0" t="s">
        <v>175</v>
      </c>
      <c r="B106" s="2" t="n">
        <v>46206</v>
      </c>
      <c r="C106" s="0" t="n">
        <v>16.6</v>
      </c>
      <c r="D106" s="0" t="n">
        <v>118000</v>
      </c>
      <c r="E106" s="3" t="s">
        <v>191</v>
      </c>
      <c r="F106" s="3" t="n">
        <f aca="false">IF(E106="HEURE",C106*D106,IF(E106="JOUR",C106/Parametres!$B$6*D106,0))</f>
        <v>244850</v>
      </c>
    </row>
    <row r="107" customFormat="false" ht="15" hidden="false" customHeight="false" outlineLevel="0" collapsed="false">
      <c r="A107" s="0" t="s">
        <v>175</v>
      </c>
      <c r="B107" s="2" t="n">
        <v>46206</v>
      </c>
      <c r="C107" s="0" t="n">
        <v>7.9</v>
      </c>
      <c r="D107" s="0" t="n">
        <v>265000</v>
      </c>
      <c r="E107" s="3" t="s">
        <v>191</v>
      </c>
      <c r="F107" s="3" t="n">
        <f aca="false">IF(E107="HEURE",C107*D107,IF(E107="JOUR",C107/Parametres!$B$6*D107,0))</f>
        <v>261687.5</v>
      </c>
    </row>
    <row r="108" customFormat="false" ht="15" hidden="false" customHeight="false" outlineLevel="0" collapsed="false">
      <c r="A108" s="0" t="s">
        <v>175</v>
      </c>
      <c r="B108" s="2" t="n">
        <v>46207</v>
      </c>
      <c r="C108" s="0" t="n">
        <v>15</v>
      </c>
      <c r="D108" s="0" t="n">
        <v>118000</v>
      </c>
      <c r="E108" s="3" t="s">
        <v>191</v>
      </c>
      <c r="F108" s="3" t="n">
        <f aca="false">IF(E108="HEURE",C108*D108,IF(E108="JOUR",C108/Parametres!$B$6*D108,0))</f>
        <v>221250</v>
      </c>
    </row>
    <row r="109" customFormat="false" ht="15" hidden="false" customHeight="false" outlineLevel="0" collapsed="false">
      <c r="A109" s="0" t="s">
        <v>175</v>
      </c>
      <c r="B109" s="2" t="n">
        <v>46207</v>
      </c>
      <c r="C109" s="0" t="n">
        <v>7.3</v>
      </c>
      <c r="D109" s="0" t="n">
        <v>265000</v>
      </c>
      <c r="E109" s="3" t="s">
        <v>191</v>
      </c>
      <c r="F109" s="3" t="n">
        <f aca="false">IF(E109="HEURE",C109*D109,IF(E109="JOUR",C109/Parametres!$B$6*D109,0))</f>
        <v>241812.5</v>
      </c>
    </row>
    <row r="110" customFormat="false" ht="15" hidden="false" customHeight="false" outlineLevel="0" collapsed="false">
      <c r="A110" s="0" t="s">
        <v>175</v>
      </c>
      <c r="B110" s="2" t="n">
        <v>46208</v>
      </c>
      <c r="C110" s="0" t="n">
        <v>8.2</v>
      </c>
      <c r="D110" s="0" t="n">
        <v>265000</v>
      </c>
      <c r="E110" s="3" t="s">
        <v>191</v>
      </c>
      <c r="F110" s="3" t="n">
        <f aca="false">IF(E110="HEURE",C110*D110,IF(E110="JOUR",C110/Parametres!$B$6*D110,0))</f>
        <v>271625</v>
      </c>
    </row>
    <row r="111" customFormat="false" ht="15" hidden="false" customHeight="false" outlineLevel="0" collapsed="false">
      <c r="A111" s="0" t="s">
        <v>175</v>
      </c>
      <c r="B111" s="2" t="n">
        <v>46209</v>
      </c>
      <c r="C111" s="0" t="n">
        <v>7.8</v>
      </c>
      <c r="D111" s="0" t="n">
        <v>265000</v>
      </c>
      <c r="E111" s="3" t="s">
        <v>191</v>
      </c>
      <c r="F111" s="3" t="n">
        <f aca="false">IF(E111="HEURE",C111*D111,IF(E111="JOUR",C111/Parametres!$B$6*D111,0))</f>
        <v>258375</v>
      </c>
    </row>
    <row r="112" customFormat="false" ht="15" hidden="false" customHeight="false" outlineLevel="0" collapsed="false">
      <c r="A112" s="0" t="s">
        <v>175</v>
      </c>
      <c r="B112" s="2" t="n">
        <v>46210</v>
      </c>
      <c r="C112" s="0" t="n">
        <v>7.4</v>
      </c>
      <c r="D112" s="0" t="n">
        <v>265000</v>
      </c>
      <c r="E112" s="3" t="s">
        <v>191</v>
      </c>
      <c r="F112" s="3" t="n">
        <f aca="false">IF(E112="HEURE",C112*D112,IF(E112="JOUR",C112/Parametres!$B$6*D112,0))</f>
        <v>245125</v>
      </c>
    </row>
    <row r="113" customFormat="false" ht="15" hidden="false" customHeight="false" outlineLevel="0" collapsed="false">
      <c r="A113" s="0" t="s">
        <v>175</v>
      </c>
      <c r="B113" s="2" t="n">
        <v>46211</v>
      </c>
      <c r="C113" s="0" t="n">
        <v>7.4</v>
      </c>
      <c r="D113" s="0" t="n">
        <v>265000</v>
      </c>
      <c r="E113" s="3" t="s">
        <v>191</v>
      </c>
      <c r="F113" s="3" t="n">
        <f aca="false">IF(E113="HEURE",C113*D113,IF(E113="JOUR",C113/Parametres!$B$6*D113,0))</f>
        <v>245125</v>
      </c>
    </row>
    <row r="114" customFormat="false" ht="15" hidden="false" customHeight="false" outlineLevel="0" collapsed="false">
      <c r="A114" s="0" t="s">
        <v>175</v>
      </c>
      <c r="B114" s="2" t="n">
        <v>46212</v>
      </c>
      <c r="C114" s="0" t="n">
        <v>8.3</v>
      </c>
      <c r="D114" s="0" t="n">
        <v>265000</v>
      </c>
      <c r="E114" s="3" t="s">
        <v>191</v>
      </c>
      <c r="F114" s="3" t="n">
        <f aca="false">IF(E114="HEURE",C114*D114,IF(E114="JOUR",C114/Parametres!$B$6*D114,0))</f>
        <v>274937.5</v>
      </c>
    </row>
    <row r="115" customFormat="false" ht="15" hidden="false" customHeight="false" outlineLevel="0" collapsed="false">
      <c r="A115" s="0" t="s">
        <v>175</v>
      </c>
      <c r="B115" s="2" t="n">
        <v>46213</v>
      </c>
      <c r="C115" s="0" t="n">
        <v>7.9</v>
      </c>
      <c r="D115" s="0" t="n">
        <v>265000</v>
      </c>
      <c r="E115" s="3" t="s">
        <v>191</v>
      </c>
      <c r="F115" s="3" t="n">
        <f aca="false">IF(E115="HEURE",C115*D115,IF(E115="JOUR",C115/Parametres!$B$6*D115,0))</f>
        <v>261687.5</v>
      </c>
    </row>
    <row r="116" customFormat="false" ht="15" hidden="false" customHeight="false" outlineLevel="0" collapsed="false">
      <c r="A116" s="0" t="s">
        <v>175</v>
      </c>
      <c r="B116" s="2" t="n">
        <v>46214</v>
      </c>
      <c r="C116" s="0" t="n">
        <v>6.8</v>
      </c>
      <c r="D116" s="0" t="n">
        <v>265000</v>
      </c>
      <c r="E116" s="3" t="s">
        <v>191</v>
      </c>
      <c r="F116" s="3" t="n">
        <f aca="false">IF(E116="HEURE",C116*D116,IF(E116="JOUR",C116/Parametres!$B$6*D116,0))</f>
        <v>225250</v>
      </c>
    </row>
    <row r="117" customFormat="false" ht="15" hidden="false" customHeight="false" outlineLevel="0" collapsed="false">
      <c r="A117" s="0" t="s">
        <v>175</v>
      </c>
      <c r="B117" s="2" t="n">
        <v>46215</v>
      </c>
      <c r="C117" s="0" t="n">
        <v>7.7</v>
      </c>
      <c r="D117" s="0" t="n">
        <v>265000</v>
      </c>
      <c r="E117" s="3" t="s">
        <v>191</v>
      </c>
      <c r="F117" s="3" t="n">
        <f aca="false">IF(E117="HEURE",C117*D117,IF(E117="JOUR",C117/Parametres!$B$6*D117,0))</f>
        <v>255062.5</v>
      </c>
    </row>
    <row r="118" customFormat="false" ht="15" hidden="false" customHeight="false" outlineLevel="0" collapsed="false">
      <c r="A118" s="0" t="s">
        <v>175</v>
      </c>
      <c r="B118" s="2" t="n">
        <v>46216</v>
      </c>
      <c r="C118" s="0" t="n">
        <v>7.8</v>
      </c>
      <c r="D118" s="0" t="n">
        <v>265000</v>
      </c>
      <c r="E118" s="3" t="s">
        <v>191</v>
      </c>
      <c r="F118" s="3" t="n">
        <f aca="false">IF(E118="HEURE",C118*D118,IF(E118="JOUR",C118/Parametres!$B$6*D118,0))</f>
        <v>258375</v>
      </c>
    </row>
    <row r="119" customFormat="false" ht="15" hidden="false" customHeight="false" outlineLevel="0" collapsed="false">
      <c r="A119" s="0" t="s">
        <v>175</v>
      </c>
      <c r="B119" s="2" t="n">
        <v>46217</v>
      </c>
      <c r="C119" s="0" t="n">
        <v>6.8</v>
      </c>
      <c r="D119" s="0" t="n">
        <v>265000</v>
      </c>
      <c r="E119" s="3" t="s">
        <v>191</v>
      </c>
      <c r="F119" s="3" t="n">
        <f aca="false">IF(E119="HEURE",C119*D119,IF(E119="JOUR",C119/Parametres!$B$6*D119,0))</f>
        <v>225250</v>
      </c>
    </row>
    <row r="120" customFormat="false" ht="15" hidden="false" customHeight="false" outlineLevel="0" collapsed="false">
      <c r="A120" s="0" t="s">
        <v>175</v>
      </c>
      <c r="B120" s="2" t="n">
        <v>46218</v>
      </c>
      <c r="C120" s="0" t="n">
        <v>7.5</v>
      </c>
      <c r="D120" s="0" t="n">
        <v>265000</v>
      </c>
      <c r="E120" s="3" t="s">
        <v>191</v>
      </c>
      <c r="F120" s="3" t="n">
        <f aca="false">IF(E120="HEURE",C120*D120,IF(E120="JOUR",C120/Parametres!$B$6*D120,0))</f>
        <v>248437.5</v>
      </c>
    </row>
    <row r="121" customFormat="false" ht="15" hidden="false" customHeight="false" outlineLevel="0" collapsed="false">
      <c r="A121" s="0" t="s">
        <v>175</v>
      </c>
      <c r="B121" s="2" t="n">
        <v>46219</v>
      </c>
      <c r="C121" s="0" t="n">
        <v>7.4</v>
      </c>
      <c r="D121" s="0" t="n">
        <v>265000</v>
      </c>
      <c r="E121" s="3" t="s">
        <v>191</v>
      </c>
      <c r="F121" s="3" t="n">
        <f aca="false">IF(E121="HEURE",C121*D121,IF(E121="JOUR",C121/Parametres!$B$6*D121,0))</f>
        <v>245125</v>
      </c>
    </row>
    <row r="122" customFormat="false" ht="15" hidden="false" customHeight="false" outlineLevel="0" collapsed="false">
      <c r="A122" s="0" t="s">
        <v>175</v>
      </c>
      <c r="B122" s="2" t="n">
        <v>46220</v>
      </c>
      <c r="C122" s="0" t="n">
        <v>7.5</v>
      </c>
      <c r="D122" s="0" t="n">
        <v>265000</v>
      </c>
      <c r="E122" s="3" t="s">
        <v>191</v>
      </c>
      <c r="F122" s="3" t="n">
        <f aca="false">IF(E122="HEURE",C122*D122,IF(E122="JOUR",C122/Parametres!$B$6*D122,0))</f>
        <v>248437.5</v>
      </c>
    </row>
    <row r="123" customFormat="false" ht="15" hidden="false" customHeight="false" outlineLevel="0" collapsed="false">
      <c r="A123" s="0" t="s">
        <v>175</v>
      </c>
      <c r="B123" s="2" t="n">
        <v>46221</v>
      </c>
      <c r="C123" s="0" t="n">
        <v>7</v>
      </c>
      <c r="D123" s="0" t="n">
        <v>265000</v>
      </c>
      <c r="E123" s="3" t="s">
        <v>191</v>
      </c>
      <c r="F123" s="3" t="n">
        <f aca="false">IF(E123="HEURE",C123*D123,IF(E123="JOUR",C123/Parametres!$B$6*D123,0))</f>
        <v>231875</v>
      </c>
    </row>
    <row r="124" customFormat="false" ht="15" hidden="false" customHeight="false" outlineLevel="0" collapsed="false">
      <c r="A124" s="0" t="s">
        <v>175</v>
      </c>
      <c r="B124" s="2" t="n">
        <v>46222</v>
      </c>
      <c r="C124" s="0" t="n">
        <v>8</v>
      </c>
      <c r="D124" s="0" t="n">
        <v>265000</v>
      </c>
      <c r="E124" s="3" t="s">
        <v>191</v>
      </c>
      <c r="F124" s="3" t="n">
        <f aca="false">IF(E124="HEURE",C124*D124,IF(E124="JOUR",C124/Parametres!$B$6*D124,0))</f>
        <v>265000</v>
      </c>
    </row>
    <row r="125" customFormat="false" ht="15" hidden="false" customHeight="false" outlineLevel="0" collapsed="false">
      <c r="A125" s="0" t="s">
        <v>175</v>
      </c>
      <c r="B125" s="2" t="n">
        <v>46223</v>
      </c>
      <c r="C125" s="0" t="n">
        <v>8.2</v>
      </c>
      <c r="D125" s="0" t="n">
        <v>265000</v>
      </c>
      <c r="E125" s="3" t="s">
        <v>191</v>
      </c>
      <c r="F125" s="3" t="n">
        <f aca="false">IF(E125="HEURE",C125*D125,IF(E125="JOUR",C125/Parametres!$B$6*D125,0))</f>
        <v>271625</v>
      </c>
    </row>
    <row r="126" customFormat="false" ht="15" hidden="false" customHeight="false" outlineLevel="0" collapsed="false">
      <c r="A126" s="0" t="s">
        <v>175</v>
      </c>
      <c r="B126" s="2" t="n">
        <v>46224</v>
      </c>
      <c r="C126" s="0" t="n">
        <v>7.4</v>
      </c>
      <c r="D126" s="0" t="n">
        <v>265000</v>
      </c>
      <c r="E126" s="3" t="s">
        <v>191</v>
      </c>
      <c r="F126" s="3" t="n">
        <f aca="false">IF(E126="HEURE",C126*D126,IF(E126="JOUR",C126/Parametres!$B$6*D126,0))</f>
        <v>245125</v>
      </c>
    </row>
    <row r="127" customFormat="false" ht="15" hidden="false" customHeight="false" outlineLevel="0" collapsed="false">
      <c r="A127" s="0" t="s">
        <v>175</v>
      </c>
      <c r="B127" s="2" t="n">
        <v>46225</v>
      </c>
      <c r="C127" s="0" t="n">
        <v>7.4</v>
      </c>
      <c r="D127" s="0" t="n">
        <v>265000</v>
      </c>
      <c r="E127" s="3" t="s">
        <v>191</v>
      </c>
      <c r="F127" s="3" t="n">
        <f aca="false">IF(E127="HEURE",C127*D127,IF(E127="JOUR",C127/Parametres!$B$6*D127,0))</f>
        <v>245125</v>
      </c>
    </row>
    <row r="128" customFormat="false" ht="15" hidden="false" customHeight="false" outlineLevel="0" collapsed="false">
      <c r="A128" s="0" t="s">
        <v>175</v>
      </c>
      <c r="B128" s="2" t="n">
        <v>46226</v>
      </c>
      <c r="C128" s="0" t="n">
        <v>7.1</v>
      </c>
      <c r="D128" s="0" t="n">
        <v>265000</v>
      </c>
      <c r="E128" s="3" t="s">
        <v>191</v>
      </c>
      <c r="F128" s="3" t="n">
        <f aca="false">IF(E128="HEURE",C128*D128,IF(E128="JOUR",C128/Parametres!$B$6*D128,0))</f>
        <v>235187.5</v>
      </c>
    </row>
    <row r="129" customFormat="false" ht="15" hidden="false" customHeight="false" outlineLevel="0" collapsed="false">
      <c r="A129" s="0" t="s">
        <v>175</v>
      </c>
      <c r="B129" s="2" t="n">
        <v>46227</v>
      </c>
      <c r="C129" s="0" t="n">
        <v>7.8</v>
      </c>
      <c r="D129" s="0" t="n">
        <v>265000</v>
      </c>
      <c r="E129" s="3" t="s">
        <v>191</v>
      </c>
      <c r="F129" s="3" t="n">
        <f aca="false">IF(E129="HEURE",C129*D129,IF(E129="JOUR",C129/Parametres!$B$6*D129,0))</f>
        <v>258375</v>
      </c>
    </row>
    <row r="130" customFormat="false" ht="15" hidden="false" customHeight="false" outlineLevel="0" collapsed="false">
      <c r="A130" s="0" t="s">
        <v>175</v>
      </c>
      <c r="B130" s="2" t="n">
        <v>46228</v>
      </c>
      <c r="C130" s="0" t="n">
        <v>7.7</v>
      </c>
      <c r="D130" s="0" t="n">
        <v>265000</v>
      </c>
      <c r="E130" s="3" t="s">
        <v>191</v>
      </c>
      <c r="F130" s="3" t="n">
        <f aca="false">IF(E130="HEURE",C130*D130,IF(E130="JOUR",C130/Parametres!$B$6*D130,0))</f>
        <v>255062.5</v>
      </c>
    </row>
    <row r="131" customFormat="false" ht="15" hidden="false" customHeight="false" outlineLevel="0" collapsed="false">
      <c r="A131" s="0" t="s">
        <v>175</v>
      </c>
      <c r="B131" s="2" t="n">
        <v>46229</v>
      </c>
      <c r="C131" s="0" t="n">
        <v>6.9</v>
      </c>
      <c r="D131" s="0" t="n">
        <v>265000</v>
      </c>
      <c r="E131" s="3" t="s">
        <v>191</v>
      </c>
      <c r="F131" s="3" t="n">
        <f aca="false">IF(E131="HEURE",C131*D131,IF(E131="JOUR",C131/Parametres!$B$6*D131,0))</f>
        <v>228562.5</v>
      </c>
    </row>
    <row r="132" customFormat="false" ht="15" hidden="false" customHeight="false" outlineLevel="0" collapsed="false">
      <c r="A132" s="0" t="s">
        <v>175</v>
      </c>
      <c r="B132" s="2" t="n">
        <v>46230</v>
      </c>
      <c r="C132" s="0" t="n">
        <v>7.7</v>
      </c>
      <c r="D132" s="0" t="n">
        <v>265000</v>
      </c>
      <c r="E132" s="3" t="s">
        <v>191</v>
      </c>
      <c r="F132" s="3" t="n">
        <f aca="false">IF(E132="HEURE",C132*D132,IF(E132="JOUR",C132/Parametres!$B$6*D132,0))</f>
        <v>255062.5</v>
      </c>
    </row>
    <row r="133" customFormat="false" ht="15" hidden="false" customHeight="false" outlineLevel="0" collapsed="false">
      <c r="A133" s="0" t="s">
        <v>175</v>
      </c>
      <c r="B133" s="2" t="n">
        <v>46231</v>
      </c>
      <c r="C133" s="0" t="n">
        <v>7.5</v>
      </c>
      <c r="D133" s="0" t="n">
        <v>265000</v>
      </c>
      <c r="E133" s="3" t="s">
        <v>191</v>
      </c>
      <c r="F133" s="3" t="n">
        <f aca="false">IF(E133="HEURE",C133*D133,IF(E133="JOUR",C133/Parametres!$B$6*D133,0))</f>
        <v>248437.5</v>
      </c>
    </row>
    <row r="134" customFormat="false" ht="15" hidden="false" customHeight="false" outlineLevel="0" collapsed="false">
      <c r="A134" s="0" t="s">
        <v>175</v>
      </c>
      <c r="B134" s="2" t="n">
        <v>46232</v>
      </c>
      <c r="C134" s="0" t="n">
        <v>7.2</v>
      </c>
      <c r="D134" s="0" t="n">
        <v>265000</v>
      </c>
      <c r="E134" s="3" t="s">
        <v>191</v>
      </c>
      <c r="F134" s="3" t="n">
        <f aca="false">IF(E134="HEURE",C134*D134,IF(E134="JOUR",C134/Parametres!$B$6*D134,0))</f>
        <v>238500</v>
      </c>
    </row>
    <row r="135" customFormat="false" ht="15" hidden="false" customHeight="false" outlineLevel="0" collapsed="false">
      <c r="A135" s="0" t="s">
        <v>175</v>
      </c>
      <c r="B135" s="2" t="n">
        <v>46233</v>
      </c>
      <c r="C135" s="0" t="n">
        <v>7.8</v>
      </c>
      <c r="D135" s="0" t="n">
        <v>265000</v>
      </c>
      <c r="E135" s="3" t="s">
        <v>191</v>
      </c>
      <c r="F135" s="3" t="n">
        <f aca="false">IF(E135="HEURE",C135*D135,IF(E135="JOUR",C135/Parametres!$B$6*D135,0))</f>
        <v>258375</v>
      </c>
    </row>
    <row r="136" customFormat="false" ht="15" hidden="false" customHeight="false" outlineLevel="0" collapsed="false">
      <c r="A136" s="0" t="s">
        <v>175</v>
      </c>
      <c r="B136" s="2" t="n">
        <v>46234</v>
      </c>
      <c r="C136" s="0" t="n">
        <v>7.1</v>
      </c>
      <c r="D136" s="0" t="n">
        <v>265000</v>
      </c>
      <c r="E136" s="3" t="s">
        <v>191</v>
      </c>
      <c r="F136" s="3" t="n">
        <f aca="false">IF(E136="HEURE",C136*D136,IF(E136="JOUR",C136/Parametres!$B$6*D136,0))</f>
        <v>235187.5</v>
      </c>
    </row>
    <row r="137" customFormat="false" ht="15" hidden="false" customHeight="false" outlineLevel="0" collapsed="false">
      <c r="A137" s="0" t="s">
        <v>175</v>
      </c>
      <c r="B137" s="2" t="n">
        <v>46235</v>
      </c>
      <c r="C137" s="0" t="n">
        <v>8</v>
      </c>
      <c r="D137" s="0" t="n">
        <v>265000</v>
      </c>
      <c r="E137" s="3" t="s">
        <v>191</v>
      </c>
      <c r="F137" s="3" t="n">
        <f aca="false">IF(E137="HEURE",C137*D137,IF(E137="JOUR",C137/Parametres!$B$6*D137,0))</f>
        <v>265000</v>
      </c>
    </row>
    <row r="138" customFormat="false" ht="15" hidden="false" customHeight="false" outlineLevel="0" collapsed="false">
      <c r="A138" s="0" t="s">
        <v>175</v>
      </c>
      <c r="B138" s="2" t="n">
        <v>46236</v>
      </c>
      <c r="C138" s="0" t="n">
        <v>7.1</v>
      </c>
      <c r="D138" s="0" t="n">
        <v>265000</v>
      </c>
      <c r="E138" s="3" t="s">
        <v>191</v>
      </c>
      <c r="F138" s="3" t="n">
        <f aca="false">IF(E138="HEURE",C138*D138,IF(E138="JOUR",C138/Parametres!$B$6*D138,0))</f>
        <v>235187.5</v>
      </c>
    </row>
    <row r="139" customFormat="false" ht="15" hidden="false" customHeight="false" outlineLevel="0" collapsed="false">
      <c r="A139" s="0" t="s">
        <v>175</v>
      </c>
      <c r="B139" s="2" t="n">
        <v>46237</v>
      </c>
      <c r="C139" s="0" t="n">
        <v>8</v>
      </c>
      <c r="D139" s="0" t="n">
        <v>265000</v>
      </c>
      <c r="E139" s="3" t="s">
        <v>191</v>
      </c>
      <c r="F139" s="3" t="n">
        <f aca="false">IF(E139="HEURE",C139*D139,IF(E139="JOUR",C139/Parametres!$B$6*D139,0))</f>
        <v>265000</v>
      </c>
    </row>
    <row r="140" customFormat="false" ht="15" hidden="false" customHeight="false" outlineLevel="0" collapsed="false">
      <c r="A140" s="0" t="s">
        <v>175</v>
      </c>
      <c r="B140" s="2" t="n">
        <v>46238</v>
      </c>
      <c r="C140" s="0" t="n">
        <v>7.7</v>
      </c>
      <c r="D140" s="0" t="n">
        <v>265000</v>
      </c>
      <c r="E140" s="3" t="s">
        <v>191</v>
      </c>
      <c r="F140" s="3" t="n">
        <f aca="false">IF(E140="HEURE",C140*D140,IF(E140="JOUR",C140/Parametres!$B$6*D140,0))</f>
        <v>255062.5</v>
      </c>
    </row>
    <row r="141" customFormat="false" ht="15" hidden="false" customHeight="false" outlineLevel="0" collapsed="false">
      <c r="A141" s="0" t="s">
        <v>175</v>
      </c>
      <c r="B141" s="2" t="n">
        <v>46239</v>
      </c>
      <c r="C141" s="0" t="n">
        <v>7.1</v>
      </c>
      <c r="D141" s="0" t="n">
        <v>265000</v>
      </c>
      <c r="E141" s="3" t="s">
        <v>191</v>
      </c>
      <c r="F141" s="3" t="n">
        <f aca="false">IF(E141="HEURE",C141*D141,IF(E141="JOUR",C141/Parametres!$B$6*D141,0))</f>
        <v>235187.5</v>
      </c>
    </row>
    <row r="142" customFormat="false" ht="15" hidden="false" customHeight="false" outlineLevel="0" collapsed="false">
      <c r="A142" s="0" t="s">
        <v>175</v>
      </c>
      <c r="B142" s="2" t="n">
        <v>46240</v>
      </c>
      <c r="C142" s="0" t="n">
        <v>7.8</v>
      </c>
      <c r="D142" s="0" t="n">
        <v>265000</v>
      </c>
      <c r="E142" s="3" t="s">
        <v>191</v>
      </c>
      <c r="F142" s="3" t="n">
        <f aca="false">IF(E142="HEURE",C142*D142,IF(E142="JOUR",C142/Parametres!$B$6*D142,0))</f>
        <v>258375</v>
      </c>
    </row>
    <row r="143" customFormat="false" ht="15" hidden="false" customHeight="false" outlineLevel="0" collapsed="false">
      <c r="A143" s="0" t="s">
        <v>175</v>
      </c>
      <c r="B143" s="2" t="n">
        <v>46241</v>
      </c>
      <c r="C143" s="0" t="n">
        <v>7.1</v>
      </c>
      <c r="D143" s="0" t="n">
        <v>265000</v>
      </c>
      <c r="E143" s="3" t="s">
        <v>191</v>
      </c>
      <c r="F143" s="3" t="n">
        <f aca="false">IF(E143="HEURE",C143*D143,IF(E143="JOUR",C143/Parametres!$B$6*D143,0))</f>
        <v>235187.5</v>
      </c>
    </row>
    <row r="144" customFormat="false" ht="15" hidden="false" customHeight="false" outlineLevel="0" collapsed="false">
      <c r="A144" s="0" t="s">
        <v>175</v>
      </c>
      <c r="B144" s="2" t="n">
        <v>46242</v>
      </c>
      <c r="C144" s="0" t="n">
        <v>7.4</v>
      </c>
      <c r="D144" s="0" t="n">
        <v>265000</v>
      </c>
      <c r="E144" s="3" t="s">
        <v>191</v>
      </c>
      <c r="F144" s="3" t="n">
        <f aca="false">IF(E144="HEURE",C144*D144,IF(E144="JOUR",C144/Parametres!$B$6*D144,0))</f>
        <v>245125</v>
      </c>
    </row>
    <row r="145" customFormat="false" ht="15" hidden="false" customHeight="false" outlineLevel="0" collapsed="false">
      <c r="A145" s="0" t="s">
        <v>175</v>
      </c>
      <c r="B145" s="2" t="n">
        <v>46243</v>
      </c>
      <c r="C145" s="0" t="n">
        <v>7</v>
      </c>
      <c r="D145" s="0" t="n">
        <v>265000</v>
      </c>
      <c r="E145" s="3" t="s">
        <v>191</v>
      </c>
      <c r="F145" s="3" t="n">
        <f aca="false">IF(E145="HEURE",C145*D145,IF(E145="JOUR",C145/Parametres!$B$6*D145,0))</f>
        <v>231875</v>
      </c>
    </row>
    <row r="146" customFormat="false" ht="15" hidden="false" customHeight="false" outlineLevel="0" collapsed="false">
      <c r="A146" s="0" t="s">
        <v>175</v>
      </c>
      <c r="B146" s="2" t="n">
        <v>46244</v>
      </c>
      <c r="C146" s="0" t="n">
        <v>7</v>
      </c>
      <c r="D146" s="0" t="n">
        <v>265000</v>
      </c>
      <c r="E146" s="3" t="s">
        <v>191</v>
      </c>
      <c r="F146" s="3" t="n">
        <f aca="false">IF(E146="HEURE",C146*D146,IF(E146="JOUR",C146/Parametres!$B$6*D146,0))</f>
        <v>231875</v>
      </c>
    </row>
    <row r="147" customFormat="false" ht="15" hidden="false" customHeight="false" outlineLevel="0" collapsed="false">
      <c r="A147" s="0" t="s">
        <v>175</v>
      </c>
      <c r="B147" s="2" t="n">
        <v>46245</v>
      </c>
      <c r="C147" s="0" t="n">
        <v>8</v>
      </c>
      <c r="D147" s="0" t="n">
        <v>265000</v>
      </c>
      <c r="E147" s="3" t="s">
        <v>191</v>
      </c>
      <c r="F147" s="3" t="n">
        <f aca="false">IF(E147="HEURE",C147*D147,IF(E147="JOUR",C147/Parametres!$B$6*D147,0))</f>
        <v>265000</v>
      </c>
    </row>
    <row r="148" customFormat="false" ht="15" hidden="false" customHeight="false" outlineLevel="0" collapsed="false">
      <c r="A148" s="0" t="s">
        <v>175</v>
      </c>
      <c r="B148" s="2" t="n">
        <v>46246</v>
      </c>
      <c r="C148" s="0" t="n">
        <v>8</v>
      </c>
      <c r="D148" s="0" t="n">
        <v>265000</v>
      </c>
      <c r="E148" s="3" t="s">
        <v>191</v>
      </c>
      <c r="F148" s="3" t="n">
        <f aca="false">IF(E148="HEURE",C148*D148,IF(E148="JOUR",C148/Parametres!$B$6*D148,0))</f>
        <v>265000</v>
      </c>
    </row>
    <row r="149" customFormat="false" ht="15" hidden="false" customHeight="false" outlineLevel="0" collapsed="false">
      <c r="A149" s="0" t="s">
        <v>175</v>
      </c>
      <c r="B149" s="2" t="n">
        <v>46247</v>
      </c>
      <c r="C149" s="0" t="n">
        <v>7</v>
      </c>
      <c r="D149" s="0" t="n">
        <v>265000</v>
      </c>
      <c r="E149" s="3" t="s">
        <v>191</v>
      </c>
      <c r="F149" s="3" t="n">
        <f aca="false">IF(E149="HEURE",C149*D149,IF(E149="JOUR",C149/Parametres!$B$6*D149,0))</f>
        <v>231875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182</v>
      </c>
      <c r="C1" s="1" t="s">
        <v>183</v>
      </c>
      <c r="D1" s="1" t="s">
        <v>192</v>
      </c>
      <c r="E1" s="1" t="s">
        <v>188</v>
      </c>
      <c r="F1" s="1" t="s">
        <v>189</v>
      </c>
      <c r="G1" s="1" t="s">
        <v>193</v>
      </c>
    </row>
    <row r="2" customFormat="false" ht="15" hidden="false" customHeight="false" outlineLevel="0" collapsed="false">
      <c r="A2" s="0" t="s">
        <v>175</v>
      </c>
      <c r="B2" s="2" t="n">
        <v>46093</v>
      </c>
      <c r="C2" s="2" t="n">
        <v>46100</v>
      </c>
      <c r="D2" s="0" t="n">
        <v>2</v>
      </c>
      <c r="E2" s="0" t="n">
        <v>118000</v>
      </c>
      <c r="F2" s="3" t="s">
        <v>191</v>
      </c>
      <c r="G2" s="3" t="n">
        <f aca="false">(C2-B2+1)*D2*IF(F2="JOUR",E2,IF(F2="HEURE",Parametres!$B$6*E2,0))</f>
        <v>1888000</v>
      </c>
    </row>
    <row r="3" customFormat="false" ht="15" hidden="false" customHeight="false" outlineLevel="0" collapsed="false">
      <c r="A3" s="0" t="s">
        <v>175</v>
      </c>
      <c r="B3" s="2" t="n">
        <v>46093</v>
      </c>
      <c r="C3" s="2" t="n">
        <v>46100</v>
      </c>
      <c r="D3" s="0" t="n">
        <v>1</v>
      </c>
      <c r="E3" s="0" t="n">
        <v>265000</v>
      </c>
      <c r="F3" s="3" t="s">
        <v>191</v>
      </c>
      <c r="G3" s="3" t="n">
        <f aca="false">(C3-B3+1)*D3*IF(F3="JOUR",E3,IF(F3="HEURE",Parametres!$B$6*E3,0))</f>
        <v>2120000</v>
      </c>
    </row>
    <row r="4" customFormat="false" ht="15" hidden="false" customHeight="false" outlineLevel="0" collapsed="false">
      <c r="A4" s="0" t="s">
        <v>175</v>
      </c>
      <c r="B4" s="2" t="n">
        <v>46101</v>
      </c>
      <c r="C4" s="2" t="n">
        <v>46118</v>
      </c>
      <c r="D4" s="0" t="n">
        <v>2</v>
      </c>
      <c r="E4" s="0" t="n">
        <v>118000</v>
      </c>
      <c r="F4" s="3" t="s">
        <v>191</v>
      </c>
      <c r="G4" s="3" t="n">
        <f aca="false">(C4-B4+1)*D4*IF(F4="JOUR",E4,IF(F4="HEURE",Parametres!$B$6*E4,0))</f>
        <v>4248000</v>
      </c>
    </row>
    <row r="5" customFormat="false" ht="15" hidden="false" customHeight="false" outlineLevel="0" collapsed="false">
      <c r="A5" s="0" t="s">
        <v>175</v>
      </c>
      <c r="B5" s="2" t="n">
        <v>46101</v>
      </c>
      <c r="C5" s="2" t="n">
        <v>46118</v>
      </c>
      <c r="D5" s="0" t="n">
        <v>1</v>
      </c>
      <c r="E5" s="0" t="n">
        <v>265000</v>
      </c>
      <c r="F5" s="3" t="s">
        <v>191</v>
      </c>
      <c r="G5" s="3" t="n">
        <f aca="false">(C5-B5+1)*D5*IF(F5="JOUR",E5,IF(F5="HEURE",Parametres!$B$6*E5,0))</f>
        <v>4770000</v>
      </c>
    </row>
    <row r="6" customFormat="false" ht="15" hidden="false" customHeight="false" outlineLevel="0" collapsed="false">
      <c r="A6" s="0" t="s">
        <v>175</v>
      </c>
      <c r="B6" s="2" t="n">
        <v>46119</v>
      </c>
      <c r="C6" s="2" t="n">
        <v>46132</v>
      </c>
      <c r="D6" s="0" t="n">
        <v>2</v>
      </c>
      <c r="E6" s="0" t="n">
        <v>118000</v>
      </c>
      <c r="F6" s="3" t="s">
        <v>191</v>
      </c>
      <c r="G6" s="3" t="n">
        <f aca="false">(C6-B6+1)*D6*IF(F6="JOUR",E6,IF(F6="HEURE",Parametres!$B$6*E6,0))</f>
        <v>3304000</v>
      </c>
    </row>
    <row r="7" customFormat="false" ht="15" hidden="false" customHeight="false" outlineLevel="0" collapsed="false">
      <c r="A7" s="0" t="s">
        <v>175</v>
      </c>
      <c r="B7" s="2" t="n">
        <v>46119</v>
      </c>
      <c r="C7" s="2" t="n">
        <v>46132</v>
      </c>
      <c r="D7" s="0" t="n">
        <v>1</v>
      </c>
      <c r="E7" s="0" t="n">
        <v>265000</v>
      </c>
      <c r="F7" s="3" t="s">
        <v>191</v>
      </c>
      <c r="G7" s="3" t="n">
        <f aca="false">(C7-B7+1)*D7*IF(F7="JOUR",E7,IF(F7="HEURE",Parametres!$B$6*E7,0))</f>
        <v>3710000</v>
      </c>
    </row>
    <row r="8" customFormat="false" ht="15" hidden="false" customHeight="false" outlineLevel="0" collapsed="false">
      <c r="A8" s="0" t="s">
        <v>175</v>
      </c>
      <c r="B8" s="2" t="n">
        <v>46181</v>
      </c>
      <c r="C8" s="2" t="n">
        <v>46192</v>
      </c>
      <c r="D8" s="0" t="n">
        <v>2</v>
      </c>
      <c r="E8" s="0" t="n">
        <v>118000</v>
      </c>
      <c r="F8" s="3" t="s">
        <v>191</v>
      </c>
      <c r="G8" s="3" t="n">
        <f aca="false">(C8-B8+1)*D8*IF(F8="JOUR",E8,IF(F8="HEURE",Parametres!$B$6*E8,0))</f>
        <v>2832000</v>
      </c>
    </row>
    <row r="9" customFormat="false" ht="15" hidden="false" customHeight="false" outlineLevel="0" collapsed="false">
      <c r="A9" s="0" t="s">
        <v>175</v>
      </c>
      <c r="B9" s="2" t="n">
        <v>46181</v>
      </c>
      <c r="C9" s="2" t="n">
        <v>46192</v>
      </c>
      <c r="D9" s="0" t="n">
        <v>1</v>
      </c>
      <c r="E9" s="0" t="n">
        <v>265000</v>
      </c>
      <c r="F9" s="3" t="s">
        <v>191</v>
      </c>
      <c r="G9" s="3" t="n">
        <f aca="false">(C9-B9+1)*D9*IF(F9="JOUR",E9,IF(F9="HEURE",Parametres!$B$6*E9,0))</f>
        <v>3180000</v>
      </c>
    </row>
    <row r="10" customFormat="false" ht="15" hidden="false" customHeight="false" outlineLevel="0" collapsed="false">
      <c r="A10" s="0" t="s">
        <v>175</v>
      </c>
      <c r="B10" s="2" t="n">
        <v>46193</v>
      </c>
      <c r="C10" s="2" t="n">
        <v>46207</v>
      </c>
      <c r="D10" s="0" t="n">
        <v>1</v>
      </c>
      <c r="E10" s="0" t="n">
        <v>265000</v>
      </c>
      <c r="F10" s="3" t="s">
        <v>191</v>
      </c>
      <c r="G10" s="3" t="n">
        <f aca="false">(C10-B10+1)*D10*IF(F10="JOUR",E10,IF(F10="HEURE",Parametres!$B$6*E10,0))</f>
        <v>3975000</v>
      </c>
    </row>
    <row r="11" customFormat="false" ht="15" hidden="false" customHeight="false" outlineLevel="0" collapsed="false">
      <c r="A11" s="0" t="s">
        <v>175</v>
      </c>
      <c r="B11" s="2" t="n">
        <v>46203</v>
      </c>
      <c r="C11" s="2" t="n">
        <v>46212</v>
      </c>
      <c r="D11" s="0" t="n">
        <v>1</v>
      </c>
      <c r="E11" s="0" t="n">
        <v>265000</v>
      </c>
      <c r="F11" s="3" t="s">
        <v>191</v>
      </c>
      <c r="G11" s="3" t="n">
        <f aca="false">(C11-B11+1)*D11*IF(F11="JOUR",E11,IF(F11="HEURE",Parametres!$B$6*E11,0))</f>
        <v>2650000</v>
      </c>
    </row>
    <row r="12" customFormat="false" ht="15" hidden="false" customHeight="false" outlineLevel="0" collapsed="false">
      <c r="A12" s="0" t="s">
        <v>175</v>
      </c>
      <c r="B12" s="2" t="n">
        <v>46208</v>
      </c>
      <c r="C12" s="2" t="n">
        <v>46219</v>
      </c>
      <c r="D12" s="0" t="n">
        <v>1</v>
      </c>
      <c r="E12" s="0" t="n">
        <v>265000</v>
      </c>
      <c r="F12" s="3" t="s">
        <v>191</v>
      </c>
      <c r="G12" s="3" t="n">
        <f aca="false">(C12-B12+1)*D12*IF(F12="JOUR",E12,IF(F12="HEURE",Parametres!$B$6*E12,0))</f>
        <v>3180000</v>
      </c>
    </row>
    <row r="13" customFormat="false" ht="15" hidden="false" customHeight="false" outlineLevel="0" collapsed="false">
      <c r="A13" s="0" t="s">
        <v>175</v>
      </c>
      <c r="B13" s="2" t="n">
        <v>46220</v>
      </c>
      <c r="C13" s="2" t="n">
        <v>46229</v>
      </c>
      <c r="D13" s="0" t="n">
        <v>1</v>
      </c>
      <c r="E13" s="0" t="n">
        <v>265000</v>
      </c>
      <c r="F13" s="3" t="s">
        <v>191</v>
      </c>
      <c r="G13" s="3" t="n">
        <f aca="false">(C13-B13+1)*D13*IF(F13="JOUR",E13,IF(F13="HEURE",Parametres!$B$6*E13,0))</f>
        <v>2650000</v>
      </c>
    </row>
    <row r="14" customFormat="false" ht="15" hidden="false" customHeight="false" outlineLevel="0" collapsed="false">
      <c r="A14" s="0" t="s">
        <v>186</v>
      </c>
      <c r="B14" s="2" t="n">
        <v>46443</v>
      </c>
      <c r="C14" s="2" t="n">
        <v>46466</v>
      </c>
      <c r="D14" s="0" t="n">
        <v>1</v>
      </c>
      <c r="E14" s="0" t="n">
        <v>265000</v>
      </c>
      <c r="F14" s="3" t="s">
        <v>191</v>
      </c>
      <c r="G14" s="3" t="n">
        <f aca="false">(C14-B14+1)*D14*IF(F14="JOUR",E14,IF(F14="HEURE",Parametres!$B$6*E14,0))</f>
        <v>6360000</v>
      </c>
    </row>
    <row r="15" customFormat="false" ht="15" hidden="false" customHeight="false" outlineLevel="0" collapsed="false">
      <c r="A15" s="0" t="s">
        <v>186</v>
      </c>
      <c r="B15" s="2" t="n">
        <v>46467</v>
      </c>
      <c r="C15" s="2" t="n">
        <v>46480</v>
      </c>
      <c r="D15" s="0" t="n">
        <v>1</v>
      </c>
      <c r="E15" s="0" t="n">
        <v>265000</v>
      </c>
      <c r="F15" s="3" t="s">
        <v>191</v>
      </c>
      <c r="G15" s="3" t="n">
        <f aca="false">(C15-B15+1)*D15*IF(F15="JOUR",E15,IF(F15="HEURE",Parametres!$B$6*E15,0))</f>
        <v>3710000</v>
      </c>
    </row>
    <row r="16" customFormat="false" ht="15" hidden="false" customHeight="false" outlineLevel="0" collapsed="false">
      <c r="A16" s="0" t="s">
        <v>186</v>
      </c>
      <c r="B16" s="2" t="n">
        <v>46467</v>
      </c>
      <c r="C16" s="2" t="n">
        <v>46484</v>
      </c>
      <c r="D16" s="0" t="n">
        <v>1</v>
      </c>
      <c r="E16" s="0" t="n">
        <v>265000</v>
      </c>
      <c r="F16" s="3" t="s">
        <v>191</v>
      </c>
      <c r="G16" s="3" t="n">
        <f aca="false">(C16-B16+1)*D16*IF(F16="JOUR",E16,IF(F16="HEURE",Parametres!$B$6*E16,0))</f>
        <v>4770000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194</v>
      </c>
      <c r="C1" s="1" t="s">
        <v>171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</row>
    <row r="2" customFormat="false" ht="15" hidden="false" customHeight="false" outlineLevel="0" collapsed="false">
      <c r="A2" s="0" t="s">
        <v>95</v>
      </c>
      <c r="B2" s="0" t="s">
        <v>211</v>
      </c>
      <c r="C2" s="0" t="s">
        <v>174</v>
      </c>
      <c r="D2" s="0" t="s">
        <v>212</v>
      </c>
      <c r="E2" s="0" t="n">
        <v>260</v>
      </c>
      <c r="F2" s="0" t="n">
        <v>28000</v>
      </c>
      <c r="G2" s="0" t="n">
        <f aca="false">E2*F2</f>
        <v>7280000</v>
      </c>
      <c r="H2" s="0" t="n">
        <f aca="false">SUMIFS(Quantites!$C$2:$C$1166,Quantites!$A$2:$A$1166,A2,Quantites!$B$2:$B$1166,"&lt;="&amp;Dates!$A$2)</f>
        <v>260</v>
      </c>
      <c r="I2" s="0" t="n">
        <f aca="false">MIN(H2,E2)*F2</f>
        <v>7280000</v>
      </c>
      <c r="J2" s="0" t="n">
        <f aca="false">IF(H2&gt;=E2-0.000001,1,0)</f>
        <v>1</v>
      </c>
      <c r="K2" s="0" t="n">
        <f aca="false">MAX(0,H2-E2)*F2</f>
        <v>0</v>
      </c>
      <c r="L2" s="0" t="n">
        <f aca="false">SUMIFS(Quantites!$C$2:$C$1166,Quantites!$A$2:$A$1166,A2,Quantites!$B$2:$B$1166,"&lt;="&amp;Dates!$A$3)</f>
        <v>260</v>
      </c>
      <c r="M2" s="0" t="n">
        <f aca="false">MIN(L2,E2)*F2</f>
        <v>7280000</v>
      </c>
      <c r="N2" s="0" t="n">
        <f aca="false">IF(L2&gt;=E2-0.000001,1,0)</f>
        <v>1</v>
      </c>
      <c r="O2" s="0" t="n">
        <f aca="false">MAX(0,L2-E2)*F2</f>
        <v>0</v>
      </c>
      <c r="P2" s="0" t="n">
        <f aca="false">SUMIFS(Quantites!$C$2:$C$1166,Quantites!$A$2:$A$1166,A2,Quantites!$B$2:$B$1166,"&lt;="&amp;Dates!$A$4)</f>
        <v>260</v>
      </c>
      <c r="Q2" s="0" t="n">
        <f aca="false">MIN(P2,E2)*F2</f>
        <v>7280000</v>
      </c>
      <c r="R2" s="0" t="n">
        <f aca="false">IF(P2&gt;=E2-0.000001,1,0)</f>
        <v>1</v>
      </c>
      <c r="S2" s="0" t="n">
        <f aca="false">MAX(0,P2-E2)*F2</f>
        <v>0</v>
      </c>
    </row>
    <row r="3" customFormat="false" ht="15" hidden="false" customHeight="false" outlineLevel="0" collapsed="false">
      <c r="A3" s="0" t="s">
        <v>96</v>
      </c>
      <c r="B3" s="0" t="s">
        <v>211</v>
      </c>
      <c r="C3" s="0" t="s">
        <v>174</v>
      </c>
      <c r="D3" s="0" t="s">
        <v>213</v>
      </c>
      <c r="E3" s="0" t="n">
        <v>640</v>
      </c>
      <c r="F3" s="0" t="n">
        <v>14000</v>
      </c>
      <c r="G3" s="0" t="n">
        <f aca="false">E3*F3</f>
        <v>8960000</v>
      </c>
      <c r="H3" s="0" t="n">
        <f aca="false">SUMIFS(Quantites!$C$2:$C$1166,Quantites!$A$2:$A$1166,A3,Quantites!$B$2:$B$1166,"&lt;="&amp;Dates!$A$2)</f>
        <v>640</v>
      </c>
      <c r="I3" s="0" t="n">
        <f aca="false">MIN(H3,E3)*F3</f>
        <v>8960000</v>
      </c>
      <c r="J3" s="0" t="n">
        <f aca="false">IF(H3&gt;=E3-0.000001,1,0)</f>
        <v>1</v>
      </c>
      <c r="K3" s="0" t="n">
        <f aca="false">MAX(0,H3-E3)*F3</f>
        <v>0</v>
      </c>
      <c r="L3" s="0" t="n">
        <f aca="false">SUMIFS(Quantites!$C$2:$C$1166,Quantites!$A$2:$A$1166,A3,Quantites!$B$2:$B$1166,"&lt;="&amp;Dates!$A$3)</f>
        <v>640</v>
      </c>
      <c r="M3" s="0" t="n">
        <f aca="false">MIN(L3,E3)*F3</f>
        <v>8960000</v>
      </c>
      <c r="N3" s="0" t="n">
        <f aca="false">IF(L3&gt;=E3-0.000001,1,0)</f>
        <v>1</v>
      </c>
      <c r="O3" s="0" t="n">
        <f aca="false">MAX(0,L3-E3)*F3</f>
        <v>0</v>
      </c>
      <c r="P3" s="0" t="n">
        <f aca="false">SUMIFS(Quantites!$C$2:$C$1166,Quantites!$A$2:$A$1166,A3,Quantites!$B$2:$B$1166,"&lt;="&amp;Dates!$A$4)</f>
        <v>640</v>
      </c>
      <c r="Q3" s="0" t="n">
        <f aca="false">MIN(P3,E3)*F3</f>
        <v>8960000</v>
      </c>
      <c r="R3" s="0" t="n">
        <f aca="false">IF(P3&gt;=E3-0.000001,1,0)</f>
        <v>1</v>
      </c>
      <c r="S3" s="0" t="n">
        <f aca="false">MAX(0,P3-E3)*F3</f>
        <v>0</v>
      </c>
    </row>
    <row r="4" customFormat="false" ht="15" hidden="false" customHeight="false" outlineLevel="0" collapsed="false">
      <c r="A4" s="0" t="s">
        <v>97</v>
      </c>
      <c r="B4" s="0" t="s">
        <v>211</v>
      </c>
      <c r="C4" s="0" t="s">
        <v>174</v>
      </c>
      <c r="D4" s="0" t="s">
        <v>214</v>
      </c>
      <c r="E4" s="0" t="n">
        <v>2</v>
      </c>
      <c r="F4" s="0" t="n">
        <v>850000</v>
      </c>
      <c r="G4" s="0" t="n">
        <f aca="false">E4*F4</f>
        <v>1700000</v>
      </c>
      <c r="H4" s="0" t="n">
        <f aca="false">SUMIFS(Quantites!$C$2:$C$1166,Quantites!$A$2:$A$1166,A4,Quantites!$B$2:$B$1166,"&lt;="&amp;Dates!$A$2)</f>
        <v>2</v>
      </c>
      <c r="I4" s="0" t="n">
        <f aca="false">MIN(H4,E4)*F4</f>
        <v>1700000</v>
      </c>
      <c r="J4" s="0" t="n">
        <f aca="false">IF(H4&gt;=E4-0.000001,1,0)</f>
        <v>1</v>
      </c>
      <c r="K4" s="0" t="n">
        <f aca="false">MAX(0,H4-E4)*F4</f>
        <v>0</v>
      </c>
      <c r="L4" s="0" t="n">
        <f aca="false">SUMIFS(Quantites!$C$2:$C$1166,Quantites!$A$2:$A$1166,A4,Quantites!$B$2:$B$1166,"&lt;="&amp;Dates!$A$3)</f>
        <v>2</v>
      </c>
      <c r="M4" s="0" t="n">
        <f aca="false">MIN(L4,E4)*F4</f>
        <v>1700000</v>
      </c>
      <c r="N4" s="0" t="n">
        <f aca="false">IF(L4&gt;=E4-0.000001,1,0)</f>
        <v>1</v>
      </c>
      <c r="O4" s="0" t="n">
        <f aca="false">MAX(0,L4-E4)*F4</f>
        <v>0</v>
      </c>
      <c r="P4" s="0" t="n">
        <f aca="false">SUMIFS(Quantites!$C$2:$C$1166,Quantites!$A$2:$A$1166,A4,Quantites!$B$2:$B$1166,"&lt;="&amp;Dates!$A$4)</f>
        <v>2</v>
      </c>
      <c r="Q4" s="0" t="n">
        <f aca="false">MIN(P4,E4)*F4</f>
        <v>1700000</v>
      </c>
      <c r="R4" s="0" t="n">
        <f aca="false">IF(P4&gt;=E4-0.000001,1,0)</f>
        <v>1</v>
      </c>
      <c r="S4" s="0" t="n">
        <f aca="false">MAX(0,P4-E4)*F4</f>
        <v>0</v>
      </c>
    </row>
    <row r="5" customFormat="false" ht="15" hidden="false" customHeight="false" outlineLevel="0" collapsed="false">
      <c r="A5" s="0" t="s">
        <v>101</v>
      </c>
      <c r="B5" s="0" t="s">
        <v>215</v>
      </c>
      <c r="C5" s="0" t="s">
        <v>174</v>
      </c>
      <c r="D5" s="0" t="s">
        <v>216</v>
      </c>
      <c r="E5" s="0" t="n">
        <v>380</v>
      </c>
      <c r="F5" s="0" t="n">
        <v>12000</v>
      </c>
      <c r="G5" s="0" t="n">
        <f aca="false">E5*F5</f>
        <v>4560000</v>
      </c>
      <c r="H5" s="0" t="n">
        <f aca="false">SUMIFS(Quantites!$C$2:$C$1166,Quantites!$A$2:$A$1166,A5,Quantites!$B$2:$B$1166,"&lt;="&amp;Dates!$A$2)</f>
        <v>380</v>
      </c>
      <c r="I5" s="0" t="n">
        <f aca="false">MIN(H5,E5)*F5</f>
        <v>4560000</v>
      </c>
      <c r="J5" s="0" t="n">
        <f aca="false">IF(H5&gt;=E5-0.000001,1,0)</f>
        <v>1</v>
      </c>
      <c r="K5" s="0" t="n">
        <f aca="false">MAX(0,H5-E5)*F5</f>
        <v>0</v>
      </c>
      <c r="L5" s="0" t="n">
        <f aca="false">SUMIFS(Quantites!$C$2:$C$1166,Quantites!$A$2:$A$1166,A5,Quantites!$B$2:$B$1166,"&lt;="&amp;Dates!$A$3)</f>
        <v>380</v>
      </c>
      <c r="M5" s="0" t="n">
        <f aca="false">MIN(L5,E5)*F5</f>
        <v>4560000</v>
      </c>
      <c r="N5" s="0" t="n">
        <f aca="false">IF(L5&gt;=E5-0.000001,1,0)</f>
        <v>1</v>
      </c>
      <c r="O5" s="0" t="n">
        <f aca="false">MAX(0,L5-E5)*F5</f>
        <v>0</v>
      </c>
      <c r="P5" s="0" t="n">
        <f aca="false">SUMIFS(Quantites!$C$2:$C$1166,Quantites!$A$2:$A$1166,A5,Quantites!$B$2:$B$1166,"&lt;="&amp;Dates!$A$4)</f>
        <v>380</v>
      </c>
      <c r="Q5" s="0" t="n">
        <f aca="false">MIN(P5,E5)*F5</f>
        <v>4560000</v>
      </c>
      <c r="R5" s="0" t="n">
        <f aca="false">IF(P5&gt;=E5-0.000001,1,0)</f>
        <v>1</v>
      </c>
      <c r="S5" s="0" t="n">
        <f aca="false">MAX(0,P5-E5)*F5</f>
        <v>0</v>
      </c>
    </row>
    <row r="6" customFormat="false" ht="15" hidden="false" customHeight="false" outlineLevel="0" collapsed="false">
      <c r="A6" s="0" t="s">
        <v>100</v>
      </c>
      <c r="B6" s="0" t="s">
        <v>215</v>
      </c>
      <c r="C6" s="0" t="s">
        <v>174</v>
      </c>
      <c r="D6" s="0" t="s">
        <v>217</v>
      </c>
      <c r="E6" s="0" t="n">
        <v>4</v>
      </c>
      <c r="F6" s="0" t="n">
        <v>1850000</v>
      </c>
      <c r="G6" s="0" t="n">
        <f aca="false">E6*F6</f>
        <v>7400000</v>
      </c>
      <c r="H6" s="0" t="n">
        <f aca="false">SUMIFS(Quantites!$C$2:$C$1166,Quantites!$A$2:$A$1166,A6,Quantites!$B$2:$B$1166,"&lt;="&amp;Dates!$A$2)</f>
        <v>4</v>
      </c>
      <c r="I6" s="0" t="n">
        <f aca="false">MIN(H6,E6)*F6</f>
        <v>7400000</v>
      </c>
      <c r="J6" s="0" t="n">
        <f aca="false">IF(H6&gt;=E6-0.000001,1,0)</f>
        <v>1</v>
      </c>
      <c r="K6" s="0" t="n">
        <f aca="false">MAX(0,H6-E6)*F6</f>
        <v>0</v>
      </c>
      <c r="L6" s="0" t="n">
        <f aca="false">SUMIFS(Quantites!$C$2:$C$1166,Quantites!$A$2:$A$1166,A6,Quantites!$B$2:$B$1166,"&lt;="&amp;Dates!$A$3)</f>
        <v>4</v>
      </c>
      <c r="M6" s="0" t="n">
        <f aca="false">MIN(L6,E6)*F6</f>
        <v>7400000</v>
      </c>
      <c r="N6" s="0" t="n">
        <f aca="false">IF(L6&gt;=E6-0.000001,1,0)</f>
        <v>1</v>
      </c>
      <c r="O6" s="0" t="n">
        <f aca="false">MAX(0,L6-E6)*F6</f>
        <v>0</v>
      </c>
      <c r="P6" s="0" t="n">
        <f aca="false">SUMIFS(Quantites!$C$2:$C$1166,Quantites!$A$2:$A$1166,A6,Quantites!$B$2:$B$1166,"&lt;="&amp;Dates!$A$4)</f>
        <v>4</v>
      </c>
      <c r="Q6" s="0" t="n">
        <f aca="false">MIN(P6,E6)*F6</f>
        <v>7400000</v>
      </c>
      <c r="R6" s="0" t="n">
        <f aca="false">IF(P6&gt;=E6-0.000001,1,0)</f>
        <v>1</v>
      </c>
      <c r="S6" s="0" t="n">
        <f aca="false">MAX(0,P6-E6)*F6</f>
        <v>0</v>
      </c>
    </row>
    <row r="7" customFormat="false" ht="15" hidden="false" customHeight="false" outlineLevel="0" collapsed="false">
      <c r="A7" s="0" t="s">
        <v>99</v>
      </c>
      <c r="B7" s="0" t="s">
        <v>215</v>
      </c>
      <c r="C7" s="0" t="s">
        <v>174</v>
      </c>
      <c r="D7" s="0" t="s">
        <v>218</v>
      </c>
      <c r="E7" s="0" t="n">
        <v>3</v>
      </c>
      <c r="F7" s="0" t="n">
        <v>1200000</v>
      </c>
      <c r="G7" s="0" t="n">
        <f aca="false">E7*F7</f>
        <v>3600000</v>
      </c>
      <c r="H7" s="0" t="n">
        <f aca="false">SUMIFS(Quantites!$C$2:$C$1166,Quantites!$A$2:$A$1166,A7,Quantites!$B$2:$B$1166,"&lt;="&amp;Dates!$A$2)</f>
        <v>3</v>
      </c>
      <c r="I7" s="0" t="n">
        <f aca="false">MIN(H7,E7)*F7</f>
        <v>3600000</v>
      </c>
      <c r="J7" s="0" t="n">
        <f aca="false">IF(H7&gt;=E7-0.000001,1,0)</f>
        <v>1</v>
      </c>
      <c r="K7" s="0" t="n">
        <f aca="false">MAX(0,H7-E7)*F7</f>
        <v>0</v>
      </c>
      <c r="L7" s="0" t="n">
        <f aca="false">SUMIFS(Quantites!$C$2:$C$1166,Quantites!$A$2:$A$1166,A7,Quantites!$B$2:$B$1166,"&lt;="&amp;Dates!$A$3)</f>
        <v>3</v>
      </c>
      <c r="M7" s="0" t="n">
        <f aca="false">MIN(L7,E7)*F7</f>
        <v>3600000</v>
      </c>
      <c r="N7" s="0" t="n">
        <f aca="false">IF(L7&gt;=E7-0.000001,1,0)</f>
        <v>1</v>
      </c>
      <c r="O7" s="0" t="n">
        <f aca="false">MAX(0,L7-E7)*F7</f>
        <v>0</v>
      </c>
      <c r="P7" s="0" t="n">
        <f aca="false">SUMIFS(Quantites!$C$2:$C$1166,Quantites!$A$2:$A$1166,A7,Quantites!$B$2:$B$1166,"&lt;="&amp;Dates!$A$4)</f>
        <v>3</v>
      </c>
      <c r="Q7" s="0" t="n">
        <f aca="false">MIN(P7,E7)*F7</f>
        <v>3600000</v>
      </c>
      <c r="R7" s="0" t="n">
        <f aca="false">IF(P7&gt;=E7-0.000001,1,0)</f>
        <v>1</v>
      </c>
      <c r="S7" s="0" t="n">
        <f aca="false">MAX(0,P7-E7)*F7</f>
        <v>0</v>
      </c>
    </row>
    <row r="8" customFormat="false" ht="15" hidden="false" customHeight="false" outlineLevel="0" collapsed="false">
      <c r="A8" s="0" t="s">
        <v>108</v>
      </c>
      <c r="B8" s="0" t="s">
        <v>219</v>
      </c>
      <c r="C8" s="0" t="s">
        <v>174</v>
      </c>
      <c r="D8" s="0" t="s">
        <v>220</v>
      </c>
      <c r="E8" s="0" t="n">
        <v>1</v>
      </c>
      <c r="F8" s="0" t="n">
        <v>1900000</v>
      </c>
      <c r="G8" s="0" t="n">
        <f aca="false">E8*F8</f>
        <v>1900000</v>
      </c>
      <c r="H8" s="0" t="n">
        <f aca="false">SUMIFS(Quantites!$C$2:$C$1166,Quantites!$A$2:$A$1166,A8,Quantites!$B$2:$B$1166,"&lt;="&amp;Dates!$A$2)</f>
        <v>1</v>
      </c>
      <c r="I8" s="0" t="n">
        <f aca="false">MIN(H8,E8)*F8</f>
        <v>1900000</v>
      </c>
      <c r="J8" s="0" t="n">
        <f aca="false">IF(H8&gt;=E8-0.000001,1,0)</f>
        <v>1</v>
      </c>
      <c r="K8" s="0" t="n">
        <f aca="false">MAX(0,H8-E8)*F8</f>
        <v>0</v>
      </c>
      <c r="L8" s="0" t="n">
        <f aca="false">SUMIFS(Quantites!$C$2:$C$1166,Quantites!$A$2:$A$1166,A8,Quantites!$B$2:$B$1166,"&lt;="&amp;Dates!$A$3)</f>
        <v>1</v>
      </c>
      <c r="M8" s="0" t="n">
        <f aca="false">MIN(L8,E8)*F8</f>
        <v>1900000</v>
      </c>
      <c r="N8" s="0" t="n">
        <f aca="false">IF(L8&gt;=E8-0.000001,1,0)</f>
        <v>1</v>
      </c>
      <c r="O8" s="0" t="n">
        <f aca="false">MAX(0,L8-E8)*F8</f>
        <v>0</v>
      </c>
      <c r="P8" s="0" t="n">
        <f aca="false">SUMIFS(Quantites!$C$2:$C$1166,Quantites!$A$2:$A$1166,A8,Quantites!$B$2:$B$1166,"&lt;="&amp;Dates!$A$4)</f>
        <v>1</v>
      </c>
      <c r="Q8" s="0" t="n">
        <f aca="false">MIN(P8,E8)*F8</f>
        <v>1900000</v>
      </c>
      <c r="R8" s="0" t="n">
        <f aca="false">IF(P8&gt;=E8-0.000001,1,0)</f>
        <v>1</v>
      </c>
      <c r="S8" s="0" t="n">
        <f aca="false">MAX(0,P8-E8)*F8</f>
        <v>0</v>
      </c>
    </row>
    <row r="9" customFormat="false" ht="15" hidden="false" customHeight="false" outlineLevel="0" collapsed="false">
      <c r="A9" s="0" t="s">
        <v>107</v>
      </c>
      <c r="B9" s="0" t="s">
        <v>219</v>
      </c>
      <c r="C9" s="0" t="s">
        <v>174</v>
      </c>
      <c r="D9" s="0" t="s">
        <v>221</v>
      </c>
      <c r="E9" s="0" t="n">
        <v>1</v>
      </c>
      <c r="F9" s="0" t="n">
        <v>4600000</v>
      </c>
      <c r="G9" s="0" t="n">
        <f aca="false">E9*F9</f>
        <v>4600000</v>
      </c>
      <c r="H9" s="0" t="n">
        <f aca="false">SUMIFS(Quantites!$C$2:$C$1166,Quantites!$A$2:$A$1166,A9,Quantites!$B$2:$B$1166,"&lt;="&amp;Dates!$A$2)</f>
        <v>1</v>
      </c>
      <c r="I9" s="0" t="n">
        <f aca="false">MIN(H9,E9)*F9</f>
        <v>4600000</v>
      </c>
      <c r="J9" s="0" t="n">
        <f aca="false">IF(H9&gt;=E9-0.000001,1,0)</f>
        <v>1</v>
      </c>
      <c r="K9" s="0" t="n">
        <f aca="false">MAX(0,H9-E9)*F9</f>
        <v>0</v>
      </c>
      <c r="L9" s="0" t="n">
        <f aca="false">SUMIFS(Quantites!$C$2:$C$1166,Quantites!$A$2:$A$1166,A9,Quantites!$B$2:$B$1166,"&lt;="&amp;Dates!$A$3)</f>
        <v>1</v>
      </c>
      <c r="M9" s="0" t="n">
        <f aca="false">MIN(L9,E9)*F9</f>
        <v>4600000</v>
      </c>
      <c r="N9" s="0" t="n">
        <f aca="false">IF(L9&gt;=E9-0.000001,1,0)</f>
        <v>1</v>
      </c>
      <c r="O9" s="0" t="n">
        <f aca="false">MAX(0,L9-E9)*F9</f>
        <v>0</v>
      </c>
      <c r="P9" s="0" t="n">
        <f aca="false">SUMIFS(Quantites!$C$2:$C$1166,Quantites!$A$2:$A$1166,A9,Quantites!$B$2:$B$1166,"&lt;="&amp;Dates!$A$4)</f>
        <v>1</v>
      </c>
      <c r="Q9" s="0" t="n">
        <f aca="false">MIN(P9,E9)*F9</f>
        <v>4600000</v>
      </c>
      <c r="R9" s="0" t="n">
        <f aca="false">IF(P9&gt;=E9-0.000001,1,0)</f>
        <v>1</v>
      </c>
      <c r="S9" s="0" t="n">
        <f aca="false">MAX(0,P9-E9)*F9</f>
        <v>0</v>
      </c>
    </row>
    <row r="10" customFormat="false" ht="15" hidden="false" customHeight="false" outlineLevel="0" collapsed="false">
      <c r="A10" s="0" t="s">
        <v>105</v>
      </c>
      <c r="B10" s="0" t="s">
        <v>222</v>
      </c>
      <c r="C10" s="0" t="s">
        <v>174</v>
      </c>
      <c r="D10" s="0" t="s">
        <v>223</v>
      </c>
      <c r="E10" s="0" t="n">
        <v>42</v>
      </c>
      <c r="F10" s="0" t="n">
        <v>145000</v>
      </c>
      <c r="G10" s="0" t="n">
        <f aca="false">E10*F10</f>
        <v>6090000</v>
      </c>
      <c r="H10" s="0" t="n">
        <f aca="false">SUMIFS(Quantites!$C$2:$C$1166,Quantites!$A$2:$A$1166,A10,Quantites!$B$2:$B$1166,"&lt;="&amp;Dates!$A$2)</f>
        <v>42</v>
      </c>
      <c r="I10" s="0" t="n">
        <f aca="false">MIN(H10,E10)*F10</f>
        <v>6090000</v>
      </c>
      <c r="J10" s="0" t="n">
        <f aca="false">IF(H10&gt;=E10-0.000001,1,0)</f>
        <v>1</v>
      </c>
      <c r="K10" s="0" t="n">
        <f aca="false">MAX(0,H10-E10)*F10</f>
        <v>0</v>
      </c>
      <c r="L10" s="0" t="n">
        <f aca="false">SUMIFS(Quantites!$C$2:$C$1166,Quantites!$A$2:$A$1166,A10,Quantites!$B$2:$B$1166,"&lt;="&amp;Dates!$A$3)</f>
        <v>42</v>
      </c>
      <c r="M10" s="0" t="n">
        <f aca="false">MIN(L10,E10)*F10</f>
        <v>6090000</v>
      </c>
      <c r="N10" s="0" t="n">
        <f aca="false">IF(L10&gt;=E10-0.000001,1,0)</f>
        <v>1</v>
      </c>
      <c r="O10" s="0" t="n">
        <f aca="false">MAX(0,L10-E10)*F10</f>
        <v>0</v>
      </c>
      <c r="P10" s="0" t="n">
        <f aca="false">SUMIFS(Quantites!$C$2:$C$1166,Quantites!$A$2:$A$1166,A10,Quantites!$B$2:$B$1166,"&lt;="&amp;Dates!$A$4)</f>
        <v>42</v>
      </c>
      <c r="Q10" s="0" t="n">
        <f aca="false">MIN(P10,E10)*F10</f>
        <v>6090000</v>
      </c>
      <c r="R10" s="0" t="n">
        <f aca="false">IF(P10&gt;=E10-0.000001,1,0)</f>
        <v>1</v>
      </c>
      <c r="S10" s="0" t="n">
        <f aca="false">MAX(0,P10-E10)*F10</f>
        <v>0</v>
      </c>
    </row>
    <row r="11" customFormat="false" ht="15" hidden="false" customHeight="false" outlineLevel="0" collapsed="false">
      <c r="A11" s="0" t="s">
        <v>106</v>
      </c>
      <c r="B11" s="0" t="s">
        <v>222</v>
      </c>
      <c r="C11" s="0" t="s">
        <v>174</v>
      </c>
      <c r="D11" s="0" t="s">
        <v>224</v>
      </c>
      <c r="E11" s="0" t="n">
        <v>1</v>
      </c>
      <c r="F11" s="0" t="n">
        <v>9800000</v>
      </c>
      <c r="G11" s="0" t="n">
        <f aca="false">E11*F11</f>
        <v>9800000</v>
      </c>
      <c r="H11" s="0" t="n">
        <f aca="false">SUMIFS(Quantites!$C$2:$C$1166,Quantites!$A$2:$A$1166,A11,Quantites!$B$2:$B$1166,"&lt;="&amp;Dates!$A$2)</f>
        <v>1</v>
      </c>
      <c r="I11" s="0" t="n">
        <f aca="false">MIN(H11,E11)*F11</f>
        <v>9800000</v>
      </c>
      <c r="J11" s="0" t="n">
        <f aca="false">IF(H11&gt;=E11-0.000001,1,0)</f>
        <v>1</v>
      </c>
      <c r="K11" s="0" t="n">
        <f aca="false">MAX(0,H11-E11)*F11</f>
        <v>0</v>
      </c>
      <c r="L11" s="0" t="n">
        <f aca="false">SUMIFS(Quantites!$C$2:$C$1166,Quantites!$A$2:$A$1166,A11,Quantites!$B$2:$B$1166,"&lt;="&amp;Dates!$A$3)</f>
        <v>1</v>
      </c>
      <c r="M11" s="0" t="n">
        <f aca="false">MIN(L11,E11)*F11</f>
        <v>9800000</v>
      </c>
      <c r="N11" s="0" t="n">
        <f aca="false">IF(L11&gt;=E11-0.000001,1,0)</f>
        <v>1</v>
      </c>
      <c r="O11" s="0" t="n">
        <f aca="false">MAX(0,L11-E11)*F11</f>
        <v>0</v>
      </c>
      <c r="P11" s="0" t="n">
        <f aca="false">SUMIFS(Quantites!$C$2:$C$1166,Quantites!$A$2:$A$1166,A11,Quantites!$B$2:$B$1166,"&lt;="&amp;Dates!$A$4)</f>
        <v>1</v>
      </c>
      <c r="Q11" s="0" t="n">
        <f aca="false">MIN(P11,E11)*F11</f>
        <v>9800000</v>
      </c>
      <c r="R11" s="0" t="n">
        <f aca="false">IF(P11&gt;=E11-0.000001,1,0)</f>
        <v>1</v>
      </c>
      <c r="S11" s="0" t="n">
        <f aca="false">MAX(0,P11-E11)*F11</f>
        <v>0</v>
      </c>
    </row>
    <row r="12" customFormat="false" ht="15" hidden="false" customHeight="false" outlineLevel="0" collapsed="false">
      <c r="A12" s="0" t="s">
        <v>225</v>
      </c>
      <c r="B12" s="0" t="s">
        <v>226</v>
      </c>
      <c r="C12" s="0" t="s">
        <v>174</v>
      </c>
      <c r="D12" s="0" t="s">
        <v>227</v>
      </c>
      <c r="E12" s="0" t="n">
        <v>1</v>
      </c>
      <c r="F12" s="0" t="n">
        <v>6400000</v>
      </c>
      <c r="G12" s="0" t="n">
        <f aca="false">E12*F12</f>
        <v>6400000</v>
      </c>
      <c r="H12" s="0" t="n">
        <f aca="false">SUMIFS(Quantites!$C$2:$C$1166,Quantites!$A$2:$A$1166,A12,Quantites!$B$2:$B$1166,"&lt;="&amp;Dates!$A$2)</f>
        <v>0</v>
      </c>
      <c r="I12" s="0" t="n">
        <f aca="false">MIN(H12,E12)*F12</f>
        <v>0</v>
      </c>
      <c r="J12" s="0" t="n">
        <f aca="false">IF(H12&gt;=E12-0.000001,1,0)</f>
        <v>0</v>
      </c>
      <c r="K12" s="0" t="n">
        <f aca="false">MAX(0,H12-E12)*F12</f>
        <v>0</v>
      </c>
      <c r="L12" s="0" t="n">
        <f aca="false">SUMIFS(Quantites!$C$2:$C$1166,Quantites!$A$2:$A$1166,A12,Quantites!$B$2:$B$1166,"&lt;="&amp;Dates!$A$3)</f>
        <v>0</v>
      </c>
      <c r="M12" s="0" t="n">
        <f aca="false">MIN(L12,E12)*F12</f>
        <v>0</v>
      </c>
      <c r="N12" s="0" t="n">
        <f aca="false">IF(L12&gt;=E12-0.000001,1,0)</f>
        <v>0</v>
      </c>
      <c r="O12" s="0" t="n">
        <f aca="false">MAX(0,L12-E12)*F12</f>
        <v>0</v>
      </c>
      <c r="P12" s="0" t="n">
        <f aca="false">SUMIFS(Quantites!$C$2:$C$1166,Quantites!$A$2:$A$1166,A12,Quantites!$B$2:$B$1166,"&lt;="&amp;Dates!$A$4)</f>
        <v>0</v>
      </c>
      <c r="Q12" s="0" t="n">
        <f aca="false">MIN(P12,E12)*F12</f>
        <v>0</v>
      </c>
      <c r="R12" s="0" t="n">
        <f aca="false">IF(P12&gt;=E12-0.000001,1,0)</f>
        <v>0</v>
      </c>
      <c r="S12" s="0" t="n">
        <f aca="false">MAX(0,P12-E12)*F12</f>
        <v>0</v>
      </c>
    </row>
    <row r="13" customFormat="false" ht="15" hidden="false" customHeight="false" outlineLevel="0" collapsed="false">
      <c r="A13" s="0" t="s">
        <v>228</v>
      </c>
      <c r="B13" s="0" t="s">
        <v>226</v>
      </c>
      <c r="C13" s="0" t="s">
        <v>174</v>
      </c>
      <c r="D13" s="0" t="s">
        <v>229</v>
      </c>
      <c r="E13" s="0" t="n">
        <v>640</v>
      </c>
      <c r="F13" s="0" t="n">
        <v>5500</v>
      </c>
      <c r="G13" s="0" t="n">
        <f aca="false">E13*F13</f>
        <v>3520000</v>
      </c>
      <c r="H13" s="0" t="n">
        <f aca="false">SUMIFS(Quantites!$C$2:$C$1166,Quantites!$A$2:$A$1166,A13,Quantites!$B$2:$B$1166,"&lt;="&amp;Dates!$A$2)</f>
        <v>0</v>
      </c>
      <c r="I13" s="0" t="n">
        <f aca="false">MIN(H13,E13)*F13</f>
        <v>0</v>
      </c>
      <c r="J13" s="0" t="n">
        <f aca="false">IF(H13&gt;=E13-0.000001,1,0)</f>
        <v>0</v>
      </c>
      <c r="K13" s="0" t="n">
        <f aca="false">MAX(0,H13-E13)*F13</f>
        <v>0</v>
      </c>
      <c r="L13" s="0" t="n">
        <f aca="false">SUMIFS(Quantites!$C$2:$C$1166,Quantites!$A$2:$A$1166,A13,Quantites!$B$2:$B$1166,"&lt;="&amp;Dates!$A$3)</f>
        <v>0</v>
      </c>
      <c r="M13" s="0" t="n">
        <f aca="false">MIN(L13,E13)*F13</f>
        <v>0</v>
      </c>
      <c r="N13" s="0" t="n">
        <f aca="false">IF(L13&gt;=E13-0.000001,1,0)</f>
        <v>0</v>
      </c>
      <c r="O13" s="0" t="n">
        <f aca="false">MAX(0,L13-E13)*F13</f>
        <v>0</v>
      </c>
      <c r="P13" s="0" t="n">
        <f aca="false">SUMIFS(Quantites!$C$2:$C$1166,Quantites!$A$2:$A$1166,A13,Quantites!$B$2:$B$1166,"&lt;="&amp;Dates!$A$4)</f>
        <v>0</v>
      </c>
      <c r="Q13" s="0" t="n">
        <f aca="false">MIN(P13,E13)*F13</f>
        <v>0</v>
      </c>
      <c r="R13" s="0" t="n">
        <f aca="false">IF(P13&gt;=E13-0.000001,1,0)</f>
        <v>0</v>
      </c>
      <c r="S13" s="0" t="n">
        <f aca="false">MAX(0,P13-E13)*F13</f>
        <v>0</v>
      </c>
    </row>
    <row r="14" customFormat="false" ht="15" hidden="false" customHeight="false" outlineLevel="0" collapsed="false">
      <c r="A14" s="0" t="s">
        <v>102</v>
      </c>
      <c r="B14" s="0" t="s">
        <v>230</v>
      </c>
      <c r="C14" s="0" t="s">
        <v>175</v>
      </c>
      <c r="D14" s="0" t="s">
        <v>231</v>
      </c>
      <c r="E14" s="0" t="n">
        <v>2850</v>
      </c>
      <c r="F14" s="0" t="n">
        <v>1200</v>
      </c>
      <c r="G14" s="0" t="n">
        <f aca="false">E14*F14</f>
        <v>3420000</v>
      </c>
      <c r="H14" s="0" t="n">
        <f aca="false">SUMIFS(Quantites!$C$2:$C$1166,Quantites!$A$2:$A$1166,A14,Quantites!$B$2:$B$1166,"&lt;="&amp;Dates!$A$2)</f>
        <v>2850</v>
      </c>
      <c r="I14" s="0" t="n">
        <f aca="false">MIN(H14,E14)*F14</f>
        <v>3420000</v>
      </c>
      <c r="J14" s="0" t="n">
        <f aca="false">IF(H14&gt;=E14-0.000001,1,0)</f>
        <v>1</v>
      </c>
      <c r="K14" s="0" t="n">
        <f aca="false">MAX(0,H14-E14)*F14</f>
        <v>0</v>
      </c>
      <c r="L14" s="0" t="n">
        <f aca="false">SUMIFS(Quantites!$C$2:$C$1166,Quantites!$A$2:$A$1166,A14,Quantites!$B$2:$B$1166,"&lt;="&amp;Dates!$A$3)</f>
        <v>2850</v>
      </c>
      <c r="M14" s="0" t="n">
        <f aca="false">MIN(L14,E14)*F14</f>
        <v>3420000</v>
      </c>
      <c r="N14" s="0" t="n">
        <f aca="false">IF(L14&gt;=E14-0.000001,1,0)</f>
        <v>1</v>
      </c>
      <c r="O14" s="0" t="n">
        <f aca="false">MAX(0,L14-E14)*F14</f>
        <v>0</v>
      </c>
      <c r="P14" s="0" t="n">
        <f aca="false">SUMIFS(Quantites!$C$2:$C$1166,Quantites!$A$2:$A$1166,A14,Quantites!$B$2:$B$1166,"&lt;="&amp;Dates!$A$4)</f>
        <v>2850</v>
      </c>
      <c r="Q14" s="0" t="n">
        <f aca="false">MIN(P14,E14)*F14</f>
        <v>3420000</v>
      </c>
      <c r="R14" s="0" t="n">
        <f aca="false">IF(P14&gt;=E14-0.000001,1,0)</f>
        <v>1</v>
      </c>
      <c r="S14" s="0" t="n">
        <f aca="false">MAX(0,P14-E14)*F14</f>
        <v>0</v>
      </c>
    </row>
    <row r="15" customFormat="false" ht="15" hidden="false" customHeight="false" outlineLevel="0" collapsed="false">
      <c r="A15" s="0" t="s">
        <v>98</v>
      </c>
      <c r="B15" s="0" t="s">
        <v>230</v>
      </c>
      <c r="C15" s="0" t="s">
        <v>175</v>
      </c>
      <c r="D15" s="0" t="s">
        <v>232</v>
      </c>
      <c r="E15" s="0" t="n">
        <v>620</v>
      </c>
      <c r="F15" s="0" t="n">
        <v>7800</v>
      </c>
      <c r="G15" s="0" t="n">
        <f aca="false">E15*F15</f>
        <v>4836000</v>
      </c>
      <c r="H15" s="0" t="n">
        <f aca="false">SUMIFS(Quantites!$C$2:$C$1166,Quantites!$A$2:$A$1166,A15,Quantites!$B$2:$B$1166,"&lt;="&amp;Dates!$A$2)</f>
        <v>620</v>
      </c>
      <c r="I15" s="0" t="n">
        <f aca="false">MIN(H15,E15)*F15</f>
        <v>4836000</v>
      </c>
      <c r="J15" s="0" t="n">
        <f aca="false">IF(H15&gt;=E15-0.000001,1,0)</f>
        <v>1</v>
      </c>
      <c r="K15" s="0" t="n">
        <f aca="false">MAX(0,H15-E15)*F15</f>
        <v>0</v>
      </c>
      <c r="L15" s="0" t="n">
        <f aca="false">SUMIFS(Quantites!$C$2:$C$1166,Quantites!$A$2:$A$1166,A15,Quantites!$B$2:$B$1166,"&lt;="&amp;Dates!$A$3)</f>
        <v>620</v>
      </c>
      <c r="M15" s="0" t="n">
        <f aca="false">MIN(L15,E15)*F15</f>
        <v>4836000</v>
      </c>
      <c r="N15" s="0" t="n">
        <f aca="false">IF(L15&gt;=E15-0.000001,1,0)</f>
        <v>1</v>
      </c>
      <c r="O15" s="0" t="n">
        <f aca="false">MAX(0,L15-E15)*F15</f>
        <v>0</v>
      </c>
      <c r="P15" s="0" t="n">
        <f aca="false">SUMIFS(Quantites!$C$2:$C$1166,Quantites!$A$2:$A$1166,A15,Quantites!$B$2:$B$1166,"&lt;="&amp;Dates!$A$4)</f>
        <v>620</v>
      </c>
      <c r="Q15" s="0" t="n">
        <f aca="false">MIN(P15,E15)*F15</f>
        <v>4836000</v>
      </c>
      <c r="R15" s="0" t="n">
        <f aca="false">IF(P15&gt;=E15-0.000001,1,0)</f>
        <v>1</v>
      </c>
      <c r="S15" s="0" t="n">
        <f aca="false">MAX(0,P15-E15)*F15</f>
        <v>0</v>
      </c>
    </row>
    <row r="16" customFormat="false" ht="15" hidden="false" customHeight="false" outlineLevel="0" collapsed="false">
      <c r="A16" s="0" t="s">
        <v>103</v>
      </c>
      <c r="B16" s="0" t="s">
        <v>233</v>
      </c>
      <c r="C16" s="0" t="s">
        <v>175</v>
      </c>
      <c r="D16" s="0" t="s">
        <v>234</v>
      </c>
      <c r="E16" s="0" t="n">
        <v>3240</v>
      </c>
      <c r="F16" s="0" t="n">
        <v>3500</v>
      </c>
      <c r="G16" s="0" t="n">
        <f aca="false">E16*F16</f>
        <v>11340000</v>
      </c>
      <c r="H16" s="0" t="n">
        <f aca="false">SUMIFS(Quantites!$C$2:$C$1166,Quantites!$A$2:$A$1166,A16,Quantites!$B$2:$B$1166,"&lt;="&amp;Dates!$A$2)</f>
        <v>3240</v>
      </c>
      <c r="I16" s="0" t="n">
        <f aca="false">MIN(H16,E16)*F16</f>
        <v>11340000</v>
      </c>
      <c r="J16" s="0" t="n">
        <f aca="false">IF(H16&gt;=E16-0.000001,1,0)</f>
        <v>1</v>
      </c>
      <c r="K16" s="0" t="n">
        <f aca="false">MAX(0,H16-E16)*F16</f>
        <v>0</v>
      </c>
      <c r="L16" s="0" t="n">
        <f aca="false">SUMIFS(Quantites!$C$2:$C$1166,Quantites!$A$2:$A$1166,A16,Quantites!$B$2:$B$1166,"&lt;="&amp;Dates!$A$3)</f>
        <v>3240</v>
      </c>
      <c r="M16" s="0" t="n">
        <f aca="false">MIN(L16,E16)*F16</f>
        <v>11340000</v>
      </c>
      <c r="N16" s="0" t="n">
        <f aca="false">IF(L16&gt;=E16-0.000001,1,0)</f>
        <v>1</v>
      </c>
      <c r="O16" s="0" t="n">
        <f aca="false">MAX(0,L16-E16)*F16</f>
        <v>0</v>
      </c>
      <c r="P16" s="0" t="n">
        <f aca="false">SUMIFS(Quantites!$C$2:$C$1166,Quantites!$A$2:$A$1166,A16,Quantites!$B$2:$B$1166,"&lt;="&amp;Dates!$A$4)</f>
        <v>3240</v>
      </c>
      <c r="Q16" s="0" t="n">
        <f aca="false">MIN(P16,E16)*F16</f>
        <v>11340000</v>
      </c>
      <c r="R16" s="0" t="n">
        <f aca="false">IF(P16&gt;=E16-0.000001,1,0)</f>
        <v>1</v>
      </c>
      <c r="S16" s="0" t="n">
        <f aca="false">MAX(0,P16-E16)*F16</f>
        <v>0</v>
      </c>
    </row>
    <row r="17" customFormat="false" ht="15" hidden="false" customHeight="false" outlineLevel="0" collapsed="false">
      <c r="A17" s="0" t="s">
        <v>104</v>
      </c>
      <c r="B17" s="0" t="s">
        <v>233</v>
      </c>
      <c r="C17" s="0" t="s">
        <v>175</v>
      </c>
      <c r="D17" s="0" t="s">
        <v>235</v>
      </c>
      <c r="E17" s="0" t="n">
        <v>2600</v>
      </c>
      <c r="F17" s="0" t="n">
        <v>7800</v>
      </c>
      <c r="G17" s="0" t="n">
        <f aca="false">E17*F17</f>
        <v>20280000</v>
      </c>
      <c r="H17" s="0" t="n">
        <f aca="false">SUMIFS(Quantites!$C$2:$C$1166,Quantites!$A$2:$A$1166,A17,Quantites!$B$2:$B$1166,"&lt;="&amp;Dates!$A$2)</f>
        <v>2600</v>
      </c>
      <c r="I17" s="0" t="n">
        <f aca="false">MIN(H17,E17)*F17</f>
        <v>20280000</v>
      </c>
      <c r="J17" s="0" t="n">
        <f aca="false">IF(H17&gt;=E17-0.000001,1,0)</f>
        <v>1</v>
      </c>
      <c r="K17" s="0" t="n">
        <f aca="false">MAX(0,H17-E17)*F17</f>
        <v>0</v>
      </c>
      <c r="L17" s="0" t="n">
        <f aca="false">SUMIFS(Quantites!$C$2:$C$1166,Quantites!$A$2:$A$1166,A17,Quantites!$B$2:$B$1166,"&lt;="&amp;Dates!$A$3)</f>
        <v>2600</v>
      </c>
      <c r="M17" s="0" t="n">
        <f aca="false">MIN(L17,E17)*F17</f>
        <v>20280000</v>
      </c>
      <c r="N17" s="0" t="n">
        <f aca="false">IF(L17&gt;=E17-0.000001,1,0)</f>
        <v>1</v>
      </c>
      <c r="O17" s="0" t="n">
        <f aca="false">MAX(0,L17-E17)*F17</f>
        <v>0</v>
      </c>
      <c r="P17" s="0" t="n">
        <f aca="false">SUMIFS(Quantites!$C$2:$C$1166,Quantites!$A$2:$A$1166,A17,Quantites!$B$2:$B$1166,"&lt;="&amp;Dates!$A$4)</f>
        <v>2600</v>
      </c>
      <c r="Q17" s="0" t="n">
        <f aca="false">MIN(P17,E17)*F17</f>
        <v>20280000</v>
      </c>
      <c r="R17" s="0" t="n">
        <f aca="false">IF(P17&gt;=E17-0.000001,1,0)</f>
        <v>1</v>
      </c>
      <c r="S17" s="0" t="n">
        <f aca="false">MAX(0,P17-E17)*F17</f>
        <v>0</v>
      </c>
    </row>
    <row r="18" customFormat="false" ht="15" hidden="false" customHeight="false" outlineLevel="0" collapsed="false">
      <c r="A18" s="0" t="s">
        <v>109</v>
      </c>
      <c r="B18" s="0" t="s">
        <v>236</v>
      </c>
      <c r="C18" s="0" t="s">
        <v>175</v>
      </c>
      <c r="D18" s="0" t="s">
        <v>237</v>
      </c>
      <c r="E18" s="0" t="n">
        <v>312</v>
      </c>
      <c r="F18" s="0" t="n">
        <v>6200</v>
      </c>
      <c r="G18" s="0" t="n">
        <f aca="false">E18*F18</f>
        <v>1934400</v>
      </c>
      <c r="H18" s="0" t="n">
        <f aca="false">SUMIFS(Quantites!$C$2:$C$1166,Quantites!$A$2:$A$1166,A18,Quantites!$B$2:$B$1166,"&lt;="&amp;Dates!$A$2)</f>
        <v>312</v>
      </c>
      <c r="I18" s="0" t="n">
        <f aca="false">MIN(H18,E18)*F18</f>
        <v>1934400</v>
      </c>
      <c r="J18" s="0" t="n">
        <f aca="false">IF(H18&gt;=E18-0.000001,1,0)</f>
        <v>1</v>
      </c>
      <c r="K18" s="0" t="n">
        <f aca="false">MAX(0,H18-E18)*F18</f>
        <v>0</v>
      </c>
      <c r="L18" s="0" t="n">
        <f aca="false">SUMIFS(Quantites!$C$2:$C$1166,Quantites!$A$2:$A$1166,A18,Quantites!$B$2:$B$1166,"&lt;="&amp;Dates!$A$3)</f>
        <v>312</v>
      </c>
      <c r="M18" s="0" t="n">
        <f aca="false">MIN(L18,E18)*F18</f>
        <v>1934400</v>
      </c>
      <c r="N18" s="0" t="n">
        <f aca="false">IF(L18&gt;=E18-0.000001,1,0)</f>
        <v>1</v>
      </c>
      <c r="O18" s="0" t="n">
        <f aca="false">MAX(0,L18-E18)*F18</f>
        <v>0</v>
      </c>
      <c r="P18" s="0" t="n">
        <f aca="false">SUMIFS(Quantites!$C$2:$C$1166,Quantites!$A$2:$A$1166,A18,Quantites!$B$2:$B$1166,"&lt;="&amp;Dates!$A$4)</f>
        <v>312</v>
      </c>
      <c r="Q18" s="0" t="n">
        <f aca="false">MIN(P18,E18)*F18</f>
        <v>1934400</v>
      </c>
      <c r="R18" s="0" t="n">
        <f aca="false">IF(P18&gt;=E18-0.000001,1,0)</f>
        <v>1</v>
      </c>
      <c r="S18" s="0" t="n">
        <f aca="false">MAX(0,P18-E18)*F18</f>
        <v>0</v>
      </c>
    </row>
    <row r="19" customFormat="false" ht="15" hidden="false" customHeight="false" outlineLevel="0" collapsed="false">
      <c r="A19" s="0" t="s">
        <v>110</v>
      </c>
      <c r="B19" s="0" t="s">
        <v>236</v>
      </c>
      <c r="C19" s="0" t="s">
        <v>175</v>
      </c>
      <c r="D19" s="0" t="s">
        <v>238</v>
      </c>
      <c r="E19" s="0" t="n">
        <v>486</v>
      </c>
      <c r="F19" s="0" t="n">
        <v>5500</v>
      </c>
      <c r="G19" s="0" t="n">
        <f aca="false">E19*F19</f>
        <v>2673000</v>
      </c>
      <c r="H19" s="0" t="n">
        <f aca="false">SUMIFS(Quantites!$C$2:$C$1166,Quantites!$A$2:$A$1166,A19,Quantites!$B$2:$B$1166,"&lt;="&amp;Dates!$A$2)</f>
        <v>486</v>
      </c>
      <c r="I19" s="0" t="n">
        <f aca="false">MIN(H19,E19)*F19</f>
        <v>2673000</v>
      </c>
      <c r="J19" s="0" t="n">
        <f aca="false">IF(H19&gt;=E19-0.000001,1,0)</f>
        <v>1</v>
      </c>
      <c r="K19" s="0" t="n">
        <f aca="false">MAX(0,H19-E19)*F19</f>
        <v>0</v>
      </c>
      <c r="L19" s="0" t="n">
        <f aca="false">SUMIFS(Quantites!$C$2:$C$1166,Quantites!$A$2:$A$1166,A19,Quantites!$B$2:$B$1166,"&lt;="&amp;Dates!$A$3)</f>
        <v>486</v>
      </c>
      <c r="M19" s="0" t="n">
        <f aca="false">MIN(L19,E19)*F19</f>
        <v>2673000</v>
      </c>
      <c r="N19" s="0" t="n">
        <f aca="false">IF(L19&gt;=E19-0.000001,1,0)</f>
        <v>1</v>
      </c>
      <c r="O19" s="0" t="n">
        <f aca="false">MAX(0,L19-E19)*F19</f>
        <v>0</v>
      </c>
      <c r="P19" s="0" t="n">
        <f aca="false">SUMIFS(Quantites!$C$2:$C$1166,Quantites!$A$2:$A$1166,A19,Quantites!$B$2:$B$1166,"&lt;="&amp;Dates!$A$4)</f>
        <v>486</v>
      </c>
      <c r="Q19" s="0" t="n">
        <f aca="false">MIN(P19,E19)*F19</f>
        <v>2673000</v>
      </c>
      <c r="R19" s="0" t="n">
        <f aca="false">IF(P19&gt;=E19-0.000001,1,0)</f>
        <v>1</v>
      </c>
      <c r="S19" s="0" t="n">
        <f aca="false">MAX(0,P19-E19)*F19</f>
        <v>0</v>
      </c>
    </row>
    <row r="20" customFormat="false" ht="15" hidden="false" customHeight="false" outlineLevel="0" collapsed="false">
      <c r="A20" s="0" t="s">
        <v>123</v>
      </c>
      <c r="B20" s="0" t="s">
        <v>239</v>
      </c>
      <c r="C20" s="0" t="s">
        <v>175</v>
      </c>
      <c r="D20" s="0" t="s">
        <v>240</v>
      </c>
      <c r="E20" s="0" t="n">
        <v>340</v>
      </c>
      <c r="F20" s="0" t="n">
        <v>11500</v>
      </c>
      <c r="G20" s="0" t="n">
        <f aca="false">E20*F20</f>
        <v>3910000</v>
      </c>
      <c r="H20" s="0" t="n">
        <f aca="false">SUMIFS(Quantites!$C$2:$C$1166,Quantites!$A$2:$A$1166,A20,Quantites!$B$2:$B$1166,"&lt;="&amp;Dates!$A$2)</f>
        <v>0</v>
      </c>
      <c r="I20" s="0" t="n">
        <f aca="false">MIN(H20,E20)*F20</f>
        <v>0</v>
      </c>
      <c r="J20" s="0" t="n">
        <f aca="false">IF(H20&gt;=E20-0.000001,1,0)</f>
        <v>0</v>
      </c>
      <c r="K20" s="0" t="n">
        <f aca="false">MAX(0,H20-E20)*F20</f>
        <v>0</v>
      </c>
      <c r="L20" s="0" t="n">
        <f aca="false">SUMIFS(Quantites!$C$2:$C$1166,Quantites!$A$2:$A$1166,A20,Quantites!$B$2:$B$1166,"&lt;="&amp;Dates!$A$3)</f>
        <v>340</v>
      </c>
      <c r="M20" s="0" t="n">
        <f aca="false">MIN(L20,E20)*F20</f>
        <v>3910000</v>
      </c>
      <c r="N20" s="0" t="n">
        <f aca="false">IF(L20&gt;=E20-0.000001,1,0)</f>
        <v>1</v>
      </c>
      <c r="O20" s="0" t="n">
        <f aca="false">MAX(0,L20-E20)*F20</f>
        <v>0</v>
      </c>
      <c r="P20" s="0" t="n">
        <f aca="false">SUMIFS(Quantites!$C$2:$C$1166,Quantites!$A$2:$A$1166,A20,Quantites!$B$2:$B$1166,"&lt;="&amp;Dates!$A$4)</f>
        <v>340</v>
      </c>
      <c r="Q20" s="0" t="n">
        <f aca="false">MIN(P20,E20)*F20</f>
        <v>3910000</v>
      </c>
      <c r="R20" s="0" t="n">
        <f aca="false">IF(P20&gt;=E20-0.000001,1,0)</f>
        <v>1</v>
      </c>
      <c r="S20" s="0" t="n">
        <f aca="false">MAX(0,P20-E20)*F20</f>
        <v>0</v>
      </c>
    </row>
    <row r="21" customFormat="false" ht="15" hidden="false" customHeight="false" outlineLevel="0" collapsed="false">
      <c r="A21" s="0" t="s">
        <v>124</v>
      </c>
      <c r="B21" s="0" t="s">
        <v>239</v>
      </c>
      <c r="C21" s="0" t="s">
        <v>175</v>
      </c>
      <c r="D21" s="0" t="s">
        <v>241</v>
      </c>
      <c r="E21" s="0" t="n">
        <v>1180</v>
      </c>
      <c r="F21" s="0" t="n">
        <v>6500</v>
      </c>
      <c r="G21" s="0" t="n">
        <f aca="false">E21*F21</f>
        <v>7670000</v>
      </c>
      <c r="H21" s="0" t="n">
        <f aca="false">SUMIFS(Quantites!$C$2:$C$1166,Quantites!$A$2:$A$1166,A21,Quantites!$B$2:$B$1166,"&lt;="&amp;Dates!$A$2)</f>
        <v>0</v>
      </c>
      <c r="I21" s="0" t="n">
        <f aca="false">MIN(H21,E21)*F21</f>
        <v>0</v>
      </c>
      <c r="J21" s="0" t="n">
        <f aca="false">IF(H21&gt;=E21-0.000001,1,0)</f>
        <v>0</v>
      </c>
      <c r="K21" s="0" t="n">
        <f aca="false">MAX(0,H21-E21)*F21</f>
        <v>0</v>
      </c>
      <c r="L21" s="0" t="n">
        <f aca="false">SUMIFS(Quantites!$C$2:$C$1166,Quantites!$A$2:$A$1166,A21,Quantites!$B$2:$B$1166,"&lt;="&amp;Dates!$A$3)</f>
        <v>1180</v>
      </c>
      <c r="M21" s="0" t="n">
        <f aca="false">MIN(L21,E21)*F21</f>
        <v>7670000</v>
      </c>
      <c r="N21" s="0" t="n">
        <f aca="false">IF(L21&gt;=E21-0.000001,1,0)</f>
        <v>1</v>
      </c>
      <c r="O21" s="0" t="n">
        <f aca="false">MAX(0,L21-E21)*F21</f>
        <v>0</v>
      </c>
      <c r="P21" s="0" t="n">
        <f aca="false">SUMIFS(Quantites!$C$2:$C$1166,Quantites!$A$2:$A$1166,A21,Quantites!$B$2:$B$1166,"&lt;="&amp;Dates!$A$4)</f>
        <v>1180</v>
      </c>
      <c r="Q21" s="0" t="n">
        <f aca="false">MIN(P21,E21)*F21</f>
        <v>7670000</v>
      </c>
      <c r="R21" s="0" t="n">
        <f aca="false">IF(P21&gt;=E21-0.000001,1,0)</f>
        <v>1</v>
      </c>
      <c r="S21" s="0" t="n">
        <f aca="false">MAX(0,P21-E21)*F21</f>
        <v>0</v>
      </c>
    </row>
    <row r="22" customFormat="false" ht="15" hidden="false" customHeight="false" outlineLevel="0" collapsed="false">
      <c r="A22" s="0" t="s">
        <v>130</v>
      </c>
      <c r="B22" s="0" t="s">
        <v>242</v>
      </c>
      <c r="C22" s="0" t="s">
        <v>175</v>
      </c>
      <c r="D22" s="0" t="s">
        <v>243</v>
      </c>
      <c r="E22" s="0" t="n">
        <v>186</v>
      </c>
      <c r="F22" s="0" t="n">
        <v>18000</v>
      </c>
      <c r="G22" s="0" t="n">
        <f aca="false">E22*F22</f>
        <v>3348000</v>
      </c>
      <c r="H22" s="0" t="n">
        <f aca="false">SUMIFS(Quantites!$C$2:$C$1166,Quantites!$A$2:$A$1166,A22,Quantites!$B$2:$B$1166,"&lt;="&amp;Dates!$A$2)</f>
        <v>0</v>
      </c>
      <c r="I22" s="0" t="n">
        <f aca="false">MIN(H22,E22)*F22</f>
        <v>0</v>
      </c>
      <c r="J22" s="0" t="n">
        <f aca="false">IF(H22&gt;=E22-0.000001,1,0)</f>
        <v>0</v>
      </c>
      <c r="K22" s="0" t="n">
        <f aca="false">MAX(0,H22-E22)*F22</f>
        <v>0</v>
      </c>
      <c r="L22" s="0" t="n">
        <f aca="false">SUMIFS(Quantites!$C$2:$C$1166,Quantites!$A$2:$A$1166,A22,Quantites!$B$2:$B$1166,"&lt;="&amp;Dates!$A$3)</f>
        <v>186</v>
      </c>
      <c r="M22" s="0" t="n">
        <f aca="false">MIN(L22,E22)*F22</f>
        <v>3348000</v>
      </c>
      <c r="N22" s="0" t="n">
        <f aca="false">IF(L22&gt;=E22-0.000001,1,0)</f>
        <v>1</v>
      </c>
      <c r="O22" s="0" t="n">
        <f aca="false">MAX(0,L22-E22)*F22</f>
        <v>0</v>
      </c>
      <c r="P22" s="0" t="n">
        <f aca="false">SUMIFS(Quantites!$C$2:$C$1166,Quantites!$A$2:$A$1166,A22,Quantites!$B$2:$B$1166,"&lt;="&amp;Dates!$A$4)</f>
        <v>186</v>
      </c>
      <c r="Q22" s="0" t="n">
        <f aca="false">MIN(P22,E22)*F22</f>
        <v>3348000</v>
      </c>
      <c r="R22" s="0" t="n">
        <f aca="false">IF(P22&gt;=E22-0.000001,1,0)</f>
        <v>1</v>
      </c>
      <c r="S22" s="0" t="n">
        <f aca="false">MAX(0,P22-E22)*F22</f>
        <v>0</v>
      </c>
    </row>
    <row r="23" customFormat="false" ht="15" hidden="false" customHeight="false" outlineLevel="0" collapsed="false">
      <c r="A23" s="0" t="s">
        <v>133</v>
      </c>
      <c r="B23" s="0" t="s">
        <v>242</v>
      </c>
      <c r="C23" s="0" t="s">
        <v>175</v>
      </c>
      <c r="D23" s="0" t="s">
        <v>244</v>
      </c>
      <c r="E23" s="0" t="n">
        <v>2</v>
      </c>
      <c r="F23" s="0" t="n">
        <v>3850000</v>
      </c>
      <c r="G23" s="0" t="n">
        <f aca="false">E23*F23</f>
        <v>7700000</v>
      </c>
      <c r="H23" s="0" t="n">
        <f aca="false">SUMIFS(Quantites!$C$2:$C$1166,Quantites!$A$2:$A$1166,A23,Quantites!$B$2:$B$1166,"&lt;="&amp;Dates!$A$2)</f>
        <v>0</v>
      </c>
      <c r="I23" s="0" t="n">
        <f aca="false">MIN(H23,E23)*F23</f>
        <v>0</v>
      </c>
      <c r="J23" s="0" t="n">
        <f aca="false">IF(H23&gt;=E23-0.000001,1,0)</f>
        <v>0</v>
      </c>
      <c r="K23" s="0" t="n">
        <f aca="false">MAX(0,H23-E23)*F23</f>
        <v>0</v>
      </c>
      <c r="L23" s="0" t="n">
        <f aca="false">SUMIFS(Quantites!$C$2:$C$1166,Quantites!$A$2:$A$1166,A23,Quantites!$B$2:$B$1166,"&lt;="&amp;Dates!$A$3)</f>
        <v>2</v>
      </c>
      <c r="M23" s="0" t="n">
        <f aca="false">MIN(L23,E23)*F23</f>
        <v>7700000</v>
      </c>
      <c r="N23" s="0" t="n">
        <f aca="false">IF(L23&gt;=E23-0.000001,1,0)</f>
        <v>1</v>
      </c>
      <c r="O23" s="0" t="n">
        <f aca="false">MAX(0,L23-E23)*F23</f>
        <v>0</v>
      </c>
      <c r="P23" s="0" t="n">
        <f aca="false">SUMIFS(Quantites!$C$2:$C$1166,Quantites!$A$2:$A$1166,A23,Quantites!$B$2:$B$1166,"&lt;="&amp;Dates!$A$4)</f>
        <v>2</v>
      </c>
      <c r="Q23" s="0" t="n">
        <f aca="false">MIN(P23,E23)*F23</f>
        <v>7700000</v>
      </c>
      <c r="R23" s="0" t="n">
        <f aca="false">IF(P23&gt;=E23-0.000001,1,0)</f>
        <v>1</v>
      </c>
      <c r="S23" s="0" t="n">
        <f aca="false">MAX(0,P23-E23)*F23</f>
        <v>0</v>
      </c>
    </row>
    <row r="24" customFormat="false" ht="15" hidden="false" customHeight="false" outlineLevel="0" collapsed="false">
      <c r="A24" s="0" t="s">
        <v>131</v>
      </c>
      <c r="B24" s="0" t="s">
        <v>242</v>
      </c>
      <c r="C24" s="0" t="s">
        <v>175</v>
      </c>
      <c r="D24" s="0" t="s">
        <v>245</v>
      </c>
      <c r="E24" s="0" t="n">
        <v>11</v>
      </c>
      <c r="F24" s="0" t="n">
        <v>185000</v>
      </c>
      <c r="G24" s="0" t="n">
        <f aca="false">E24*F24</f>
        <v>2035000</v>
      </c>
      <c r="H24" s="0" t="n">
        <f aca="false">SUMIFS(Quantites!$C$2:$C$1166,Quantites!$A$2:$A$1166,A24,Quantites!$B$2:$B$1166,"&lt;="&amp;Dates!$A$2)</f>
        <v>0</v>
      </c>
      <c r="I24" s="0" t="n">
        <f aca="false">MIN(H24,E24)*F24</f>
        <v>0</v>
      </c>
      <c r="J24" s="0" t="n">
        <f aca="false">IF(H24&gt;=E24-0.000001,1,0)</f>
        <v>0</v>
      </c>
      <c r="K24" s="0" t="n">
        <f aca="false">MAX(0,H24-E24)*F24</f>
        <v>0</v>
      </c>
      <c r="L24" s="0" t="n">
        <f aca="false">SUMIFS(Quantites!$C$2:$C$1166,Quantites!$A$2:$A$1166,A24,Quantites!$B$2:$B$1166,"&lt;="&amp;Dates!$A$3)</f>
        <v>11</v>
      </c>
      <c r="M24" s="0" t="n">
        <f aca="false">MIN(L24,E24)*F24</f>
        <v>2035000</v>
      </c>
      <c r="N24" s="0" t="n">
        <f aca="false">IF(L24&gt;=E24-0.000001,1,0)</f>
        <v>1</v>
      </c>
      <c r="O24" s="0" t="n">
        <f aca="false">MAX(0,L24-E24)*F24</f>
        <v>0</v>
      </c>
      <c r="P24" s="0" t="n">
        <f aca="false">SUMIFS(Quantites!$C$2:$C$1166,Quantites!$A$2:$A$1166,A24,Quantites!$B$2:$B$1166,"&lt;="&amp;Dates!$A$4)</f>
        <v>11</v>
      </c>
      <c r="Q24" s="0" t="n">
        <f aca="false">MIN(P24,E24)*F24</f>
        <v>2035000</v>
      </c>
      <c r="R24" s="0" t="n">
        <f aca="false">IF(P24&gt;=E24-0.000001,1,0)</f>
        <v>1</v>
      </c>
      <c r="S24" s="0" t="n">
        <f aca="false">MAX(0,P24-E24)*F24</f>
        <v>0</v>
      </c>
    </row>
    <row r="25" customFormat="false" ht="15" hidden="false" customHeight="false" outlineLevel="0" collapsed="false">
      <c r="A25" s="0" t="s">
        <v>139</v>
      </c>
      <c r="B25" s="0" t="s">
        <v>246</v>
      </c>
      <c r="C25" s="0" t="s">
        <v>175</v>
      </c>
      <c r="D25" s="0" t="s">
        <v>243</v>
      </c>
      <c r="E25" s="0" t="n">
        <v>214</v>
      </c>
      <c r="F25" s="0" t="n">
        <v>18000</v>
      </c>
      <c r="G25" s="0" t="n">
        <f aca="false">E25*F25</f>
        <v>3852000</v>
      </c>
      <c r="H25" s="0" t="n">
        <f aca="false">SUMIFS(Quantites!$C$2:$C$1166,Quantites!$A$2:$A$1166,A25,Quantites!$B$2:$B$1166,"&lt;="&amp;Dates!$A$2)</f>
        <v>0</v>
      </c>
      <c r="I25" s="0" t="n">
        <f aca="false">MIN(H25,E25)*F25</f>
        <v>0</v>
      </c>
      <c r="J25" s="0" t="n">
        <f aca="false">IF(H25&gt;=E25-0.000001,1,0)</f>
        <v>0</v>
      </c>
      <c r="K25" s="0" t="n">
        <f aca="false">MAX(0,H25-E25)*F25</f>
        <v>0</v>
      </c>
      <c r="L25" s="0" t="n">
        <f aca="false">SUMIFS(Quantites!$C$2:$C$1166,Quantites!$A$2:$A$1166,A25,Quantites!$B$2:$B$1166,"&lt;="&amp;Dates!$A$3)</f>
        <v>199.127</v>
      </c>
      <c r="M25" s="0" t="n">
        <f aca="false">MIN(L25,E25)*F25</f>
        <v>3584286</v>
      </c>
      <c r="N25" s="0" t="n">
        <f aca="false">IF(L25&gt;=E25-0.000001,1,0)</f>
        <v>0</v>
      </c>
      <c r="O25" s="0" t="n">
        <f aca="false">MAX(0,L25-E25)*F25</f>
        <v>0</v>
      </c>
      <c r="P25" s="0" t="n">
        <f aca="false">SUMIFS(Quantites!$C$2:$C$1166,Quantites!$A$2:$A$1166,A25,Quantites!$B$2:$B$1166,"&lt;="&amp;Dates!$A$4)</f>
        <v>214</v>
      </c>
      <c r="Q25" s="0" t="n">
        <f aca="false">MIN(P25,E25)*F25</f>
        <v>3852000</v>
      </c>
      <c r="R25" s="0" t="n">
        <f aca="false">IF(P25&gt;=E25-0.000001,1,0)</f>
        <v>1</v>
      </c>
      <c r="S25" s="0" t="n">
        <f aca="false">MAX(0,P25-E25)*F25</f>
        <v>0</v>
      </c>
    </row>
    <row r="26" customFormat="false" ht="15" hidden="false" customHeight="false" outlineLevel="0" collapsed="false">
      <c r="A26" s="0" t="s">
        <v>141</v>
      </c>
      <c r="B26" s="0" t="s">
        <v>246</v>
      </c>
      <c r="C26" s="0" t="s">
        <v>175</v>
      </c>
      <c r="D26" s="0" t="s">
        <v>247</v>
      </c>
      <c r="E26" s="0" t="n">
        <v>96</v>
      </c>
      <c r="F26" s="0" t="n">
        <v>62000</v>
      </c>
      <c r="G26" s="0" t="n">
        <f aca="false">E26*F26</f>
        <v>5952000</v>
      </c>
      <c r="H26" s="0" t="n">
        <f aca="false">SUMIFS(Quantites!$C$2:$C$1166,Quantites!$A$2:$A$1166,A26,Quantites!$B$2:$B$1166,"&lt;="&amp;Dates!$A$2)</f>
        <v>0</v>
      </c>
      <c r="I26" s="0" t="n">
        <f aca="false">MIN(H26,E26)*F26</f>
        <v>0</v>
      </c>
      <c r="J26" s="0" t="n">
        <f aca="false">IF(H26&gt;=E26-0.000001,1,0)</f>
        <v>0</v>
      </c>
      <c r="K26" s="0" t="n">
        <f aca="false">MAX(0,H26-E26)*F26</f>
        <v>0</v>
      </c>
      <c r="L26" s="0" t="n">
        <f aca="false">SUMIFS(Quantites!$C$2:$C$1166,Quantites!$A$2:$A$1166,A26,Quantites!$B$2:$B$1166,"&lt;="&amp;Dates!$A$3)</f>
        <v>89.328</v>
      </c>
      <c r="M26" s="0" t="n">
        <f aca="false">MIN(L26,E26)*F26</f>
        <v>5538336</v>
      </c>
      <c r="N26" s="0" t="n">
        <f aca="false">IF(L26&gt;=E26-0.000001,1,0)</f>
        <v>0</v>
      </c>
      <c r="O26" s="0" t="n">
        <f aca="false">MAX(0,L26-E26)*F26</f>
        <v>0</v>
      </c>
      <c r="P26" s="0" t="n">
        <f aca="false">SUMIFS(Quantites!$C$2:$C$1166,Quantites!$A$2:$A$1166,A26,Quantites!$B$2:$B$1166,"&lt;="&amp;Dates!$A$4)</f>
        <v>96</v>
      </c>
      <c r="Q26" s="0" t="n">
        <f aca="false">MIN(P26,E26)*F26</f>
        <v>5952000</v>
      </c>
      <c r="R26" s="0" t="n">
        <f aca="false">IF(P26&gt;=E26-0.000001,1,0)</f>
        <v>1</v>
      </c>
      <c r="S26" s="0" t="n">
        <f aca="false">MAX(0,P26-E26)*F26</f>
        <v>0</v>
      </c>
    </row>
    <row r="27" customFormat="false" ht="15" hidden="false" customHeight="false" outlineLevel="0" collapsed="false">
      <c r="A27" s="0" t="s">
        <v>140</v>
      </c>
      <c r="B27" s="0" t="s">
        <v>246</v>
      </c>
      <c r="C27" s="0" t="s">
        <v>175</v>
      </c>
      <c r="D27" s="0" t="s">
        <v>248</v>
      </c>
      <c r="E27" s="0" t="n">
        <v>8</v>
      </c>
      <c r="F27" s="0" t="n">
        <v>165000</v>
      </c>
      <c r="G27" s="0" t="n">
        <f aca="false">E27*F27</f>
        <v>1320000</v>
      </c>
      <c r="H27" s="0" t="n">
        <f aca="false">SUMIFS(Quantites!$C$2:$C$1166,Quantites!$A$2:$A$1166,A27,Quantites!$B$2:$B$1166,"&lt;="&amp;Dates!$A$2)</f>
        <v>0</v>
      </c>
      <c r="I27" s="0" t="n">
        <f aca="false">MIN(H27,E27)*F27</f>
        <v>0</v>
      </c>
      <c r="J27" s="0" t="n">
        <f aca="false">IF(H27&gt;=E27-0.000001,1,0)</f>
        <v>0</v>
      </c>
      <c r="K27" s="0" t="n">
        <f aca="false">MAX(0,H27-E27)*F27</f>
        <v>0</v>
      </c>
      <c r="L27" s="0" t="n">
        <f aca="false">SUMIFS(Quantites!$C$2:$C$1166,Quantites!$A$2:$A$1166,A27,Quantites!$B$2:$B$1166,"&lt;="&amp;Dates!$A$3)</f>
        <v>7.444</v>
      </c>
      <c r="M27" s="0" t="n">
        <f aca="false">MIN(L27,E27)*F27</f>
        <v>1228260</v>
      </c>
      <c r="N27" s="0" t="n">
        <f aca="false">IF(L27&gt;=E27-0.000001,1,0)</f>
        <v>0</v>
      </c>
      <c r="O27" s="0" t="n">
        <f aca="false">MAX(0,L27-E27)*F27</f>
        <v>0</v>
      </c>
      <c r="P27" s="0" t="n">
        <f aca="false">SUMIFS(Quantites!$C$2:$C$1166,Quantites!$A$2:$A$1166,A27,Quantites!$B$2:$B$1166,"&lt;="&amp;Dates!$A$4)</f>
        <v>8</v>
      </c>
      <c r="Q27" s="0" t="n">
        <f aca="false">MIN(P27,E27)*F27</f>
        <v>1320000</v>
      </c>
      <c r="R27" s="0" t="n">
        <f aca="false">IF(P27&gt;=E27-0.000001,1,0)</f>
        <v>1</v>
      </c>
      <c r="S27" s="0" t="n">
        <f aca="false">MAX(0,P27-E27)*F27</f>
        <v>0</v>
      </c>
    </row>
    <row r="28" customFormat="false" ht="15" hidden="false" customHeight="false" outlineLevel="0" collapsed="false">
      <c r="A28" s="0" t="s">
        <v>138</v>
      </c>
      <c r="B28" s="0" t="s">
        <v>249</v>
      </c>
      <c r="C28" s="0" t="s">
        <v>175</v>
      </c>
      <c r="D28" s="0" t="s">
        <v>250</v>
      </c>
      <c r="E28" s="0" t="n">
        <v>168</v>
      </c>
      <c r="F28" s="0" t="n">
        <v>12000</v>
      </c>
      <c r="G28" s="0" t="n">
        <f aca="false">E28*F28</f>
        <v>2016000</v>
      </c>
      <c r="H28" s="0" t="n">
        <f aca="false">SUMIFS(Quantites!$C$2:$C$1166,Quantites!$A$2:$A$1166,A28,Quantites!$B$2:$B$1166,"&lt;="&amp;Dates!$A$2)</f>
        <v>0</v>
      </c>
      <c r="I28" s="0" t="n">
        <f aca="false">MIN(H28,E28)*F28</f>
        <v>0</v>
      </c>
      <c r="J28" s="0" t="n">
        <f aca="false">IF(H28&gt;=E28-0.000001,1,0)</f>
        <v>0</v>
      </c>
      <c r="K28" s="0" t="n">
        <f aca="false">MAX(0,H28-E28)*F28</f>
        <v>0</v>
      </c>
      <c r="L28" s="0" t="n">
        <f aca="false">SUMIFS(Quantites!$C$2:$C$1166,Quantites!$A$2:$A$1166,A28,Quantites!$B$2:$B$1166,"&lt;="&amp;Dates!$A$3)</f>
        <v>168</v>
      </c>
      <c r="M28" s="0" t="n">
        <f aca="false">MIN(L28,E28)*F28</f>
        <v>2016000</v>
      </c>
      <c r="N28" s="0" t="n">
        <f aca="false">IF(L28&gt;=E28-0.000001,1,0)</f>
        <v>1</v>
      </c>
      <c r="O28" s="0" t="n">
        <f aca="false">MAX(0,L28-E28)*F28</f>
        <v>0</v>
      </c>
      <c r="P28" s="0" t="n">
        <f aca="false">SUMIFS(Quantites!$C$2:$C$1166,Quantites!$A$2:$A$1166,A28,Quantites!$B$2:$B$1166,"&lt;="&amp;Dates!$A$4)</f>
        <v>168</v>
      </c>
      <c r="Q28" s="0" t="n">
        <f aca="false">MIN(P28,E28)*F28</f>
        <v>2016000</v>
      </c>
      <c r="R28" s="0" t="n">
        <f aca="false">IF(P28&gt;=E28-0.000001,1,0)</f>
        <v>1</v>
      </c>
      <c r="S28" s="0" t="n">
        <f aca="false">MAX(0,P28-E28)*F28</f>
        <v>0</v>
      </c>
    </row>
    <row r="29" customFormat="false" ht="15" hidden="false" customHeight="false" outlineLevel="0" collapsed="false">
      <c r="A29" s="0" t="s">
        <v>137</v>
      </c>
      <c r="B29" s="0" t="s">
        <v>249</v>
      </c>
      <c r="C29" s="0" t="s">
        <v>175</v>
      </c>
      <c r="D29" s="0" t="s">
        <v>251</v>
      </c>
      <c r="E29" s="0" t="n">
        <v>4</v>
      </c>
      <c r="F29" s="0" t="n">
        <v>480000</v>
      </c>
      <c r="G29" s="0" t="n">
        <f aca="false">E29*F29</f>
        <v>1920000</v>
      </c>
      <c r="H29" s="0" t="n">
        <f aca="false">SUMIFS(Quantites!$C$2:$C$1166,Quantites!$A$2:$A$1166,A29,Quantites!$B$2:$B$1166,"&lt;="&amp;Dates!$A$2)</f>
        <v>0</v>
      </c>
      <c r="I29" s="0" t="n">
        <f aca="false">MIN(H29,E29)*F29</f>
        <v>0</v>
      </c>
      <c r="J29" s="0" t="n">
        <f aca="false">IF(H29&gt;=E29-0.000001,1,0)</f>
        <v>0</v>
      </c>
      <c r="K29" s="0" t="n">
        <f aca="false">MAX(0,H29-E29)*F29</f>
        <v>0</v>
      </c>
      <c r="L29" s="0" t="n">
        <f aca="false">SUMIFS(Quantites!$C$2:$C$1166,Quantites!$A$2:$A$1166,A29,Quantites!$B$2:$B$1166,"&lt;="&amp;Dates!$A$3)</f>
        <v>4</v>
      </c>
      <c r="M29" s="0" t="n">
        <f aca="false">MIN(L29,E29)*F29</f>
        <v>1920000</v>
      </c>
      <c r="N29" s="0" t="n">
        <f aca="false">IF(L29&gt;=E29-0.000001,1,0)</f>
        <v>1</v>
      </c>
      <c r="O29" s="0" t="n">
        <f aca="false">MAX(0,L29-E29)*F29</f>
        <v>0</v>
      </c>
      <c r="P29" s="0" t="n">
        <f aca="false">SUMIFS(Quantites!$C$2:$C$1166,Quantites!$A$2:$A$1166,A29,Quantites!$B$2:$B$1166,"&lt;="&amp;Dates!$A$4)</f>
        <v>4</v>
      </c>
      <c r="Q29" s="0" t="n">
        <f aca="false">MIN(P29,E29)*F29</f>
        <v>1920000</v>
      </c>
      <c r="R29" s="0" t="n">
        <f aca="false">IF(P29&gt;=E29-0.000001,1,0)</f>
        <v>1</v>
      </c>
      <c r="S29" s="0" t="n">
        <f aca="false">MAX(0,P29-E29)*F29</f>
        <v>0</v>
      </c>
    </row>
    <row r="30" customFormat="false" ht="15" hidden="false" customHeight="false" outlineLevel="0" collapsed="false">
      <c r="A30" s="0" t="s">
        <v>148</v>
      </c>
      <c r="B30" s="0" t="s">
        <v>252</v>
      </c>
      <c r="C30" s="0" t="s">
        <v>175</v>
      </c>
      <c r="D30" s="0" t="s">
        <v>253</v>
      </c>
      <c r="E30" s="0" t="n">
        <v>6</v>
      </c>
      <c r="F30" s="0" t="n">
        <v>285000</v>
      </c>
      <c r="G30" s="0" t="n">
        <f aca="false">E30*F30</f>
        <v>1710000</v>
      </c>
      <c r="H30" s="0" t="n">
        <f aca="false">SUMIFS(Quantites!$C$2:$C$1166,Quantites!$A$2:$A$1166,A30,Quantites!$B$2:$B$1166,"&lt;="&amp;Dates!$A$2)</f>
        <v>0</v>
      </c>
      <c r="I30" s="0" t="n">
        <f aca="false">MIN(H30,E30)*F30</f>
        <v>0</v>
      </c>
      <c r="J30" s="0" t="n">
        <f aca="false">IF(H30&gt;=E30-0.000001,1,0)</f>
        <v>0</v>
      </c>
      <c r="K30" s="0" t="n">
        <f aca="false">MAX(0,H30-E30)*F30</f>
        <v>0</v>
      </c>
      <c r="L30" s="0" t="n">
        <f aca="false">SUMIFS(Quantites!$C$2:$C$1166,Quantites!$A$2:$A$1166,A30,Quantites!$B$2:$B$1166,"&lt;="&amp;Dates!$A$3)</f>
        <v>0</v>
      </c>
      <c r="M30" s="0" t="n">
        <f aca="false">MIN(L30,E30)*F30</f>
        <v>0</v>
      </c>
      <c r="N30" s="0" t="n">
        <f aca="false">IF(L30&gt;=E30-0.000001,1,0)</f>
        <v>0</v>
      </c>
      <c r="O30" s="0" t="n">
        <f aca="false">MAX(0,L30-E30)*F30</f>
        <v>0</v>
      </c>
      <c r="P30" s="0" t="n">
        <f aca="false">SUMIFS(Quantites!$C$2:$C$1166,Quantites!$A$2:$A$1166,A30,Quantites!$B$2:$B$1166,"&lt;="&amp;Dates!$A$4)</f>
        <v>6</v>
      </c>
      <c r="Q30" s="0" t="n">
        <f aca="false">MIN(P30,E30)*F30</f>
        <v>1710000</v>
      </c>
      <c r="R30" s="0" t="n">
        <f aca="false">IF(P30&gt;=E30-0.000001,1,0)</f>
        <v>1</v>
      </c>
      <c r="S30" s="0" t="n">
        <f aca="false">MAX(0,P30-E30)*F30</f>
        <v>0</v>
      </c>
    </row>
    <row r="31" customFormat="false" ht="15" hidden="false" customHeight="false" outlineLevel="0" collapsed="false">
      <c r="A31" s="0" t="s">
        <v>149</v>
      </c>
      <c r="B31" s="0" t="s">
        <v>252</v>
      </c>
      <c r="C31" s="0" t="s">
        <v>175</v>
      </c>
      <c r="D31" s="0" t="s">
        <v>254</v>
      </c>
      <c r="E31" s="0" t="n">
        <v>232</v>
      </c>
      <c r="F31" s="0" t="n">
        <v>4500</v>
      </c>
      <c r="G31" s="0" t="n">
        <f aca="false">E31*F31</f>
        <v>1044000</v>
      </c>
      <c r="H31" s="0" t="n">
        <f aca="false">SUMIFS(Quantites!$C$2:$C$1166,Quantites!$A$2:$A$1166,A31,Quantites!$B$2:$B$1166,"&lt;="&amp;Dates!$A$2)</f>
        <v>0</v>
      </c>
      <c r="I31" s="0" t="n">
        <f aca="false">MIN(H31,E31)*F31</f>
        <v>0</v>
      </c>
      <c r="J31" s="0" t="n">
        <f aca="false">IF(H31&gt;=E31-0.000001,1,0)</f>
        <v>0</v>
      </c>
      <c r="K31" s="0" t="n">
        <f aca="false">MAX(0,H31-E31)*F31</f>
        <v>0</v>
      </c>
      <c r="L31" s="0" t="n">
        <f aca="false">SUMIFS(Quantites!$C$2:$C$1166,Quantites!$A$2:$A$1166,A31,Quantites!$B$2:$B$1166,"&lt;="&amp;Dates!$A$3)</f>
        <v>0</v>
      </c>
      <c r="M31" s="0" t="n">
        <f aca="false">MIN(L31,E31)*F31</f>
        <v>0</v>
      </c>
      <c r="N31" s="0" t="n">
        <f aca="false">IF(L31&gt;=E31-0.000001,1,0)</f>
        <v>0</v>
      </c>
      <c r="O31" s="0" t="n">
        <f aca="false">MAX(0,L31-E31)*F31</f>
        <v>0</v>
      </c>
      <c r="P31" s="0" t="n">
        <f aca="false">SUMIFS(Quantites!$C$2:$C$1166,Quantites!$A$2:$A$1166,A31,Quantites!$B$2:$B$1166,"&lt;="&amp;Dates!$A$4)</f>
        <v>232</v>
      </c>
      <c r="Q31" s="0" t="n">
        <f aca="false">MIN(P31,E31)*F31</f>
        <v>1044000</v>
      </c>
      <c r="R31" s="0" t="n">
        <f aca="false">IF(P31&gt;=E31-0.000001,1,0)</f>
        <v>1</v>
      </c>
      <c r="S31" s="0" t="n">
        <f aca="false">MAX(0,P31-E31)*F31</f>
        <v>0</v>
      </c>
    </row>
    <row r="32" customFormat="false" ht="15" hidden="false" customHeight="false" outlineLevel="0" collapsed="false">
      <c r="A32" s="0" t="s">
        <v>111</v>
      </c>
      <c r="B32" s="0" t="s">
        <v>255</v>
      </c>
      <c r="C32" s="0" t="s">
        <v>176</v>
      </c>
      <c r="D32" s="0" t="s">
        <v>256</v>
      </c>
      <c r="E32" s="0" t="n">
        <v>58</v>
      </c>
      <c r="F32" s="0" t="n">
        <v>75000</v>
      </c>
      <c r="G32" s="0" t="n">
        <f aca="false">E32*F32</f>
        <v>4350000</v>
      </c>
      <c r="H32" s="0" t="n">
        <f aca="false">SUMIFS(Quantites!$C$2:$C$1166,Quantites!$A$2:$A$1166,A32,Quantites!$B$2:$B$1166,"&lt;="&amp;Dates!$A$2)</f>
        <v>58</v>
      </c>
      <c r="I32" s="0" t="n">
        <f aca="false">MIN(H32,E32)*F32</f>
        <v>4350000</v>
      </c>
      <c r="J32" s="0" t="n">
        <f aca="false">IF(H32&gt;=E32-0.000001,1,0)</f>
        <v>1</v>
      </c>
      <c r="K32" s="0" t="n">
        <f aca="false">MAX(0,H32-E32)*F32</f>
        <v>0</v>
      </c>
      <c r="L32" s="0" t="n">
        <f aca="false">SUMIFS(Quantites!$C$2:$C$1166,Quantites!$A$2:$A$1166,A32,Quantites!$B$2:$B$1166,"&lt;="&amp;Dates!$A$3)</f>
        <v>58</v>
      </c>
      <c r="M32" s="0" t="n">
        <f aca="false">MIN(L32,E32)*F32</f>
        <v>4350000</v>
      </c>
      <c r="N32" s="0" t="n">
        <f aca="false">IF(L32&gt;=E32-0.000001,1,0)</f>
        <v>1</v>
      </c>
      <c r="O32" s="0" t="n">
        <f aca="false">MAX(0,L32-E32)*F32</f>
        <v>0</v>
      </c>
      <c r="P32" s="0" t="n">
        <f aca="false">SUMIFS(Quantites!$C$2:$C$1166,Quantites!$A$2:$A$1166,A32,Quantites!$B$2:$B$1166,"&lt;="&amp;Dates!$A$4)</f>
        <v>58</v>
      </c>
      <c r="Q32" s="0" t="n">
        <f aca="false">MIN(P32,E32)*F32</f>
        <v>4350000</v>
      </c>
      <c r="R32" s="0" t="n">
        <f aca="false">IF(P32&gt;=E32-0.000001,1,0)</f>
        <v>1</v>
      </c>
      <c r="S32" s="0" t="n">
        <f aca="false">MAX(0,P32-E32)*F32</f>
        <v>0</v>
      </c>
    </row>
    <row r="33" customFormat="false" ht="15" hidden="false" customHeight="false" outlineLevel="0" collapsed="false">
      <c r="A33" s="0" t="s">
        <v>113</v>
      </c>
      <c r="B33" s="0" t="s">
        <v>257</v>
      </c>
      <c r="C33" s="0" t="s">
        <v>176</v>
      </c>
      <c r="D33" s="0" t="s">
        <v>258</v>
      </c>
      <c r="E33" s="0" t="n">
        <v>15400</v>
      </c>
      <c r="F33" s="0" t="n">
        <v>900</v>
      </c>
      <c r="G33" s="0" t="n">
        <f aca="false">E33*F33</f>
        <v>13860000</v>
      </c>
      <c r="H33" s="0" t="n">
        <f aca="false">SUMIFS(Quantites!$C$2:$C$1166,Quantites!$A$2:$A$1166,A33,Quantites!$B$2:$B$1166,"&lt;="&amp;Dates!$A$2)</f>
        <v>11435.823</v>
      </c>
      <c r="I33" s="0" t="n">
        <f aca="false">MIN(H33,E33)*F33</f>
        <v>10292240.7</v>
      </c>
      <c r="J33" s="0" t="n">
        <f aca="false">IF(H33&gt;=E33-0.000001,1,0)</f>
        <v>0</v>
      </c>
      <c r="K33" s="0" t="n">
        <f aca="false">MAX(0,H33-E33)*F33</f>
        <v>0</v>
      </c>
      <c r="L33" s="0" t="n">
        <f aca="false">SUMIFS(Quantites!$C$2:$C$1166,Quantites!$A$2:$A$1166,A33,Quantites!$B$2:$B$1166,"&lt;="&amp;Dates!$A$3)</f>
        <v>15400</v>
      </c>
      <c r="M33" s="0" t="n">
        <f aca="false">MIN(L33,E33)*F33</f>
        <v>13860000</v>
      </c>
      <c r="N33" s="0" t="n">
        <f aca="false">IF(L33&gt;=E33-0.000001,1,0)</f>
        <v>1</v>
      </c>
      <c r="O33" s="0" t="n">
        <f aca="false">MAX(0,L33-E33)*F33</f>
        <v>0</v>
      </c>
      <c r="P33" s="0" t="n">
        <f aca="false">SUMIFS(Quantites!$C$2:$C$1166,Quantites!$A$2:$A$1166,A33,Quantites!$B$2:$B$1166,"&lt;="&amp;Dates!$A$4)</f>
        <v>15400</v>
      </c>
      <c r="Q33" s="0" t="n">
        <f aca="false">MIN(P33,E33)*F33</f>
        <v>13860000</v>
      </c>
      <c r="R33" s="0" t="n">
        <f aca="false">IF(P33&gt;=E33-0.000001,1,0)</f>
        <v>1</v>
      </c>
      <c r="S33" s="0" t="n">
        <f aca="false">MAX(0,P33-E33)*F33</f>
        <v>0</v>
      </c>
    </row>
    <row r="34" customFormat="false" ht="15" hidden="false" customHeight="false" outlineLevel="0" collapsed="false">
      <c r="A34" s="0" t="s">
        <v>114</v>
      </c>
      <c r="B34" s="0" t="s">
        <v>257</v>
      </c>
      <c r="C34" s="0" t="s">
        <v>176</v>
      </c>
      <c r="D34" s="0" t="s">
        <v>259</v>
      </c>
      <c r="E34" s="0" t="n">
        <v>168</v>
      </c>
      <c r="F34" s="0" t="n">
        <v>110000</v>
      </c>
      <c r="G34" s="0" t="n">
        <f aca="false">E34*F34</f>
        <v>18480000</v>
      </c>
      <c r="H34" s="0" t="n">
        <f aca="false">SUMIFS(Quantites!$C$2:$C$1166,Quantites!$A$2:$A$1166,A34,Quantites!$B$2:$B$1166,"&lt;="&amp;Dates!$A$2)</f>
        <v>124.754</v>
      </c>
      <c r="I34" s="0" t="n">
        <f aca="false">MIN(H34,E34)*F34</f>
        <v>13722940</v>
      </c>
      <c r="J34" s="0" t="n">
        <f aca="false">IF(H34&gt;=E34-0.000001,1,0)</f>
        <v>0</v>
      </c>
      <c r="K34" s="0" t="n">
        <f aca="false">MAX(0,H34-E34)*F34</f>
        <v>0</v>
      </c>
      <c r="L34" s="0" t="n">
        <f aca="false">SUMIFS(Quantites!$C$2:$C$1166,Quantites!$A$2:$A$1166,A34,Quantites!$B$2:$B$1166,"&lt;="&amp;Dates!$A$3)</f>
        <v>168</v>
      </c>
      <c r="M34" s="0" t="n">
        <f aca="false">MIN(L34,E34)*F34</f>
        <v>18480000</v>
      </c>
      <c r="N34" s="0" t="n">
        <f aca="false">IF(L34&gt;=E34-0.000001,1,0)</f>
        <v>1</v>
      </c>
      <c r="O34" s="0" t="n">
        <f aca="false">MAX(0,L34-E34)*F34</f>
        <v>0</v>
      </c>
      <c r="P34" s="0" t="n">
        <f aca="false">SUMIFS(Quantites!$C$2:$C$1166,Quantites!$A$2:$A$1166,A34,Quantites!$B$2:$B$1166,"&lt;="&amp;Dates!$A$4)</f>
        <v>168</v>
      </c>
      <c r="Q34" s="0" t="n">
        <f aca="false">MIN(P34,E34)*F34</f>
        <v>18480000</v>
      </c>
      <c r="R34" s="0" t="n">
        <f aca="false">IF(P34&gt;=E34-0.000001,1,0)</f>
        <v>1</v>
      </c>
      <c r="S34" s="0" t="n">
        <f aca="false">MAX(0,P34-E34)*F34</f>
        <v>0</v>
      </c>
    </row>
    <row r="35" customFormat="false" ht="15" hidden="false" customHeight="false" outlineLevel="0" collapsed="false">
      <c r="A35" s="0" t="s">
        <v>112</v>
      </c>
      <c r="B35" s="0" t="s">
        <v>257</v>
      </c>
      <c r="C35" s="0" t="s">
        <v>176</v>
      </c>
      <c r="D35" s="0" t="s">
        <v>260</v>
      </c>
      <c r="E35" s="0" t="n">
        <v>284</v>
      </c>
      <c r="F35" s="0" t="n">
        <v>9000</v>
      </c>
      <c r="G35" s="0" t="n">
        <f aca="false">E35*F35</f>
        <v>2556000</v>
      </c>
      <c r="H35" s="0" t="n">
        <f aca="false">SUMIFS(Quantites!$C$2:$C$1166,Quantites!$A$2:$A$1166,A35,Quantites!$B$2:$B$1166,"&lt;="&amp;Dates!$A$2)</f>
        <v>210.894</v>
      </c>
      <c r="I35" s="0" t="n">
        <f aca="false">MIN(H35,E35)*F35</f>
        <v>1898046</v>
      </c>
      <c r="J35" s="0" t="n">
        <f aca="false">IF(H35&gt;=E35-0.000001,1,0)</f>
        <v>0</v>
      </c>
      <c r="K35" s="0" t="n">
        <f aca="false">MAX(0,H35-E35)*F35</f>
        <v>0</v>
      </c>
      <c r="L35" s="0" t="n">
        <f aca="false">SUMIFS(Quantites!$C$2:$C$1166,Quantites!$A$2:$A$1166,A35,Quantites!$B$2:$B$1166,"&lt;="&amp;Dates!$A$3)</f>
        <v>284</v>
      </c>
      <c r="M35" s="0" t="n">
        <f aca="false">MIN(L35,E35)*F35</f>
        <v>2556000</v>
      </c>
      <c r="N35" s="0" t="n">
        <f aca="false">IF(L35&gt;=E35-0.000001,1,0)</f>
        <v>1</v>
      </c>
      <c r="O35" s="0" t="n">
        <f aca="false">MAX(0,L35-E35)*F35</f>
        <v>0</v>
      </c>
      <c r="P35" s="0" t="n">
        <f aca="false">SUMIFS(Quantites!$C$2:$C$1166,Quantites!$A$2:$A$1166,A35,Quantites!$B$2:$B$1166,"&lt;="&amp;Dates!$A$4)</f>
        <v>284</v>
      </c>
      <c r="Q35" s="0" t="n">
        <f aca="false">MIN(P35,E35)*F35</f>
        <v>2556000</v>
      </c>
      <c r="R35" s="0" t="n">
        <f aca="false">IF(P35&gt;=E35-0.000001,1,0)</f>
        <v>1</v>
      </c>
      <c r="S35" s="0" t="n">
        <f aca="false">MAX(0,P35-E35)*F35</f>
        <v>0</v>
      </c>
    </row>
    <row r="36" customFormat="false" ht="15" hidden="false" customHeight="false" outlineLevel="0" collapsed="false">
      <c r="A36" s="0" t="s">
        <v>116</v>
      </c>
      <c r="B36" s="0" t="s">
        <v>261</v>
      </c>
      <c r="C36" s="0" t="s">
        <v>176</v>
      </c>
      <c r="D36" s="0" t="s">
        <v>258</v>
      </c>
      <c r="E36" s="0" t="n">
        <v>10900</v>
      </c>
      <c r="F36" s="0" t="n">
        <v>900</v>
      </c>
      <c r="G36" s="0" t="n">
        <f aca="false">E36*F36</f>
        <v>9810000</v>
      </c>
      <c r="H36" s="0" t="n">
        <f aca="false">SUMIFS(Quantites!$C$2:$C$1166,Quantites!$A$2:$A$1166,A36,Quantites!$B$2:$B$1166,"&lt;="&amp;Dates!$A$2)</f>
        <v>4880.89</v>
      </c>
      <c r="I36" s="0" t="n">
        <f aca="false">MIN(H36,E36)*F36</f>
        <v>4392801</v>
      </c>
      <c r="J36" s="0" t="n">
        <f aca="false">IF(H36&gt;=E36-0.000001,1,0)</f>
        <v>0</v>
      </c>
      <c r="K36" s="0" t="n">
        <f aca="false">MAX(0,H36-E36)*F36</f>
        <v>0</v>
      </c>
      <c r="L36" s="0" t="n">
        <f aca="false">SUMIFS(Quantites!$C$2:$C$1166,Quantites!$A$2:$A$1166,A36,Quantites!$B$2:$B$1166,"&lt;="&amp;Dates!$A$3)</f>
        <v>10900</v>
      </c>
      <c r="M36" s="0" t="n">
        <f aca="false">MIN(L36,E36)*F36</f>
        <v>9810000</v>
      </c>
      <c r="N36" s="0" t="n">
        <f aca="false">IF(L36&gt;=E36-0.000001,1,0)</f>
        <v>1</v>
      </c>
      <c r="O36" s="0" t="n">
        <f aca="false">MAX(0,L36-E36)*F36</f>
        <v>0</v>
      </c>
      <c r="P36" s="0" t="n">
        <f aca="false">SUMIFS(Quantites!$C$2:$C$1166,Quantites!$A$2:$A$1166,A36,Quantites!$B$2:$B$1166,"&lt;="&amp;Dates!$A$4)</f>
        <v>10900</v>
      </c>
      <c r="Q36" s="0" t="n">
        <f aca="false">MIN(P36,E36)*F36</f>
        <v>9810000</v>
      </c>
      <c r="R36" s="0" t="n">
        <f aca="false">IF(P36&gt;=E36-0.000001,1,0)</f>
        <v>1</v>
      </c>
      <c r="S36" s="0" t="n">
        <f aca="false">MAX(0,P36-E36)*F36</f>
        <v>0</v>
      </c>
    </row>
    <row r="37" customFormat="false" ht="15" hidden="false" customHeight="false" outlineLevel="0" collapsed="false">
      <c r="A37" s="0" t="s">
        <v>115</v>
      </c>
      <c r="B37" s="0" t="s">
        <v>261</v>
      </c>
      <c r="C37" s="0" t="s">
        <v>176</v>
      </c>
      <c r="D37" s="0" t="s">
        <v>262</v>
      </c>
      <c r="E37" s="0" t="n">
        <v>124</v>
      </c>
      <c r="F37" s="0" t="n">
        <v>110000</v>
      </c>
      <c r="G37" s="0" t="n">
        <f aca="false">E37*F37</f>
        <v>13640000</v>
      </c>
      <c r="H37" s="0" t="n">
        <f aca="false">SUMIFS(Quantites!$C$2:$C$1166,Quantites!$A$2:$A$1166,A37,Quantites!$B$2:$B$1166,"&lt;="&amp;Dates!$A$2)</f>
        <v>55.526</v>
      </c>
      <c r="I37" s="0" t="n">
        <f aca="false">MIN(H37,E37)*F37</f>
        <v>6107860</v>
      </c>
      <c r="J37" s="0" t="n">
        <f aca="false">IF(H37&gt;=E37-0.000001,1,0)</f>
        <v>0</v>
      </c>
      <c r="K37" s="0" t="n">
        <f aca="false">MAX(0,H37-E37)*F37</f>
        <v>0</v>
      </c>
      <c r="L37" s="0" t="n">
        <f aca="false">SUMIFS(Quantites!$C$2:$C$1166,Quantites!$A$2:$A$1166,A37,Quantites!$B$2:$B$1166,"&lt;="&amp;Dates!$A$3)</f>
        <v>124</v>
      </c>
      <c r="M37" s="0" t="n">
        <f aca="false">MIN(L37,E37)*F37</f>
        <v>13640000</v>
      </c>
      <c r="N37" s="0" t="n">
        <f aca="false">IF(L37&gt;=E37-0.000001,1,0)</f>
        <v>1</v>
      </c>
      <c r="O37" s="0" t="n">
        <f aca="false">MAX(0,L37-E37)*F37</f>
        <v>0</v>
      </c>
      <c r="P37" s="0" t="n">
        <f aca="false">SUMIFS(Quantites!$C$2:$C$1166,Quantites!$A$2:$A$1166,A37,Quantites!$B$2:$B$1166,"&lt;="&amp;Dates!$A$4)</f>
        <v>124</v>
      </c>
      <c r="Q37" s="0" t="n">
        <f aca="false">MIN(P37,E37)*F37</f>
        <v>13640000</v>
      </c>
      <c r="R37" s="0" t="n">
        <f aca="false">IF(P37&gt;=E37-0.000001,1,0)</f>
        <v>1</v>
      </c>
      <c r="S37" s="0" t="n">
        <f aca="false">MAX(0,P37-E37)*F37</f>
        <v>0</v>
      </c>
    </row>
    <row r="38" customFormat="false" ht="15" hidden="false" customHeight="false" outlineLevel="0" collapsed="false">
      <c r="A38" s="0" t="s">
        <v>117</v>
      </c>
      <c r="B38" s="0" t="s">
        <v>261</v>
      </c>
      <c r="C38" s="0" t="s">
        <v>176</v>
      </c>
      <c r="D38" s="0" t="s">
        <v>263</v>
      </c>
      <c r="E38" s="0" t="n">
        <v>312</v>
      </c>
      <c r="F38" s="0" t="n">
        <v>9000</v>
      </c>
      <c r="G38" s="0" t="n">
        <f aca="false">E38*F38</f>
        <v>2808000</v>
      </c>
      <c r="H38" s="0" t="n">
        <f aca="false">SUMIFS(Quantites!$C$2:$C$1166,Quantites!$A$2:$A$1166,A38,Quantites!$B$2:$B$1166,"&lt;="&amp;Dates!$A$2)</f>
        <v>139.71</v>
      </c>
      <c r="I38" s="0" t="n">
        <f aca="false">MIN(H38,E38)*F38</f>
        <v>1257390</v>
      </c>
      <c r="J38" s="0" t="n">
        <f aca="false">IF(H38&gt;=E38-0.000001,1,0)</f>
        <v>0</v>
      </c>
      <c r="K38" s="0" t="n">
        <f aca="false">MAX(0,H38-E38)*F38</f>
        <v>0</v>
      </c>
      <c r="L38" s="0" t="n">
        <f aca="false">SUMIFS(Quantites!$C$2:$C$1166,Quantites!$A$2:$A$1166,A38,Quantites!$B$2:$B$1166,"&lt;="&amp;Dates!$A$3)</f>
        <v>312</v>
      </c>
      <c r="M38" s="0" t="n">
        <f aca="false">MIN(L38,E38)*F38</f>
        <v>2808000</v>
      </c>
      <c r="N38" s="0" t="n">
        <f aca="false">IF(L38&gt;=E38-0.000001,1,0)</f>
        <v>1</v>
      </c>
      <c r="O38" s="0" t="n">
        <f aca="false">MAX(0,L38-E38)*F38</f>
        <v>0</v>
      </c>
      <c r="P38" s="0" t="n">
        <f aca="false">SUMIFS(Quantites!$C$2:$C$1166,Quantites!$A$2:$A$1166,A38,Quantites!$B$2:$B$1166,"&lt;="&amp;Dates!$A$4)</f>
        <v>312</v>
      </c>
      <c r="Q38" s="0" t="n">
        <f aca="false">MIN(P38,E38)*F38</f>
        <v>2808000</v>
      </c>
      <c r="R38" s="0" t="n">
        <f aca="false">IF(P38&gt;=E38-0.000001,1,0)</f>
        <v>1</v>
      </c>
      <c r="S38" s="0" t="n">
        <f aca="false">MAX(0,P38-E38)*F38</f>
        <v>0</v>
      </c>
    </row>
    <row r="39" customFormat="false" ht="15" hidden="false" customHeight="false" outlineLevel="0" collapsed="false">
      <c r="A39" s="0" t="s">
        <v>119</v>
      </c>
      <c r="B39" s="0" t="s">
        <v>264</v>
      </c>
      <c r="C39" s="0" t="s">
        <v>176</v>
      </c>
      <c r="D39" s="0" t="s">
        <v>258</v>
      </c>
      <c r="E39" s="0" t="n">
        <v>11800</v>
      </c>
      <c r="F39" s="0" t="n">
        <v>900</v>
      </c>
      <c r="G39" s="0" t="n">
        <f aca="false">E39*F39</f>
        <v>10620000</v>
      </c>
      <c r="H39" s="0" t="n">
        <f aca="false">SUMIFS(Quantites!$C$2:$C$1166,Quantites!$A$2:$A$1166,A39,Quantites!$B$2:$B$1166,"&lt;="&amp;Dates!$A$2)</f>
        <v>0</v>
      </c>
      <c r="I39" s="0" t="n">
        <f aca="false">MIN(H39,E39)*F39</f>
        <v>0</v>
      </c>
      <c r="J39" s="0" t="n">
        <f aca="false">IF(H39&gt;=E39-0.000001,1,0)</f>
        <v>0</v>
      </c>
      <c r="K39" s="0" t="n">
        <f aca="false">MAX(0,H39-E39)*F39</f>
        <v>0</v>
      </c>
      <c r="L39" s="0" t="n">
        <f aca="false">SUMIFS(Quantites!$C$2:$C$1166,Quantites!$A$2:$A$1166,A39,Quantites!$B$2:$B$1166,"&lt;="&amp;Dates!$A$3)</f>
        <v>11800</v>
      </c>
      <c r="M39" s="0" t="n">
        <f aca="false">MIN(L39,E39)*F39</f>
        <v>10620000</v>
      </c>
      <c r="N39" s="0" t="n">
        <f aca="false">IF(L39&gt;=E39-0.000001,1,0)</f>
        <v>1</v>
      </c>
      <c r="O39" s="0" t="n">
        <f aca="false">MAX(0,L39-E39)*F39</f>
        <v>0</v>
      </c>
      <c r="P39" s="0" t="n">
        <f aca="false">SUMIFS(Quantites!$C$2:$C$1166,Quantites!$A$2:$A$1166,A39,Quantites!$B$2:$B$1166,"&lt;="&amp;Dates!$A$4)</f>
        <v>11800</v>
      </c>
      <c r="Q39" s="0" t="n">
        <f aca="false">MIN(P39,E39)*F39</f>
        <v>10620000</v>
      </c>
      <c r="R39" s="0" t="n">
        <f aca="false">IF(P39&gt;=E39-0.000001,1,0)</f>
        <v>1</v>
      </c>
      <c r="S39" s="0" t="n">
        <f aca="false">MAX(0,P39-E39)*F39</f>
        <v>0</v>
      </c>
    </row>
    <row r="40" customFormat="false" ht="15" hidden="false" customHeight="false" outlineLevel="0" collapsed="false">
      <c r="A40" s="0" t="s">
        <v>120</v>
      </c>
      <c r="B40" s="0" t="s">
        <v>264</v>
      </c>
      <c r="C40" s="0" t="s">
        <v>176</v>
      </c>
      <c r="D40" s="0" t="s">
        <v>265</v>
      </c>
      <c r="E40" s="0" t="n">
        <v>96</v>
      </c>
      <c r="F40" s="0" t="n">
        <v>110000</v>
      </c>
      <c r="G40" s="0" t="n">
        <f aca="false">E40*F40</f>
        <v>10560000</v>
      </c>
      <c r="H40" s="0" t="n">
        <f aca="false">SUMIFS(Quantites!$C$2:$C$1166,Quantites!$A$2:$A$1166,A40,Quantites!$B$2:$B$1166,"&lt;="&amp;Dates!$A$2)</f>
        <v>0</v>
      </c>
      <c r="I40" s="0" t="n">
        <f aca="false">MIN(H40,E40)*F40</f>
        <v>0</v>
      </c>
      <c r="J40" s="0" t="n">
        <f aca="false">IF(H40&gt;=E40-0.000001,1,0)</f>
        <v>0</v>
      </c>
      <c r="K40" s="0" t="n">
        <f aca="false">MAX(0,H40-E40)*F40</f>
        <v>0</v>
      </c>
      <c r="L40" s="0" t="n">
        <f aca="false">SUMIFS(Quantites!$C$2:$C$1166,Quantites!$A$2:$A$1166,A40,Quantites!$B$2:$B$1166,"&lt;="&amp;Dates!$A$3)</f>
        <v>96</v>
      </c>
      <c r="M40" s="0" t="n">
        <f aca="false">MIN(L40,E40)*F40</f>
        <v>10560000</v>
      </c>
      <c r="N40" s="0" t="n">
        <f aca="false">IF(L40&gt;=E40-0.000001,1,0)</f>
        <v>1</v>
      </c>
      <c r="O40" s="0" t="n">
        <f aca="false">MAX(0,L40-E40)*F40</f>
        <v>0</v>
      </c>
      <c r="P40" s="0" t="n">
        <f aca="false">SUMIFS(Quantites!$C$2:$C$1166,Quantites!$A$2:$A$1166,A40,Quantites!$B$2:$B$1166,"&lt;="&amp;Dates!$A$4)</f>
        <v>96</v>
      </c>
      <c r="Q40" s="0" t="n">
        <f aca="false">MIN(P40,E40)*F40</f>
        <v>10560000</v>
      </c>
      <c r="R40" s="0" t="n">
        <f aca="false">IF(P40&gt;=E40-0.000001,1,0)</f>
        <v>1</v>
      </c>
      <c r="S40" s="0" t="n">
        <f aca="false">MAX(0,P40-E40)*F40</f>
        <v>0</v>
      </c>
    </row>
    <row r="41" customFormat="false" ht="15" hidden="false" customHeight="false" outlineLevel="0" collapsed="false">
      <c r="A41" s="0" t="s">
        <v>118</v>
      </c>
      <c r="B41" s="0" t="s">
        <v>264</v>
      </c>
      <c r="C41" s="0" t="s">
        <v>176</v>
      </c>
      <c r="D41" s="0" t="s">
        <v>266</v>
      </c>
      <c r="E41" s="0" t="n">
        <v>512</v>
      </c>
      <c r="F41" s="0" t="n">
        <v>9000</v>
      </c>
      <c r="G41" s="0" t="n">
        <f aca="false">E41*F41</f>
        <v>4608000</v>
      </c>
      <c r="H41" s="0" t="n">
        <f aca="false">SUMIFS(Quantites!$C$2:$C$1166,Quantites!$A$2:$A$1166,A41,Quantites!$B$2:$B$1166,"&lt;="&amp;Dates!$A$2)</f>
        <v>0</v>
      </c>
      <c r="I41" s="0" t="n">
        <f aca="false">MIN(H41,E41)*F41</f>
        <v>0</v>
      </c>
      <c r="J41" s="0" t="n">
        <f aca="false">IF(H41&gt;=E41-0.000001,1,0)</f>
        <v>0</v>
      </c>
      <c r="K41" s="0" t="n">
        <f aca="false">MAX(0,H41-E41)*F41</f>
        <v>0</v>
      </c>
      <c r="L41" s="0" t="n">
        <f aca="false">SUMIFS(Quantites!$C$2:$C$1166,Quantites!$A$2:$A$1166,A41,Quantites!$B$2:$B$1166,"&lt;="&amp;Dates!$A$3)</f>
        <v>512</v>
      </c>
      <c r="M41" s="0" t="n">
        <f aca="false">MIN(L41,E41)*F41</f>
        <v>4608000</v>
      </c>
      <c r="N41" s="0" t="n">
        <f aca="false">IF(L41&gt;=E41-0.000001,1,0)</f>
        <v>1</v>
      </c>
      <c r="O41" s="0" t="n">
        <f aca="false">MAX(0,L41-E41)*F41</f>
        <v>0</v>
      </c>
      <c r="P41" s="0" t="n">
        <f aca="false">SUMIFS(Quantites!$C$2:$C$1166,Quantites!$A$2:$A$1166,A41,Quantites!$B$2:$B$1166,"&lt;="&amp;Dates!$A$4)</f>
        <v>512</v>
      </c>
      <c r="Q41" s="0" t="n">
        <f aca="false">MIN(P41,E41)*F41</f>
        <v>4608000</v>
      </c>
      <c r="R41" s="0" t="n">
        <f aca="false">IF(P41&gt;=E41-0.000001,1,0)</f>
        <v>1</v>
      </c>
      <c r="S41" s="0" t="n">
        <f aca="false">MAX(0,P41-E41)*F41</f>
        <v>0</v>
      </c>
    </row>
    <row r="42" customFormat="false" ht="15" hidden="false" customHeight="false" outlineLevel="0" collapsed="false">
      <c r="A42" s="0" t="s">
        <v>132</v>
      </c>
      <c r="B42" s="0" t="s">
        <v>267</v>
      </c>
      <c r="C42" s="0" t="s">
        <v>176</v>
      </c>
      <c r="D42" s="0" t="s">
        <v>268</v>
      </c>
      <c r="E42" s="0" t="n">
        <v>612</v>
      </c>
      <c r="F42" s="0" t="n">
        <v>28000</v>
      </c>
      <c r="G42" s="0" t="n">
        <f aca="false">E42*F42</f>
        <v>17136000</v>
      </c>
      <c r="H42" s="0" t="n">
        <f aca="false">SUMIFS(Quantites!$C$2:$C$1166,Quantites!$A$2:$A$1166,A42,Quantites!$B$2:$B$1166,"&lt;="&amp;Dates!$A$2)</f>
        <v>0</v>
      </c>
      <c r="I42" s="0" t="n">
        <f aca="false">MIN(H42,E42)*F42</f>
        <v>0</v>
      </c>
      <c r="J42" s="0" t="n">
        <f aca="false">IF(H42&gt;=E42-0.000001,1,0)</f>
        <v>0</v>
      </c>
      <c r="K42" s="0" t="n">
        <f aca="false">MAX(0,H42-E42)*F42</f>
        <v>0</v>
      </c>
      <c r="L42" s="0" t="n">
        <f aca="false">SUMIFS(Quantites!$C$2:$C$1166,Quantites!$A$2:$A$1166,A42,Quantites!$B$2:$B$1166,"&lt;="&amp;Dates!$A$3)</f>
        <v>612</v>
      </c>
      <c r="M42" s="0" t="n">
        <f aca="false">MIN(L42,E42)*F42</f>
        <v>17136000</v>
      </c>
      <c r="N42" s="0" t="n">
        <f aca="false">IF(L42&gt;=E42-0.000001,1,0)</f>
        <v>1</v>
      </c>
      <c r="O42" s="0" t="n">
        <f aca="false">MAX(0,L42-E42)*F42</f>
        <v>0</v>
      </c>
      <c r="P42" s="0" t="n">
        <f aca="false">SUMIFS(Quantites!$C$2:$C$1166,Quantites!$A$2:$A$1166,A42,Quantites!$B$2:$B$1166,"&lt;="&amp;Dates!$A$4)</f>
        <v>612</v>
      </c>
      <c r="Q42" s="0" t="n">
        <f aca="false">MIN(P42,E42)*F42</f>
        <v>17136000</v>
      </c>
      <c r="R42" s="0" t="n">
        <f aca="false">IF(P42&gt;=E42-0.000001,1,0)</f>
        <v>1</v>
      </c>
      <c r="S42" s="0" t="n">
        <f aca="false">MAX(0,P42-E42)*F42</f>
        <v>0</v>
      </c>
    </row>
    <row r="43" customFormat="false" ht="15" hidden="false" customHeight="false" outlineLevel="0" collapsed="false">
      <c r="A43" s="0" t="s">
        <v>129</v>
      </c>
      <c r="B43" s="0" t="s">
        <v>267</v>
      </c>
      <c r="C43" s="0" t="s">
        <v>176</v>
      </c>
      <c r="D43" s="0" t="s">
        <v>269</v>
      </c>
      <c r="E43" s="0" t="n">
        <v>640</v>
      </c>
      <c r="F43" s="0" t="n">
        <v>4200</v>
      </c>
      <c r="G43" s="0" t="n">
        <f aca="false">E43*F43</f>
        <v>2688000</v>
      </c>
      <c r="H43" s="0" t="n">
        <f aca="false">SUMIFS(Quantites!$C$2:$C$1166,Quantites!$A$2:$A$1166,A43,Quantites!$B$2:$B$1166,"&lt;="&amp;Dates!$A$2)</f>
        <v>0</v>
      </c>
      <c r="I43" s="0" t="n">
        <f aca="false">MIN(H43,E43)*F43</f>
        <v>0</v>
      </c>
      <c r="J43" s="0" t="n">
        <f aca="false">IF(H43&gt;=E43-0.000001,1,0)</f>
        <v>0</v>
      </c>
      <c r="K43" s="0" t="n">
        <f aca="false">MAX(0,H43-E43)*F43</f>
        <v>0</v>
      </c>
      <c r="L43" s="0" t="n">
        <f aca="false">SUMIFS(Quantites!$C$2:$C$1166,Quantites!$A$2:$A$1166,A43,Quantites!$B$2:$B$1166,"&lt;="&amp;Dates!$A$3)</f>
        <v>640</v>
      </c>
      <c r="M43" s="0" t="n">
        <f aca="false">MIN(L43,E43)*F43</f>
        <v>2688000</v>
      </c>
      <c r="N43" s="0" t="n">
        <f aca="false">IF(L43&gt;=E43-0.000001,1,0)</f>
        <v>1</v>
      </c>
      <c r="O43" s="0" t="n">
        <f aca="false">MAX(0,L43-E43)*F43</f>
        <v>0</v>
      </c>
      <c r="P43" s="0" t="n">
        <f aca="false">SUMIFS(Quantites!$C$2:$C$1166,Quantites!$A$2:$A$1166,A43,Quantites!$B$2:$B$1166,"&lt;="&amp;Dates!$A$4)</f>
        <v>640</v>
      </c>
      <c r="Q43" s="0" t="n">
        <f aca="false">MIN(P43,E43)*F43</f>
        <v>2688000</v>
      </c>
      <c r="R43" s="0" t="n">
        <f aca="false">IF(P43&gt;=E43-0.000001,1,0)</f>
        <v>1</v>
      </c>
      <c r="S43" s="0" t="n">
        <f aca="false">MAX(0,P43-E43)*F43</f>
        <v>0</v>
      </c>
    </row>
    <row r="44" customFormat="false" ht="15" hidden="false" customHeight="false" outlineLevel="0" collapsed="false">
      <c r="A44" s="0" t="s">
        <v>128</v>
      </c>
      <c r="B44" s="0" t="s">
        <v>270</v>
      </c>
      <c r="C44" s="0" t="s">
        <v>177</v>
      </c>
      <c r="D44" s="0" t="s">
        <v>258</v>
      </c>
      <c r="E44" s="0" t="n">
        <v>6400</v>
      </c>
      <c r="F44" s="0" t="n">
        <v>900</v>
      </c>
      <c r="G44" s="0" t="n">
        <f aca="false">E44*F44</f>
        <v>5760000</v>
      </c>
      <c r="H44" s="0" t="n">
        <f aca="false">SUMIFS(Quantites!$C$2:$C$1166,Quantites!$A$2:$A$1166,A44,Quantites!$B$2:$B$1166,"&lt;="&amp;Dates!$A$2)</f>
        <v>0</v>
      </c>
      <c r="I44" s="0" t="n">
        <f aca="false">MIN(H44,E44)*F44</f>
        <v>0</v>
      </c>
      <c r="J44" s="0" t="n">
        <f aca="false">IF(H44&gt;=E44-0.000001,1,0)</f>
        <v>0</v>
      </c>
      <c r="K44" s="0" t="n">
        <f aca="false">MAX(0,H44-E44)*F44</f>
        <v>0</v>
      </c>
      <c r="L44" s="0" t="n">
        <f aca="false">SUMIFS(Quantites!$C$2:$C$1166,Quantites!$A$2:$A$1166,A44,Quantites!$B$2:$B$1166,"&lt;="&amp;Dates!$A$3)</f>
        <v>6400</v>
      </c>
      <c r="M44" s="0" t="n">
        <f aca="false">MIN(L44,E44)*F44</f>
        <v>5760000</v>
      </c>
      <c r="N44" s="0" t="n">
        <f aca="false">IF(L44&gt;=E44-0.000001,1,0)</f>
        <v>1</v>
      </c>
      <c r="O44" s="0" t="n">
        <f aca="false">MAX(0,L44-E44)*F44</f>
        <v>0</v>
      </c>
      <c r="P44" s="0" t="n">
        <f aca="false">SUMIFS(Quantites!$C$2:$C$1166,Quantites!$A$2:$A$1166,A44,Quantites!$B$2:$B$1166,"&lt;="&amp;Dates!$A$4)</f>
        <v>6400</v>
      </c>
      <c r="Q44" s="0" t="n">
        <f aca="false">MIN(P44,E44)*F44</f>
        <v>5760000</v>
      </c>
      <c r="R44" s="0" t="n">
        <f aca="false">IF(P44&gt;=E44-0.000001,1,0)</f>
        <v>1</v>
      </c>
      <c r="S44" s="0" t="n">
        <f aca="false">MAX(0,P44-E44)*F44</f>
        <v>0</v>
      </c>
    </row>
    <row r="45" customFormat="false" ht="15" hidden="false" customHeight="false" outlineLevel="0" collapsed="false">
      <c r="A45" s="0" t="s">
        <v>121</v>
      </c>
      <c r="B45" s="0" t="s">
        <v>270</v>
      </c>
      <c r="C45" s="0" t="s">
        <v>177</v>
      </c>
      <c r="D45" s="0" t="s">
        <v>271</v>
      </c>
      <c r="E45" s="0" t="n">
        <v>46</v>
      </c>
      <c r="F45" s="0" t="n">
        <v>110000</v>
      </c>
      <c r="G45" s="0" t="n">
        <f aca="false">E45*F45</f>
        <v>5060000</v>
      </c>
      <c r="H45" s="0" t="n">
        <f aca="false">SUMIFS(Quantites!$C$2:$C$1166,Quantites!$A$2:$A$1166,A45,Quantites!$B$2:$B$1166,"&lt;="&amp;Dates!$A$2)</f>
        <v>0</v>
      </c>
      <c r="I45" s="0" t="n">
        <f aca="false">MIN(H45,E45)*F45</f>
        <v>0</v>
      </c>
      <c r="J45" s="0" t="n">
        <f aca="false">IF(H45&gt;=E45-0.000001,1,0)</f>
        <v>0</v>
      </c>
      <c r="K45" s="0" t="n">
        <f aca="false">MAX(0,H45-E45)*F45</f>
        <v>0</v>
      </c>
      <c r="L45" s="0" t="n">
        <f aca="false">SUMIFS(Quantites!$C$2:$C$1166,Quantites!$A$2:$A$1166,A45,Quantites!$B$2:$B$1166,"&lt;="&amp;Dates!$A$3)</f>
        <v>46</v>
      </c>
      <c r="M45" s="0" t="n">
        <f aca="false">MIN(L45,E45)*F45</f>
        <v>5060000</v>
      </c>
      <c r="N45" s="0" t="n">
        <f aca="false">IF(L45&gt;=E45-0.000001,1,0)</f>
        <v>1</v>
      </c>
      <c r="O45" s="0" t="n">
        <f aca="false">MAX(0,L45-E45)*F45</f>
        <v>0</v>
      </c>
      <c r="P45" s="0" t="n">
        <f aca="false">SUMIFS(Quantites!$C$2:$C$1166,Quantites!$A$2:$A$1166,A45,Quantites!$B$2:$B$1166,"&lt;="&amp;Dates!$A$4)</f>
        <v>46</v>
      </c>
      <c r="Q45" s="0" t="n">
        <f aca="false">MIN(P45,E45)*F45</f>
        <v>5060000</v>
      </c>
      <c r="R45" s="0" t="n">
        <f aca="false">IF(P45&gt;=E45-0.000001,1,0)</f>
        <v>1</v>
      </c>
      <c r="S45" s="0" t="n">
        <f aca="false">MAX(0,P45-E45)*F45</f>
        <v>0</v>
      </c>
    </row>
    <row r="46" customFormat="false" ht="15" hidden="false" customHeight="false" outlineLevel="0" collapsed="false">
      <c r="A46" s="0" t="s">
        <v>122</v>
      </c>
      <c r="B46" s="0" t="s">
        <v>270</v>
      </c>
      <c r="C46" s="0" t="s">
        <v>177</v>
      </c>
      <c r="D46" s="0" t="s">
        <v>272</v>
      </c>
      <c r="E46" s="0" t="n">
        <v>392</v>
      </c>
      <c r="F46" s="0" t="n">
        <v>9000</v>
      </c>
      <c r="G46" s="0" t="n">
        <f aca="false">E46*F46</f>
        <v>3528000</v>
      </c>
      <c r="H46" s="0" t="n">
        <f aca="false">SUMIFS(Quantites!$C$2:$C$1166,Quantites!$A$2:$A$1166,A46,Quantites!$B$2:$B$1166,"&lt;="&amp;Dates!$A$2)</f>
        <v>0</v>
      </c>
      <c r="I46" s="0" t="n">
        <f aca="false">MIN(H46,E46)*F46</f>
        <v>0</v>
      </c>
      <c r="J46" s="0" t="n">
        <f aca="false">IF(H46&gt;=E46-0.000001,1,0)</f>
        <v>0</v>
      </c>
      <c r="K46" s="0" t="n">
        <f aca="false">MAX(0,H46-E46)*F46</f>
        <v>0</v>
      </c>
      <c r="L46" s="0" t="n">
        <f aca="false">SUMIFS(Quantites!$C$2:$C$1166,Quantites!$A$2:$A$1166,A46,Quantites!$B$2:$B$1166,"&lt;="&amp;Dates!$A$3)</f>
        <v>392</v>
      </c>
      <c r="M46" s="0" t="n">
        <f aca="false">MIN(L46,E46)*F46</f>
        <v>3528000</v>
      </c>
      <c r="N46" s="0" t="n">
        <f aca="false">IF(L46&gt;=E46-0.000001,1,0)</f>
        <v>1</v>
      </c>
      <c r="O46" s="0" t="n">
        <f aca="false">MAX(0,L46-E46)*F46</f>
        <v>0</v>
      </c>
      <c r="P46" s="0" t="n">
        <f aca="false">SUMIFS(Quantites!$C$2:$C$1166,Quantites!$A$2:$A$1166,A46,Quantites!$B$2:$B$1166,"&lt;="&amp;Dates!$A$4)</f>
        <v>392</v>
      </c>
      <c r="Q46" s="0" t="n">
        <f aca="false">MIN(P46,E46)*F46</f>
        <v>3528000</v>
      </c>
      <c r="R46" s="0" t="n">
        <f aca="false">IF(P46&gt;=E46-0.000001,1,0)</f>
        <v>1</v>
      </c>
      <c r="S46" s="0" t="n">
        <f aca="false">MAX(0,P46-E46)*F46</f>
        <v>0</v>
      </c>
    </row>
    <row r="47" customFormat="false" ht="15" hidden="false" customHeight="false" outlineLevel="0" collapsed="false">
      <c r="A47" s="0" t="s">
        <v>127</v>
      </c>
      <c r="B47" s="0" t="s">
        <v>273</v>
      </c>
      <c r="C47" s="0" t="s">
        <v>177</v>
      </c>
      <c r="D47" s="0" t="s">
        <v>258</v>
      </c>
      <c r="E47" s="0" t="n">
        <v>7800</v>
      </c>
      <c r="F47" s="0" t="n">
        <v>900</v>
      </c>
      <c r="G47" s="0" t="n">
        <f aca="false">E47*F47</f>
        <v>7020000</v>
      </c>
      <c r="H47" s="0" t="n">
        <f aca="false">SUMIFS(Quantites!$C$2:$C$1166,Quantites!$A$2:$A$1166,A47,Quantites!$B$2:$B$1166,"&lt;="&amp;Dates!$A$2)</f>
        <v>0</v>
      </c>
      <c r="I47" s="0" t="n">
        <f aca="false">MIN(H47,E47)*F47</f>
        <v>0</v>
      </c>
      <c r="J47" s="0" t="n">
        <f aca="false">IF(H47&gt;=E47-0.000001,1,0)</f>
        <v>0</v>
      </c>
      <c r="K47" s="0" t="n">
        <f aca="false">MAX(0,H47-E47)*F47</f>
        <v>0</v>
      </c>
      <c r="L47" s="0" t="n">
        <f aca="false">SUMIFS(Quantites!$C$2:$C$1166,Quantites!$A$2:$A$1166,A47,Quantites!$B$2:$B$1166,"&lt;="&amp;Dates!$A$3)</f>
        <v>7800</v>
      </c>
      <c r="M47" s="0" t="n">
        <f aca="false">MIN(L47,E47)*F47</f>
        <v>7020000</v>
      </c>
      <c r="N47" s="0" t="n">
        <f aca="false">IF(L47&gt;=E47-0.000001,1,0)</f>
        <v>1</v>
      </c>
      <c r="O47" s="0" t="n">
        <f aca="false">MAX(0,L47-E47)*F47</f>
        <v>0</v>
      </c>
      <c r="P47" s="0" t="n">
        <f aca="false">SUMIFS(Quantites!$C$2:$C$1166,Quantites!$A$2:$A$1166,A47,Quantites!$B$2:$B$1166,"&lt;="&amp;Dates!$A$4)</f>
        <v>7800</v>
      </c>
      <c r="Q47" s="0" t="n">
        <f aca="false">MIN(P47,E47)*F47</f>
        <v>7020000</v>
      </c>
      <c r="R47" s="0" t="n">
        <f aca="false">IF(P47&gt;=E47-0.000001,1,0)</f>
        <v>1</v>
      </c>
      <c r="S47" s="0" t="n">
        <f aca="false">MAX(0,P47-E47)*F47</f>
        <v>0</v>
      </c>
    </row>
    <row r="48" customFormat="false" ht="15" hidden="false" customHeight="false" outlineLevel="0" collapsed="false">
      <c r="A48" s="0" t="s">
        <v>125</v>
      </c>
      <c r="B48" s="0" t="s">
        <v>273</v>
      </c>
      <c r="C48" s="0" t="s">
        <v>177</v>
      </c>
      <c r="D48" s="0" t="s">
        <v>274</v>
      </c>
      <c r="E48" s="0" t="n">
        <v>62</v>
      </c>
      <c r="F48" s="0" t="n">
        <v>110000</v>
      </c>
      <c r="G48" s="0" t="n">
        <f aca="false">E48*F48</f>
        <v>6820000</v>
      </c>
      <c r="H48" s="0" t="n">
        <f aca="false">SUMIFS(Quantites!$C$2:$C$1166,Quantites!$A$2:$A$1166,A48,Quantites!$B$2:$B$1166,"&lt;="&amp;Dates!$A$2)</f>
        <v>0</v>
      </c>
      <c r="I48" s="0" t="n">
        <f aca="false">MIN(H48,E48)*F48</f>
        <v>0</v>
      </c>
      <c r="J48" s="0" t="n">
        <f aca="false">IF(H48&gt;=E48-0.000001,1,0)</f>
        <v>0</v>
      </c>
      <c r="K48" s="0" t="n">
        <f aca="false">MAX(0,H48-E48)*F48</f>
        <v>0</v>
      </c>
      <c r="L48" s="0" t="n">
        <f aca="false">SUMIFS(Quantites!$C$2:$C$1166,Quantites!$A$2:$A$1166,A48,Quantites!$B$2:$B$1166,"&lt;="&amp;Dates!$A$3)</f>
        <v>62</v>
      </c>
      <c r="M48" s="0" t="n">
        <f aca="false">MIN(L48,E48)*F48</f>
        <v>6820000</v>
      </c>
      <c r="N48" s="0" t="n">
        <f aca="false">IF(L48&gt;=E48-0.000001,1,0)</f>
        <v>1</v>
      </c>
      <c r="O48" s="0" t="n">
        <f aca="false">MAX(0,L48-E48)*F48</f>
        <v>0</v>
      </c>
      <c r="P48" s="0" t="n">
        <f aca="false">SUMIFS(Quantites!$C$2:$C$1166,Quantites!$A$2:$A$1166,A48,Quantites!$B$2:$B$1166,"&lt;="&amp;Dates!$A$4)</f>
        <v>62</v>
      </c>
      <c r="Q48" s="0" t="n">
        <f aca="false">MIN(P48,E48)*F48</f>
        <v>6820000</v>
      </c>
      <c r="R48" s="0" t="n">
        <f aca="false">IF(P48&gt;=E48-0.000001,1,0)</f>
        <v>1</v>
      </c>
      <c r="S48" s="0" t="n">
        <f aca="false">MAX(0,P48-E48)*F48</f>
        <v>0</v>
      </c>
    </row>
    <row r="49" customFormat="false" ht="15" hidden="false" customHeight="false" outlineLevel="0" collapsed="false">
      <c r="A49" s="0" t="s">
        <v>126</v>
      </c>
      <c r="B49" s="0" t="s">
        <v>273</v>
      </c>
      <c r="C49" s="0" t="s">
        <v>177</v>
      </c>
      <c r="D49" s="0" t="s">
        <v>275</v>
      </c>
      <c r="E49" s="0" t="n">
        <v>496</v>
      </c>
      <c r="F49" s="0" t="n">
        <v>9000</v>
      </c>
      <c r="G49" s="0" t="n">
        <f aca="false">E49*F49</f>
        <v>4464000</v>
      </c>
      <c r="H49" s="0" t="n">
        <f aca="false">SUMIFS(Quantites!$C$2:$C$1166,Quantites!$A$2:$A$1166,A49,Quantites!$B$2:$B$1166,"&lt;="&amp;Dates!$A$2)</f>
        <v>0</v>
      </c>
      <c r="I49" s="0" t="n">
        <f aca="false">MIN(H49,E49)*F49</f>
        <v>0</v>
      </c>
      <c r="J49" s="0" t="n">
        <f aca="false">IF(H49&gt;=E49-0.000001,1,0)</f>
        <v>0</v>
      </c>
      <c r="K49" s="0" t="n">
        <f aca="false">MAX(0,H49-E49)*F49</f>
        <v>0</v>
      </c>
      <c r="L49" s="0" t="n">
        <f aca="false">SUMIFS(Quantites!$C$2:$C$1166,Quantites!$A$2:$A$1166,A49,Quantites!$B$2:$B$1166,"&lt;="&amp;Dates!$A$3)</f>
        <v>496</v>
      </c>
      <c r="M49" s="0" t="n">
        <f aca="false">MIN(L49,E49)*F49</f>
        <v>4464000</v>
      </c>
      <c r="N49" s="0" t="n">
        <f aca="false">IF(L49&gt;=E49-0.000001,1,0)</f>
        <v>1</v>
      </c>
      <c r="O49" s="0" t="n">
        <f aca="false">MAX(0,L49-E49)*F49</f>
        <v>0</v>
      </c>
      <c r="P49" s="0" t="n">
        <f aca="false">SUMIFS(Quantites!$C$2:$C$1166,Quantites!$A$2:$A$1166,A49,Quantites!$B$2:$B$1166,"&lt;="&amp;Dates!$A$4)</f>
        <v>496</v>
      </c>
      <c r="Q49" s="0" t="n">
        <f aca="false">MIN(P49,E49)*F49</f>
        <v>4464000</v>
      </c>
      <c r="R49" s="0" t="n">
        <f aca="false">IF(P49&gt;=E49-0.000001,1,0)</f>
        <v>1</v>
      </c>
      <c r="S49" s="0" t="n">
        <f aca="false">MAX(0,P49-E49)*F49</f>
        <v>0</v>
      </c>
    </row>
    <row r="50" customFormat="false" ht="15" hidden="false" customHeight="false" outlineLevel="0" collapsed="false">
      <c r="A50" s="0" t="s">
        <v>135</v>
      </c>
      <c r="B50" s="0" t="s">
        <v>276</v>
      </c>
      <c r="C50" s="0" t="s">
        <v>177</v>
      </c>
      <c r="D50" s="0" t="s">
        <v>258</v>
      </c>
      <c r="E50" s="0" t="n">
        <v>11200</v>
      </c>
      <c r="F50" s="0" t="n">
        <v>900</v>
      </c>
      <c r="G50" s="0" t="n">
        <f aca="false">E50*F50</f>
        <v>10080000</v>
      </c>
      <c r="H50" s="0" t="n">
        <f aca="false">SUMIFS(Quantites!$C$2:$C$1166,Quantites!$A$2:$A$1166,A50,Quantites!$B$2:$B$1166,"&lt;="&amp;Dates!$A$2)</f>
        <v>0</v>
      </c>
      <c r="I50" s="0" t="n">
        <f aca="false">MIN(H50,E50)*F50</f>
        <v>0</v>
      </c>
      <c r="J50" s="0" t="n">
        <f aca="false">IF(H50&gt;=E50-0.000001,1,0)</f>
        <v>0</v>
      </c>
      <c r="K50" s="0" t="n">
        <f aca="false">MAX(0,H50-E50)*F50</f>
        <v>0</v>
      </c>
      <c r="L50" s="0" t="n">
        <f aca="false">SUMIFS(Quantites!$C$2:$C$1166,Quantites!$A$2:$A$1166,A50,Quantites!$B$2:$B$1166,"&lt;="&amp;Dates!$A$3)</f>
        <v>11200</v>
      </c>
      <c r="M50" s="0" t="n">
        <f aca="false">MIN(L50,E50)*F50</f>
        <v>10080000</v>
      </c>
      <c r="N50" s="0" t="n">
        <f aca="false">IF(L50&gt;=E50-0.000001,1,0)</f>
        <v>1</v>
      </c>
      <c r="O50" s="0" t="n">
        <f aca="false">MAX(0,L50-E50)*F50</f>
        <v>0</v>
      </c>
      <c r="P50" s="0" t="n">
        <f aca="false">SUMIFS(Quantites!$C$2:$C$1166,Quantites!$A$2:$A$1166,A50,Quantites!$B$2:$B$1166,"&lt;="&amp;Dates!$A$4)</f>
        <v>11200</v>
      </c>
      <c r="Q50" s="0" t="n">
        <f aca="false">MIN(P50,E50)*F50</f>
        <v>10080000</v>
      </c>
      <c r="R50" s="0" t="n">
        <f aca="false">IF(P50&gt;=E50-0.000001,1,0)</f>
        <v>1</v>
      </c>
      <c r="S50" s="0" t="n">
        <f aca="false">MAX(0,P50-E50)*F50</f>
        <v>0</v>
      </c>
    </row>
    <row r="51" customFormat="false" ht="15" hidden="false" customHeight="false" outlineLevel="0" collapsed="false">
      <c r="A51" s="0" t="s">
        <v>134</v>
      </c>
      <c r="B51" s="0" t="s">
        <v>276</v>
      </c>
      <c r="C51" s="0" t="s">
        <v>177</v>
      </c>
      <c r="D51" s="0" t="s">
        <v>277</v>
      </c>
      <c r="E51" s="0" t="n">
        <v>112</v>
      </c>
      <c r="F51" s="0" t="n">
        <v>110000</v>
      </c>
      <c r="G51" s="0" t="n">
        <f aca="false">E51*F51</f>
        <v>12320000</v>
      </c>
      <c r="H51" s="0" t="n">
        <f aca="false">SUMIFS(Quantites!$C$2:$C$1166,Quantites!$A$2:$A$1166,A51,Quantites!$B$2:$B$1166,"&lt;="&amp;Dates!$A$2)</f>
        <v>0</v>
      </c>
      <c r="I51" s="0" t="n">
        <f aca="false">MIN(H51,E51)*F51</f>
        <v>0</v>
      </c>
      <c r="J51" s="0" t="n">
        <f aca="false">IF(H51&gt;=E51-0.000001,1,0)</f>
        <v>0</v>
      </c>
      <c r="K51" s="0" t="n">
        <f aca="false">MAX(0,H51-E51)*F51</f>
        <v>0</v>
      </c>
      <c r="L51" s="0" t="n">
        <f aca="false">SUMIFS(Quantites!$C$2:$C$1166,Quantites!$A$2:$A$1166,A51,Quantites!$B$2:$B$1166,"&lt;="&amp;Dates!$A$3)</f>
        <v>112</v>
      </c>
      <c r="M51" s="0" t="n">
        <f aca="false">MIN(L51,E51)*F51</f>
        <v>12320000</v>
      </c>
      <c r="N51" s="0" t="n">
        <f aca="false">IF(L51&gt;=E51-0.000001,1,0)</f>
        <v>1</v>
      </c>
      <c r="O51" s="0" t="n">
        <f aca="false">MAX(0,L51-E51)*F51</f>
        <v>0</v>
      </c>
      <c r="P51" s="0" t="n">
        <f aca="false">SUMIFS(Quantites!$C$2:$C$1166,Quantites!$A$2:$A$1166,A51,Quantites!$B$2:$B$1166,"&lt;="&amp;Dates!$A$4)</f>
        <v>112</v>
      </c>
      <c r="Q51" s="0" t="n">
        <f aca="false">MIN(P51,E51)*F51</f>
        <v>12320000</v>
      </c>
      <c r="R51" s="0" t="n">
        <f aca="false">IF(P51&gt;=E51-0.000001,1,0)</f>
        <v>1</v>
      </c>
      <c r="S51" s="0" t="n">
        <f aca="false">MAX(0,P51-E51)*F51</f>
        <v>0</v>
      </c>
    </row>
    <row r="52" customFormat="false" ht="15" hidden="false" customHeight="false" outlineLevel="0" collapsed="false">
      <c r="A52" s="0" t="s">
        <v>136</v>
      </c>
      <c r="B52" s="0" t="s">
        <v>276</v>
      </c>
      <c r="C52" s="0" t="s">
        <v>177</v>
      </c>
      <c r="D52" s="0" t="s">
        <v>278</v>
      </c>
      <c r="E52" s="0" t="n">
        <v>578</v>
      </c>
      <c r="F52" s="0" t="n">
        <v>11500</v>
      </c>
      <c r="G52" s="0" t="n">
        <f aca="false">E52*F52</f>
        <v>6647000</v>
      </c>
      <c r="H52" s="0" t="n">
        <f aca="false">SUMIFS(Quantites!$C$2:$C$1166,Quantites!$A$2:$A$1166,A52,Quantites!$B$2:$B$1166,"&lt;="&amp;Dates!$A$2)</f>
        <v>0</v>
      </c>
      <c r="I52" s="0" t="n">
        <f aca="false">MIN(H52,E52)*F52</f>
        <v>0</v>
      </c>
      <c r="J52" s="0" t="n">
        <f aca="false">IF(H52&gt;=E52-0.000001,1,0)</f>
        <v>0</v>
      </c>
      <c r="K52" s="0" t="n">
        <f aca="false">MAX(0,H52-E52)*F52</f>
        <v>0</v>
      </c>
      <c r="L52" s="0" t="n">
        <f aca="false">SUMIFS(Quantites!$C$2:$C$1166,Quantites!$A$2:$A$1166,A52,Quantites!$B$2:$B$1166,"&lt;="&amp;Dates!$A$3)</f>
        <v>578</v>
      </c>
      <c r="M52" s="0" t="n">
        <f aca="false">MIN(L52,E52)*F52</f>
        <v>6647000</v>
      </c>
      <c r="N52" s="0" t="n">
        <f aca="false">IF(L52&gt;=E52-0.000001,1,0)</f>
        <v>1</v>
      </c>
      <c r="O52" s="0" t="n">
        <f aca="false">MAX(0,L52-E52)*F52</f>
        <v>0</v>
      </c>
      <c r="P52" s="0" t="n">
        <f aca="false">SUMIFS(Quantites!$C$2:$C$1166,Quantites!$A$2:$A$1166,A52,Quantites!$B$2:$B$1166,"&lt;="&amp;Dates!$A$4)</f>
        <v>578</v>
      </c>
      <c r="Q52" s="0" t="n">
        <f aca="false">MIN(P52,E52)*F52</f>
        <v>6647000</v>
      </c>
      <c r="R52" s="0" t="n">
        <f aca="false">IF(P52&gt;=E52-0.000001,1,0)</f>
        <v>1</v>
      </c>
      <c r="S52" s="0" t="n">
        <f aca="false">MAX(0,P52-E52)*F52</f>
        <v>0</v>
      </c>
    </row>
    <row r="53" customFormat="false" ht="15" hidden="false" customHeight="false" outlineLevel="0" collapsed="false">
      <c r="A53" s="0" t="s">
        <v>143</v>
      </c>
      <c r="B53" s="0" t="s">
        <v>279</v>
      </c>
      <c r="C53" s="0" t="s">
        <v>177</v>
      </c>
      <c r="D53" s="0" t="s">
        <v>258</v>
      </c>
      <c r="E53" s="0" t="n">
        <v>6100</v>
      </c>
      <c r="F53" s="0" t="n">
        <v>900</v>
      </c>
      <c r="G53" s="0" t="n">
        <f aca="false">E53*F53</f>
        <v>5490000</v>
      </c>
      <c r="H53" s="0" t="n">
        <f aca="false">SUMIFS(Quantites!$C$2:$C$1166,Quantites!$A$2:$A$1166,A53,Quantites!$B$2:$B$1166,"&lt;="&amp;Dates!$A$2)</f>
        <v>0</v>
      </c>
      <c r="I53" s="0" t="n">
        <f aca="false">MIN(H53,E53)*F53</f>
        <v>0</v>
      </c>
      <c r="J53" s="0" t="n">
        <f aca="false">IF(H53&gt;=E53-0.000001,1,0)</f>
        <v>0</v>
      </c>
      <c r="K53" s="0" t="n">
        <f aca="false">MAX(0,H53-E53)*F53</f>
        <v>0</v>
      </c>
      <c r="L53" s="0" t="n">
        <f aca="false">SUMIFS(Quantites!$C$2:$C$1166,Quantites!$A$2:$A$1166,A53,Quantites!$B$2:$B$1166,"&lt;="&amp;Dates!$A$3)</f>
        <v>2825.285</v>
      </c>
      <c r="M53" s="0" t="n">
        <f aca="false">MIN(L53,E53)*F53</f>
        <v>2542756.5</v>
      </c>
      <c r="N53" s="0" t="n">
        <f aca="false">IF(L53&gt;=E53-0.000001,1,0)</f>
        <v>0</v>
      </c>
      <c r="O53" s="0" t="n">
        <f aca="false">MAX(0,L53-E53)*F53</f>
        <v>0</v>
      </c>
      <c r="P53" s="0" t="n">
        <f aca="false">SUMIFS(Quantites!$C$2:$C$1166,Quantites!$A$2:$A$1166,A53,Quantites!$B$2:$B$1166,"&lt;="&amp;Dates!$A$4)</f>
        <v>6100</v>
      </c>
      <c r="Q53" s="0" t="n">
        <f aca="false">MIN(P53,E53)*F53</f>
        <v>5490000</v>
      </c>
      <c r="R53" s="0" t="n">
        <f aca="false">IF(P53&gt;=E53-0.000001,1,0)</f>
        <v>1</v>
      </c>
      <c r="S53" s="0" t="n">
        <f aca="false">MAX(0,P53-E53)*F53</f>
        <v>0</v>
      </c>
    </row>
    <row r="54" customFormat="false" ht="15" hidden="false" customHeight="false" outlineLevel="0" collapsed="false">
      <c r="A54" s="0" t="s">
        <v>144</v>
      </c>
      <c r="B54" s="0" t="s">
        <v>279</v>
      </c>
      <c r="C54" s="0" t="s">
        <v>177</v>
      </c>
      <c r="D54" s="0" t="s">
        <v>271</v>
      </c>
      <c r="E54" s="0" t="n">
        <v>44</v>
      </c>
      <c r="F54" s="0" t="n">
        <v>110000</v>
      </c>
      <c r="G54" s="0" t="n">
        <f aca="false">E54*F54</f>
        <v>4840000</v>
      </c>
      <c r="H54" s="0" t="n">
        <f aca="false">SUMIFS(Quantites!$C$2:$C$1166,Quantites!$A$2:$A$1166,A54,Quantites!$B$2:$B$1166,"&lt;="&amp;Dates!$A$2)</f>
        <v>0</v>
      </c>
      <c r="I54" s="0" t="n">
        <f aca="false">MIN(H54,E54)*F54</f>
        <v>0</v>
      </c>
      <c r="J54" s="0" t="n">
        <f aca="false">IF(H54&gt;=E54-0.000001,1,0)</f>
        <v>0</v>
      </c>
      <c r="K54" s="0" t="n">
        <f aca="false">MAX(0,H54-E54)*F54</f>
        <v>0</v>
      </c>
      <c r="L54" s="0" t="n">
        <f aca="false">SUMIFS(Quantites!$C$2:$C$1166,Quantites!$A$2:$A$1166,A54,Quantites!$B$2:$B$1166,"&lt;="&amp;Dates!$A$3)</f>
        <v>20.379</v>
      </c>
      <c r="M54" s="0" t="n">
        <f aca="false">MIN(L54,E54)*F54</f>
        <v>2241690</v>
      </c>
      <c r="N54" s="0" t="n">
        <f aca="false">IF(L54&gt;=E54-0.000001,1,0)</f>
        <v>0</v>
      </c>
      <c r="O54" s="0" t="n">
        <f aca="false">MAX(0,L54-E54)*F54</f>
        <v>0</v>
      </c>
      <c r="P54" s="0" t="n">
        <f aca="false">SUMIFS(Quantites!$C$2:$C$1166,Quantites!$A$2:$A$1166,A54,Quantites!$B$2:$B$1166,"&lt;="&amp;Dates!$A$4)</f>
        <v>44</v>
      </c>
      <c r="Q54" s="0" t="n">
        <f aca="false">MIN(P54,E54)*F54</f>
        <v>4840000</v>
      </c>
      <c r="R54" s="0" t="n">
        <f aca="false">IF(P54&gt;=E54-0.000001,1,0)</f>
        <v>1</v>
      </c>
      <c r="S54" s="0" t="n">
        <f aca="false">MAX(0,P54-E54)*F54</f>
        <v>0</v>
      </c>
    </row>
    <row r="55" customFormat="false" ht="15" hidden="false" customHeight="false" outlineLevel="0" collapsed="false">
      <c r="A55" s="0" t="s">
        <v>142</v>
      </c>
      <c r="B55" s="0" t="s">
        <v>279</v>
      </c>
      <c r="C55" s="0" t="s">
        <v>177</v>
      </c>
      <c r="D55" s="0" t="s">
        <v>272</v>
      </c>
      <c r="E55" s="0" t="n">
        <v>376</v>
      </c>
      <c r="F55" s="0" t="n">
        <v>9000</v>
      </c>
      <c r="G55" s="0" t="n">
        <f aca="false">E55*F55</f>
        <v>3384000</v>
      </c>
      <c r="H55" s="0" t="n">
        <f aca="false">SUMIFS(Quantites!$C$2:$C$1166,Quantites!$A$2:$A$1166,A55,Quantites!$B$2:$B$1166,"&lt;="&amp;Dates!$A$2)</f>
        <v>0</v>
      </c>
      <c r="I55" s="0" t="n">
        <f aca="false">MIN(H55,E55)*F55</f>
        <v>0</v>
      </c>
      <c r="J55" s="0" t="n">
        <f aca="false">IF(H55&gt;=E55-0.000001,1,0)</f>
        <v>0</v>
      </c>
      <c r="K55" s="0" t="n">
        <f aca="false">MAX(0,H55-E55)*F55</f>
        <v>0</v>
      </c>
      <c r="L55" s="0" t="n">
        <f aca="false">SUMIFS(Quantites!$C$2:$C$1166,Quantites!$A$2:$A$1166,A55,Quantites!$B$2:$B$1166,"&lt;="&amp;Dates!$A$3)</f>
        <v>174.149</v>
      </c>
      <c r="M55" s="0" t="n">
        <f aca="false">MIN(L55,E55)*F55</f>
        <v>1567341</v>
      </c>
      <c r="N55" s="0" t="n">
        <f aca="false">IF(L55&gt;=E55-0.000001,1,0)</f>
        <v>0</v>
      </c>
      <c r="O55" s="0" t="n">
        <f aca="false">MAX(0,L55-E55)*F55</f>
        <v>0</v>
      </c>
      <c r="P55" s="0" t="n">
        <f aca="false">SUMIFS(Quantites!$C$2:$C$1166,Quantites!$A$2:$A$1166,A55,Quantites!$B$2:$B$1166,"&lt;="&amp;Dates!$A$4)</f>
        <v>376</v>
      </c>
      <c r="Q55" s="0" t="n">
        <f aca="false">MIN(P55,E55)*F55</f>
        <v>3384000</v>
      </c>
      <c r="R55" s="0" t="n">
        <f aca="false">IF(P55&gt;=E55-0.000001,1,0)</f>
        <v>1</v>
      </c>
      <c r="S55" s="0" t="n">
        <f aca="false">MAX(0,P55-E55)*F55</f>
        <v>0</v>
      </c>
    </row>
    <row r="56" customFormat="false" ht="15" hidden="false" customHeight="false" outlineLevel="0" collapsed="false">
      <c r="A56" s="0" t="s">
        <v>147</v>
      </c>
      <c r="B56" s="0" t="s">
        <v>280</v>
      </c>
      <c r="C56" s="0" t="s">
        <v>177</v>
      </c>
      <c r="D56" s="0" t="s">
        <v>258</v>
      </c>
      <c r="E56" s="0" t="n">
        <v>7500</v>
      </c>
      <c r="F56" s="0" t="n">
        <v>900</v>
      </c>
      <c r="G56" s="0" t="n">
        <f aca="false">E56*F56</f>
        <v>6750000</v>
      </c>
      <c r="H56" s="0" t="n">
        <f aca="false">SUMIFS(Quantites!$C$2:$C$1166,Quantites!$A$2:$A$1166,A56,Quantites!$B$2:$B$1166,"&lt;="&amp;Dates!$A$2)</f>
        <v>0</v>
      </c>
      <c r="I56" s="0" t="n">
        <f aca="false">MIN(H56,E56)*F56</f>
        <v>0</v>
      </c>
      <c r="J56" s="0" t="n">
        <f aca="false">IF(H56&gt;=E56-0.000001,1,0)</f>
        <v>0</v>
      </c>
      <c r="K56" s="0" t="n">
        <f aca="false">MAX(0,H56-E56)*F56</f>
        <v>0</v>
      </c>
      <c r="L56" s="0" t="n">
        <f aca="false">SUMIFS(Quantites!$C$2:$C$1166,Quantites!$A$2:$A$1166,A56,Quantites!$B$2:$B$1166,"&lt;="&amp;Dates!$A$3)</f>
        <v>1112.374</v>
      </c>
      <c r="M56" s="0" t="n">
        <f aca="false">MIN(L56,E56)*F56</f>
        <v>1001136.6</v>
      </c>
      <c r="N56" s="0" t="n">
        <f aca="false">IF(L56&gt;=E56-0.000001,1,0)</f>
        <v>0</v>
      </c>
      <c r="O56" s="0" t="n">
        <f aca="false">MAX(0,L56-E56)*F56</f>
        <v>0</v>
      </c>
      <c r="P56" s="0" t="n">
        <f aca="false">SUMIFS(Quantites!$C$2:$C$1166,Quantites!$A$2:$A$1166,A56,Quantites!$B$2:$B$1166,"&lt;="&amp;Dates!$A$4)</f>
        <v>7500</v>
      </c>
      <c r="Q56" s="0" t="n">
        <f aca="false">MIN(P56,E56)*F56</f>
        <v>6750000</v>
      </c>
      <c r="R56" s="0" t="n">
        <f aca="false">IF(P56&gt;=E56-0.000001,1,0)</f>
        <v>1</v>
      </c>
      <c r="S56" s="0" t="n">
        <f aca="false">MAX(0,P56-E56)*F56</f>
        <v>0</v>
      </c>
    </row>
    <row r="57" customFormat="false" ht="15" hidden="false" customHeight="false" outlineLevel="0" collapsed="false">
      <c r="A57" s="0" t="s">
        <v>145</v>
      </c>
      <c r="B57" s="0" t="s">
        <v>280</v>
      </c>
      <c r="C57" s="0" t="s">
        <v>177</v>
      </c>
      <c r="D57" s="0" t="s">
        <v>274</v>
      </c>
      <c r="E57" s="0" t="n">
        <v>60</v>
      </c>
      <c r="F57" s="0" t="n">
        <v>110000</v>
      </c>
      <c r="G57" s="0" t="n">
        <f aca="false">E57*F57</f>
        <v>6600000</v>
      </c>
      <c r="H57" s="0" t="n">
        <f aca="false">SUMIFS(Quantites!$C$2:$C$1166,Quantites!$A$2:$A$1166,A57,Quantites!$B$2:$B$1166,"&lt;="&amp;Dates!$A$2)</f>
        <v>0</v>
      </c>
      <c r="I57" s="0" t="n">
        <f aca="false">MIN(H57,E57)*F57</f>
        <v>0</v>
      </c>
      <c r="J57" s="0" t="n">
        <f aca="false">IF(H57&gt;=E57-0.000001,1,0)</f>
        <v>0</v>
      </c>
      <c r="K57" s="0" t="n">
        <f aca="false">MAX(0,H57-E57)*F57</f>
        <v>0</v>
      </c>
      <c r="L57" s="0" t="n">
        <f aca="false">SUMIFS(Quantites!$C$2:$C$1166,Quantites!$A$2:$A$1166,A57,Quantites!$B$2:$B$1166,"&lt;="&amp;Dates!$A$3)</f>
        <v>8.899</v>
      </c>
      <c r="M57" s="0" t="n">
        <f aca="false">MIN(L57,E57)*F57</f>
        <v>978890</v>
      </c>
      <c r="N57" s="0" t="n">
        <f aca="false">IF(L57&gt;=E57-0.000001,1,0)</f>
        <v>0</v>
      </c>
      <c r="O57" s="0" t="n">
        <f aca="false">MAX(0,L57-E57)*F57</f>
        <v>0</v>
      </c>
      <c r="P57" s="0" t="n">
        <f aca="false">SUMIFS(Quantites!$C$2:$C$1166,Quantites!$A$2:$A$1166,A57,Quantites!$B$2:$B$1166,"&lt;="&amp;Dates!$A$4)</f>
        <v>60</v>
      </c>
      <c r="Q57" s="0" t="n">
        <f aca="false">MIN(P57,E57)*F57</f>
        <v>6600000</v>
      </c>
      <c r="R57" s="0" t="n">
        <f aca="false">IF(P57&gt;=E57-0.000001,1,0)</f>
        <v>1</v>
      </c>
      <c r="S57" s="0" t="n">
        <f aca="false">MAX(0,P57-E57)*F57</f>
        <v>0</v>
      </c>
    </row>
    <row r="58" customFormat="false" ht="15" hidden="false" customHeight="false" outlineLevel="0" collapsed="false">
      <c r="A58" s="0" t="s">
        <v>146</v>
      </c>
      <c r="B58" s="0" t="s">
        <v>280</v>
      </c>
      <c r="C58" s="0" t="s">
        <v>177</v>
      </c>
      <c r="D58" s="0" t="s">
        <v>275</v>
      </c>
      <c r="E58" s="0" t="n">
        <v>482</v>
      </c>
      <c r="F58" s="0" t="n">
        <v>9000</v>
      </c>
      <c r="G58" s="0" t="n">
        <f aca="false">E58*F58</f>
        <v>4338000</v>
      </c>
      <c r="H58" s="0" t="n">
        <f aca="false">SUMIFS(Quantites!$C$2:$C$1166,Quantites!$A$2:$A$1166,A58,Quantites!$B$2:$B$1166,"&lt;="&amp;Dates!$A$2)</f>
        <v>0</v>
      </c>
      <c r="I58" s="0" t="n">
        <f aca="false">MIN(H58,E58)*F58</f>
        <v>0</v>
      </c>
      <c r="J58" s="0" t="n">
        <f aca="false">IF(H58&gt;=E58-0.000001,1,0)</f>
        <v>0</v>
      </c>
      <c r="K58" s="0" t="n">
        <f aca="false">MAX(0,H58-E58)*F58</f>
        <v>0</v>
      </c>
      <c r="L58" s="0" t="n">
        <f aca="false">SUMIFS(Quantites!$C$2:$C$1166,Quantites!$A$2:$A$1166,A58,Quantites!$B$2:$B$1166,"&lt;="&amp;Dates!$A$3)</f>
        <v>71.489</v>
      </c>
      <c r="M58" s="0" t="n">
        <f aca="false">MIN(L58,E58)*F58</f>
        <v>643401</v>
      </c>
      <c r="N58" s="0" t="n">
        <f aca="false">IF(L58&gt;=E58-0.000001,1,0)</f>
        <v>0</v>
      </c>
      <c r="O58" s="0" t="n">
        <f aca="false">MAX(0,L58-E58)*F58</f>
        <v>0</v>
      </c>
      <c r="P58" s="0" t="n">
        <f aca="false">SUMIFS(Quantites!$C$2:$C$1166,Quantites!$A$2:$A$1166,A58,Quantites!$B$2:$B$1166,"&lt;="&amp;Dates!$A$4)</f>
        <v>482</v>
      </c>
      <c r="Q58" s="0" t="n">
        <f aca="false">MIN(P58,E58)*F58</f>
        <v>4338000</v>
      </c>
      <c r="R58" s="0" t="n">
        <f aca="false">IF(P58&gt;=E58-0.000001,1,0)</f>
        <v>1</v>
      </c>
      <c r="S58" s="0" t="n">
        <f aca="false">MAX(0,P58-E58)*F58</f>
        <v>0</v>
      </c>
    </row>
    <row r="59" customFormat="false" ht="15" hidden="false" customHeight="false" outlineLevel="0" collapsed="false">
      <c r="A59" s="0" t="s">
        <v>151</v>
      </c>
      <c r="B59" s="0" t="s">
        <v>281</v>
      </c>
      <c r="C59" s="0" t="s">
        <v>177</v>
      </c>
      <c r="D59" s="0" t="s">
        <v>258</v>
      </c>
      <c r="E59" s="0" t="n">
        <v>11000</v>
      </c>
      <c r="F59" s="0" t="n">
        <v>900</v>
      </c>
      <c r="G59" s="0" t="n">
        <f aca="false">E59*F59</f>
        <v>9900000</v>
      </c>
      <c r="H59" s="0" t="n">
        <f aca="false">SUMIFS(Quantites!$C$2:$C$1166,Quantites!$A$2:$A$1166,A59,Quantites!$B$2:$B$1166,"&lt;="&amp;Dates!$A$2)</f>
        <v>0</v>
      </c>
      <c r="I59" s="0" t="n">
        <f aca="false">MIN(H59,E59)*F59</f>
        <v>0</v>
      </c>
      <c r="J59" s="0" t="n">
        <f aca="false">IF(H59&gt;=E59-0.000001,1,0)</f>
        <v>0</v>
      </c>
      <c r="K59" s="0" t="n">
        <f aca="false">MAX(0,H59-E59)*F59</f>
        <v>0</v>
      </c>
      <c r="L59" s="0" t="n">
        <f aca="false">SUMIFS(Quantites!$C$2:$C$1166,Quantites!$A$2:$A$1166,A59,Quantites!$B$2:$B$1166,"&lt;="&amp;Dates!$A$3)</f>
        <v>0</v>
      </c>
      <c r="M59" s="0" t="n">
        <f aca="false">MIN(L59,E59)*F59</f>
        <v>0</v>
      </c>
      <c r="N59" s="0" t="n">
        <f aca="false">IF(L59&gt;=E59-0.000001,1,0)</f>
        <v>0</v>
      </c>
      <c r="O59" s="0" t="n">
        <f aca="false">MAX(0,L59-E59)*F59</f>
        <v>0</v>
      </c>
      <c r="P59" s="0" t="n">
        <f aca="false">SUMIFS(Quantites!$C$2:$C$1166,Quantites!$A$2:$A$1166,A59,Quantites!$B$2:$B$1166,"&lt;="&amp;Dates!$A$4)</f>
        <v>11000</v>
      </c>
      <c r="Q59" s="0" t="n">
        <f aca="false">MIN(P59,E59)*F59</f>
        <v>9900000</v>
      </c>
      <c r="R59" s="0" t="n">
        <f aca="false">IF(P59&gt;=E59-0.000001,1,0)</f>
        <v>1</v>
      </c>
      <c r="S59" s="0" t="n">
        <f aca="false">MAX(0,P59-E59)*F59</f>
        <v>0</v>
      </c>
    </row>
    <row r="60" customFormat="false" ht="15" hidden="false" customHeight="false" outlineLevel="0" collapsed="false">
      <c r="A60" s="0" t="s">
        <v>152</v>
      </c>
      <c r="B60" s="0" t="s">
        <v>281</v>
      </c>
      <c r="C60" s="0" t="s">
        <v>177</v>
      </c>
      <c r="D60" s="0" t="s">
        <v>277</v>
      </c>
      <c r="E60" s="0" t="n">
        <v>110</v>
      </c>
      <c r="F60" s="0" t="n">
        <v>110000</v>
      </c>
      <c r="G60" s="0" t="n">
        <f aca="false">E60*F60</f>
        <v>12100000</v>
      </c>
      <c r="H60" s="0" t="n">
        <f aca="false">SUMIFS(Quantites!$C$2:$C$1166,Quantites!$A$2:$A$1166,A60,Quantites!$B$2:$B$1166,"&lt;="&amp;Dates!$A$2)</f>
        <v>0</v>
      </c>
      <c r="I60" s="0" t="n">
        <f aca="false">MIN(H60,E60)*F60</f>
        <v>0</v>
      </c>
      <c r="J60" s="0" t="n">
        <f aca="false">IF(H60&gt;=E60-0.000001,1,0)</f>
        <v>0</v>
      </c>
      <c r="K60" s="0" t="n">
        <f aca="false">MAX(0,H60-E60)*F60</f>
        <v>0</v>
      </c>
      <c r="L60" s="0" t="n">
        <f aca="false">SUMIFS(Quantites!$C$2:$C$1166,Quantites!$A$2:$A$1166,A60,Quantites!$B$2:$B$1166,"&lt;="&amp;Dates!$A$3)</f>
        <v>0</v>
      </c>
      <c r="M60" s="0" t="n">
        <f aca="false">MIN(L60,E60)*F60</f>
        <v>0</v>
      </c>
      <c r="N60" s="0" t="n">
        <f aca="false">IF(L60&gt;=E60-0.000001,1,0)</f>
        <v>0</v>
      </c>
      <c r="O60" s="0" t="n">
        <f aca="false">MAX(0,L60-E60)*F60</f>
        <v>0</v>
      </c>
      <c r="P60" s="0" t="n">
        <f aca="false">SUMIFS(Quantites!$C$2:$C$1166,Quantites!$A$2:$A$1166,A60,Quantites!$B$2:$B$1166,"&lt;="&amp;Dates!$A$4)</f>
        <v>110</v>
      </c>
      <c r="Q60" s="0" t="n">
        <f aca="false">MIN(P60,E60)*F60</f>
        <v>12100000</v>
      </c>
      <c r="R60" s="0" t="n">
        <f aca="false">IF(P60&gt;=E60-0.000001,1,0)</f>
        <v>1</v>
      </c>
      <c r="S60" s="0" t="n">
        <f aca="false">MAX(0,P60-E60)*F60</f>
        <v>0</v>
      </c>
    </row>
    <row r="61" customFormat="false" ht="15" hidden="false" customHeight="false" outlineLevel="0" collapsed="false">
      <c r="A61" s="0" t="s">
        <v>155</v>
      </c>
      <c r="B61" s="0" t="s">
        <v>281</v>
      </c>
      <c r="C61" s="0" t="s">
        <v>177</v>
      </c>
      <c r="D61" s="0" t="s">
        <v>278</v>
      </c>
      <c r="E61" s="0" t="n">
        <v>566</v>
      </c>
      <c r="F61" s="0" t="n">
        <v>11500</v>
      </c>
      <c r="G61" s="0" t="n">
        <f aca="false">E61*F61</f>
        <v>6509000</v>
      </c>
      <c r="H61" s="0" t="n">
        <f aca="false">SUMIFS(Quantites!$C$2:$C$1166,Quantites!$A$2:$A$1166,A61,Quantites!$B$2:$B$1166,"&lt;="&amp;Dates!$A$2)</f>
        <v>0</v>
      </c>
      <c r="I61" s="0" t="n">
        <f aca="false">MIN(H61,E61)*F61</f>
        <v>0</v>
      </c>
      <c r="J61" s="0" t="n">
        <f aca="false">IF(H61&gt;=E61-0.000001,1,0)</f>
        <v>0</v>
      </c>
      <c r="K61" s="0" t="n">
        <f aca="false">MAX(0,H61-E61)*F61</f>
        <v>0</v>
      </c>
      <c r="L61" s="0" t="n">
        <f aca="false">SUMIFS(Quantites!$C$2:$C$1166,Quantites!$A$2:$A$1166,A61,Quantites!$B$2:$B$1166,"&lt;="&amp;Dates!$A$3)</f>
        <v>0</v>
      </c>
      <c r="M61" s="0" t="n">
        <f aca="false">MIN(L61,E61)*F61</f>
        <v>0</v>
      </c>
      <c r="N61" s="0" t="n">
        <f aca="false">IF(L61&gt;=E61-0.000001,1,0)</f>
        <v>0</v>
      </c>
      <c r="O61" s="0" t="n">
        <f aca="false">MAX(0,L61-E61)*F61</f>
        <v>0</v>
      </c>
      <c r="P61" s="0" t="n">
        <f aca="false">SUMIFS(Quantites!$C$2:$C$1166,Quantites!$A$2:$A$1166,A61,Quantites!$B$2:$B$1166,"&lt;="&amp;Dates!$A$4)</f>
        <v>566</v>
      </c>
      <c r="Q61" s="0" t="n">
        <f aca="false">MIN(P61,E61)*F61</f>
        <v>6509000</v>
      </c>
      <c r="R61" s="0" t="n">
        <f aca="false">IF(P61&gt;=E61-0.000001,1,0)</f>
        <v>1</v>
      </c>
      <c r="S61" s="0" t="n">
        <f aca="false">MAX(0,P61-E61)*F61</f>
        <v>0</v>
      </c>
    </row>
    <row r="62" customFormat="false" ht="15" hidden="false" customHeight="false" outlineLevel="0" collapsed="false">
      <c r="A62" s="0" t="s">
        <v>157</v>
      </c>
      <c r="B62" s="0" t="s">
        <v>282</v>
      </c>
      <c r="C62" s="0" t="s">
        <v>177</v>
      </c>
      <c r="D62" s="0" t="s">
        <v>258</v>
      </c>
      <c r="E62" s="0" t="n">
        <v>6100</v>
      </c>
      <c r="F62" s="0" t="n">
        <v>900</v>
      </c>
      <c r="G62" s="0" t="n">
        <f aca="false">E62*F62</f>
        <v>5490000</v>
      </c>
      <c r="H62" s="0" t="n">
        <f aca="false">SUMIFS(Quantites!$C$2:$C$1166,Quantites!$A$2:$A$1166,A62,Quantites!$B$2:$B$1166,"&lt;="&amp;Dates!$A$2)</f>
        <v>0</v>
      </c>
      <c r="I62" s="0" t="n">
        <f aca="false">MIN(H62,E62)*F62</f>
        <v>0</v>
      </c>
      <c r="J62" s="0" t="n">
        <f aca="false">IF(H62&gt;=E62-0.000001,1,0)</f>
        <v>0</v>
      </c>
      <c r="K62" s="0" t="n">
        <f aca="false">MAX(0,H62-E62)*F62</f>
        <v>0</v>
      </c>
      <c r="L62" s="0" t="n">
        <f aca="false">SUMIFS(Quantites!$C$2:$C$1166,Quantites!$A$2:$A$1166,A62,Quantites!$B$2:$B$1166,"&lt;="&amp;Dates!$A$3)</f>
        <v>0</v>
      </c>
      <c r="M62" s="0" t="n">
        <f aca="false">MIN(L62,E62)*F62</f>
        <v>0</v>
      </c>
      <c r="N62" s="0" t="n">
        <f aca="false">IF(L62&gt;=E62-0.000001,1,0)</f>
        <v>0</v>
      </c>
      <c r="O62" s="0" t="n">
        <f aca="false">MAX(0,L62-E62)*F62</f>
        <v>0</v>
      </c>
      <c r="P62" s="0" t="n">
        <f aca="false">SUMIFS(Quantites!$C$2:$C$1166,Quantites!$A$2:$A$1166,A62,Quantites!$B$2:$B$1166,"&lt;="&amp;Dates!$A$4)</f>
        <v>6100</v>
      </c>
      <c r="Q62" s="0" t="n">
        <f aca="false">MIN(P62,E62)*F62</f>
        <v>5490000</v>
      </c>
      <c r="R62" s="0" t="n">
        <f aca="false">IF(P62&gt;=E62-0.000001,1,0)</f>
        <v>1</v>
      </c>
      <c r="S62" s="0" t="n">
        <f aca="false">MAX(0,P62-E62)*F62</f>
        <v>0</v>
      </c>
    </row>
    <row r="63" customFormat="false" ht="15" hidden="false" customHeight="false" outlineLevel="0" collapsed="false">
      <c r="A63" s="0" t="s">
        <v>156</v>
      </c>
      <c r="B63" s="0" t="s">
        <v>282</v>
      </c>
      <c r="C63" s="0" t="s">
        <v>177</v>
      </c>
      <c r="D63" s="0" t="s">
        <v>271</v>
      </c>
      <c r="E63" s="0" t="n">
        <v>44</v>
      </c>
      <c r="F63" s="0" t="n">
        <v>110000</v>
      </c>
      <c r="G63" s="0" t="n">
        <f aca="false">E63*F63</f>
        <v>4840000</v>
      </c>
      <c r="H63" s="0" t="n">
        <f aca="false">SUMIFS(Quantites!$C$2:$C$1166,Quantites!$A$2:$A$1166,A63,Quantites!$B$2:$B$1166,"&lt;="&amp;Dates!$A$2)</f>
        <v>0</v>
      </c>
      <c r="I63" s="0" t="n">
        <f aca="false">MIN(H63,E63)*F63</f>
        <v>0</v>
      </c>
      <c r="J63" s="0" t="n">
        <f aca="false">IF(H63&gt;=E63-0.000001,1,0)</f>
        <v>0</v>
      </c>
      <c r="K63" s="0" t="n">
        <f aca="false">MAX(0,H63-E63)*F63</f>
        <v>0</v>
      </c>
      <c r="L63" s="0" t="n">
        <f aca="false">SUMIFS(Quantites!$C$2:$C$1166,Quantites!$A$2:$A$1166,A63,Quantites!$B$2:$B$1166,"&lt;="&amp;Dates!$A$3)</f>
        <v>0</v>
      </c>
      <c r="M63" s="0" t="n">
        <f aca="false">MIN(L63,E63)*F63</f>
        <v>0</v>
      </c>
      <c r="N63" s="0" t="n">
        <f aca="false">IF(L63&gt;=E63-0.000001,1,0)</f>
        <v>0</v>
      </c>
      <c r="O63" s="0" t="n">
        <f aca="false">MAX(0,L63-E63)*F63</f>
        <v>0</v>
      </c>
      <c r="P63" s="0" t="n">
        <f aca="false">SUMIFS(Quantites!$C$2:$C$1166,Quantites!$A$2:$A$1166,A63,Quantites!$B$2:$B$1166,"&lt;="&amp;Dates!$A$4)</f>
        <v>44</v>
      </c>
      <c r="Q63" s="0" t="n">
        <f aca="false">MIN(P63,E63)*F63</f>
        <v>4840000</v>
      </c>
      <c r="R63" s="0" t="n">
        <f aca="false">IF(P63&gt;=E63-0.000001,1,0)</f>
        <v>1</v>
      </c>
      <c r="S63" s="0" t="n">
        <f aca="false">MAX(0,P63-E63)*F63</f>
        <v>0</v>
      </c>
    </row>
    <row r="64" customFormat="false" ht="15" hidden="false" customHeight="false" outlineLevel="0" collapsed="false">
      <c r="A64" s="0" t="s">
        <v>158</v>
      </c>
      <c r="B64" s="0" t="s">
        <v>282</v>
      </c>
      <c r="C64" s="0" t="s">
        <v>177</v>
      </c>
      <c r="D64" s="0" t="s">
        <v>272</v>
      </c>
      <c r="E64" s="0" t="n">
        <v>376</v>
      </c>
      <c r="F64" s="0" t="n">
        <v>9000</v>
      </c>
      <c r="G64" s="0" t="n">
        <f aca="false">E64*F64</f>
        <v>3384000</v>
      </c>
      <c r="H64" s="0" t="n">
        <f aca="false">SUMIFS(Quantites!$C$2:$C$1166,Quantites!$A$2:$A$1166,A64,Quantites!$B$2:$B$1166,"&lt;="&amp;Dates!$A$2)</f>
        <v>0</v>
      </c>
      <c r="I64" s="0" t="n">
        <f aca="false">MIN(H64,E64)*F64</f>
        <v>0</v>
      </c>
      <c r="J64" s="0" t="n">
        <f aca="false">IF(H64&gt;=E64-0.000001,1,0)</f>
        <v>0</v>
      </c>
      <c r="K64" s="0" t="n">
        <f aca="false">MAX(0,H64-E64)*F64</f>
        <v>0</v>
      </c>
      <c r="L64" s="0" t="n">
        <f aca="false">SUMIFS(Quantites!$C$2:$C$1166,Quantites!$A$2:$A$1166,A64,Quantites!$B$2:$B$1166,"&lt;="&amp;Dates!$A$3)</f>
        <v>0</v>
      </c>
      <c r="M64" s="0" t="n">
        <f aca="false">MIN(L64,E64)*F64</f>
        <v>0</v>
      </c>
      <c r="N64" s="0" t="n">
        <f aca="false">IF(L64&gt;=E64-0.000001,1,0)</f>
        <v>0</v>
      </c>
      <c r="O64" s="0" t="n">
        <f aca="false">MAX(0,L64-E64)*F64</f>
        <v>0</v>
      </c>
      <c r="P64" s="0" t="n">
        <f aca="false">SUMIFS(Quantites!$C$2:$C$1166,Quantites!$A$2:$A$1166,A64,Quantites!$B$2:$B$1166,"&lt;="&amp;Dates!$A$4)</f>
        <v>376</v>
      </c>
      <c r="Q64" s="0" t="n">
        <f aca="false">MIN(P64,E64)*F64</f>
        <v>3384000</v>
      </c>
      <c r="R64" s="0" t="n">
        <f aca="false">IF(P64&gt;=E64-0.000001,1,0)</f>
        <v>1</v>
      </c>
      <c r="S64" s="0" t="n">
        <f aca="false">MAX(0,P64-E64)*F64</f>
        <v>0</v>
      </c>
    </row>
    <row r="65" customFormat="false" ht="15" hidden="false" customHeight="false" outlineLevel="0" collapsed="false">
      <c r="A65" s="0" t="s">
        <v>161</v>
      </c>
      <c r="B65" s="0" t="s">
        <v>283</v>
      </c>
      <c r="C65" s="0" t="s">
        <v>177</v>
      </c>
      <c r="D65" s="0" t="s">
        <v>258</v>
      </c>
      <c r="E65" s="0" t="n">
        <v>7500</v>
      </c>
      <c r="F65" s="0" t="n">
        <v>900</v>
      </c>
      <c r="G65" s="0" t="n">
        <f aca="false">E65*F65</f>
        <v>6750000</v>
      </c>
      <c r="H65" s="0" t="n">
        <f aca="false">SUMIFS(Quantites!$C$2:$C$1166,Quantites!$A$2:$A$1166,A65,Quantites!$B$2:$B$1166,"&lt;="&amp;Dates!$A$2)</f>
        <v>0</v>
      </c>
      <c r="I65" s="0" t="n">
        <f aca="false">MIN(H65,E65)*F65</f>
        <v>0</v>
      </c>
      <c r="J65" s="0" t="n">
        <f aca="false">IF(H65&gt;=E65-0.000001,1,0)</f>
        <v>0</v>
      </c>
      <c r="K65" s="0" t="n">
        <f aca="false">MAX(0,H65-E65)*F65</f>
        <v>0</v>
      </c>
      <c r="L65" s="0" t="n">
        <f aca="false">SUMIFS(Quantites!$C$2:$C$1166,Quantites!$A$2:$A$1166,A65,Quantites!$B$2:$B$1166,"&lt;="&amp;Dates!$A$3)</f>
        <v>0</v>
      </c>
      <c r="M65" s="0" t="n">
        <f aca="false">MIN(L65,E65)*F65</f>
        <v>0</v>
      </c>
      <c r="N65" s="0" t="n">
        <f aca="false">IF(L65&gt;=E65-0.000001,1,0)</f>
        <v>0</v>
      </c>
      <c r="O65" s="0" t="n">
        <f aca="false">MAX(0,L65-E65)*F65</f>
        <v>0</v>
      </c>
      <c r="P65" s="0" t="n">
        <f aca="false">SUMIFS(Quantites!$C$2:$C$1166,Quantites!$A$2:$A$1166,A65,Quantites!$B$2:$B$1166,"&lt;="&amp;Dates!$A$4)</f>
        <v>7500</v>
      </c>
      <c r="Q65" s="0" t="n">
        <f aca="false">MIN(P65,E65)*F65</f>
        <v>6750000</v>
      </c>
      <c r="R65" s="0" t="n">
        <f aca="false">IF(P65&gt;=E65-0.000001,1,0)</f>
        <v>1</v>
      </c>
      <c r="S65" s="0" t="n">
        <f aca="false">MAX(0,P65-E65)*F65</f>
        <v>0</v>
      </c>
    </row>
    <row r="66" customFormat="false" ht="15" hidden="false" customHeight="false" outlineLevel="0" collapsed="false">
      <c r="A66" s="0" t="s">
        <v>163</v>
      </c>
      <c r="B66" s="0" t="s">
        <v>283</v>
      </c>
      <c r="C66" s="0" t="s">
        <v>177</v>
      </c>
      <c r="D66" s="0" t="s">
        <v>274</v>
      </c>
      <c r="E66" s="0" t="n">
        <v>60</v>
      </c>
      <c r="F66" s="0" t="n">
        <v>110000</v>
      </c>
      <c r="G66" s="0" t="n">
        <f aca="false">E66*F66</f>
        <v>6600000</v>
      </c>
      <c r="H66" s="0" t="n">
        <f aca="false">SUMIFS(Quantites!$C$2:$C$1166,Quantites!$A$2:$A$1166,A66,Quantites!$B$2:$B$1166,"&lt;="&amp;Dates!$A$2)</f>
        <v>0</v>
      </c>
      <c r="I66" s="0" t="n">
        <f aca="false">MIN(H66,E66)*F66</f>
        <v>0</v>
      </c>
      <c r="J66" s="0" t="n">
        <f aca="false">IF(H66&gt;=E66-0.000001,1,0)</f>
        <v>0</v>
      </c>
      <c r="K66" s="0" t="n">
        <f aca="false">MAX(0,H66-E66)*F66</f>
        <v>0</v>
      </c>
      <c r="L66" s="0" t="n">
        <f aca="false">SUMIFS(Quantites!$C$2:$C$1166,Quantites!$A$2:$A$1166,A66,Quantites!$B$2:$B$1166,"&lt;="&amp;Dates!$A$3)</f>
        <v>0</v>
      </c>
      <c r="M66" s="0" t="n">
        <f aca="false">MIN(L66,E66)*F66</f>
        <v>0</v>
      </c>
      <c r="N66" s="0" t="n">
        <f aca="false">IF(L66&gt;=E66-0.000001,1,0)</f>
        <v>0</v>
      </c>
      <c r="O66" s="0" t="n">
        <f aca="false">MAX(0,L66-E66)*F66</f>
        <v>0</v>
      </c>
      <c r="P66" s="0" t="n">
        <f aca="false">SUMIFS(Quantites!$C$2:$C$1166,Quantites!$A$2:$A$1166,A66,Quantites!$B$2:$B$1166,"&lt;="&amp;Dates!$A$4)</f>
        <v>60</v>
      </c>
      <c r="Q66" s="0" t="n">
        <f aca="false">MIN(P66,E66)*F66</f>
        <v>6600000</v>
      </c>
      <c r="R66" s="0" t="n">
        <f aca="false">IF(P66&gt;=E66-0.000001,1,0)</f>
        <v>1</v>
      </c>
      <c r="S66" s="0" t="n">
        <f aca="false">MAX(0,P66-E66)*F66</f>
        <v>0</v>
      </c>
    </row>
    <row r="67" customFormat="false" ht="15" hidden="false" customHeight="false" outlineLevel="0" collapsed="false">
      <c r="A67" s="0" t="s">
        <v>162</v>
      </c>
      <c r="B67" s="0" t="s">
        <v>283</v>
      </c>
      <c r="C67" s="0" t="s">
        <v>177</v>
      </c>
      <c r="D67" s="0" t="s">
        <v>275</v>
      </c>
      <c r="E67" s="0" t="n">
        <v>482</v>
      </c>
      <c r="F67" s="0" t="n">
        <v>9000</v>
      </c>
      <c r="G67" s="0" t="n">
        <f aca="false">E67*F67</f>
        <v>4338000</v>
      </c>
      <c r="H67" s="0" t="n">
        <f aca="false">SUMIFS(Quantites!$C$2:$C$1166,Quantites!$A$2:$A$1166,A67,Quantites!$B$2:$B$1166,"&lt;="&amp;Dates!$A$2)</f>
        <v>0</v>
      </c>
      <c r="I67" s="0" t="n">
        <f aca="false">MIN(H67,E67)*F67</f>
        <v>0</v>
      </c>
      <c r="J67" s="0" t="n">
        <f aca="false">IF(H67&gt;=E67-0.000001,1,0)</f>
        <v>0</v>
      </c>
      <c r="K67" s="0" t="n">
        <f aca="false">MAX(0,H67-E67)*F67</f>
        <v>0</v>
      </c>
      <c r="L67" s="0" t="n">
        <f aca="false">SUMIFS(Quantites!$C$2:$C$1166,Quantites!$A$2:$A$1166,A67,Quantites!$B$2:$B$1166,"&lt;="&amp;Dates!$A$3)</f>
        <v>0</v>
      </c>
      <c r="M67" s="0" t="n">
        <f aca="false">MIN(L67,E67)*F67</f>
        <v>0</v>
      </c>
      <c r="N67" s="0" t="n">
        <f aca="false">IF(L67&gt;=E67-0.000001,1,0)</f>
        <v>0</v>
      </c>
      <c r="O67" s="0" t="n">
        <f aca="false">MAX(0,L67-E67)*F67</f>
        <v>0</v>
      </c>
      <c r="P67" s="0" t="n">
        <f aca="false">SUMIFS(Quantites!$C$2:$C$1166,Quantites!$A$2:$A$1166,A67,Quantites!$B$2:$B$1166,"&lt;="&amp;Dates!$A$4)</f>
        <v>482</v>
      </c>
      <c r="Q67" s="0" t="n">
        <f aca="false">MIN(P67,E67)*F67</f>
        <v>4338000</v>
      </c>
      <c r="R67" s="0" t="n">
        <f aca="false">IF(P67&gt;=E67-0.000001,1,0)</f>
        <v>1</v>
      </c>
      <c r="S67" s="0" t="n">
        <f aca="false">MAX(0,P67-E67)*F67</f>
        <v>0</v>
      </c>
    </row>
    <row r="68" customFormat="false" ht="15" hidden="false" customHeight="false" outlineLevel="0" collapsed="false">
      <c r="A68" s="0" t="s">
        <v>169</v>
      </c>
      <c r="B68" s="0" t="s">
        <v>284</v>
      </c>
      <c r="C68" s="0" t="s">
        <v>177</v>
      </c>
      <c r="D68" s="0" t="s">
        <v>258</v>
      </c>
      <c r="E68" s="0" t="n">
        <v>11000</v>
      </c>
      <c r="F68" s="0" t="n">
        <v>900</v>
      </c>
      <c r="G68" s="0" t="n">
        <f aca="false">E68*F68</f>
        <v>9900000</v>
      </c>
      <c r="H68" s="0" t="n">
        <f aca="false">SUMIFS(Quantites!$C$2:$C$1166,Quantites!$A$2:$A$1166,A68,Quantites!$B$2:$B$1166,"&lt;="&amp;Dates!$A$2)</f>
        <v>0</v>
      </c>
      <c r="I68" s="0" t="n">
        <f aca="false">MIN(H68,E68)*F68</f>
        <v>0</v>
      </c>
      <c r="J68" s="0" t="n">
        <f aca="false">IF(H68&gt;=E68-0.000001,1,0)</f>
        <v>0</v>
      </c>
      <c r="K68" s="0" t="n">
        <f aca="false">MAX(0,H68-E68)*F68</f>
        <v>0</v>
      </c>
      <c r="L68" s="0" t="n">
        <f aca="false">SUMIFS(Quantites!$C$2:$C$1166,Quantites!$A$2:$A$1166,A68,Quantites!$B$2:$B$1166,"&lt;="&amp;Dates!$A$3)</f>
        <v>0</v>
      </c>
      <c r="M68" s="0" t="n">
        <f aca="false">MIN(L68,E68)*F68</f>
        <v>0</v>
      </c>
      <c r="N68" s="0" t="n">
        <f aca="false">IF(L68&gt;=E68-0.000001,1,0)</f>
        <v>0</v>
      </c>
      <c r="O68" s="0" t="n">
        <f aca="false">MAX(0,L68-E68)*F68</f>
        <v>0</v>
      </c>
      <c r="P68" s="0" t="n">
        <f aca="false">SUMIFS(Quantites!$C$2:$C$1166,Quantites!$A$2:$A$1166,A68,Quantites!$B$2:$B$1166,"&lt;="&amp;Dates!$A$4)</f>
        <v>4784.848</v>
      </c>
      <c r="Q68" s="0" t="n">
        <f aca="false">MIN(P68,E68)*F68</f>
        <v>4306363.2</v>
      </c>
      <c r="R68" s="0" t="n">
        <f aca="false">IF(P68&gt;=E68-0.000001,1,0)</f>
        <v>0</v>
      </c>
      <c r="S68" s="0" t="n">
        <f aca="false">MAX(0,P68-E68)*F68</f>
        <v>0</v>
      </c>
    </row>
    <row r="69" customFormat="false" ht="15" hidden="false" customHeight="false" outlineLevel="0" collapsed="false">
      <c r="A69" s="0" t="s">
        <v>170</v>
      </c>
      <c r="B69" s="0" t="s">
        <v>284</v>
      </c>
      <c r="C69" s="0" t="s">
        <v>177</v>
      </c>
      <c r="D69" s="0" t="s">
        <v>277</v>
      </c>
      <c r="E69" s="0" t="n">
        <v>110</v>
      </c>
      <c r="F69" s="0" t="n">
        <v>110000</v>
      </c>
      <c r="G69" s="0" t="n">
        <f aca="false">E69*F69</f>
        <v>12100000</v>
      </c>
      <c r="H69" s="0" t="n">
        <f aca="false">SUMIFS(Quantites!$C$2:$C$1166,Quantites!$A$2:$A$1166,A69,Quantites!$B$2:$B$1166,"&lt;="&amp;Dates!$A$2)</f>
        <v>0</v>
      </c>
      <c r="I69" s="0" t="n">
        <f aca="false">MIN(H69,E69)*F69</f>
        <v>0</v>
      </c>
      <c r="J69" s="0" t="n">
        <f aca="false">IF(H69&gt;=E69-0.000001,1,0)</f>
        <v>0</v>
      </c>
      <c r="K69" s="0" t="n">
        <f aca="false">MAX(0,H69-E69)*F69</f>
        <v>0</v>
      </c>
      <c r="L69" s="0" t="n">
        <f aca="false">SUMIFS(Quantites!$C$2:$C$1166,Quantites!$A$2:$A$1166,A69,Quantites!$B$2:$B$1166,"&lt;="&amp;Dates!$A$3)</f>
        <v>0</v>
      </c>
      <c r="M69" s="0" t="n">
        <f aca="false">MIN(L69,E69)*F69</f>
        <v>0</v>
      </c>
      <c r="N69" s="0" t="n">
        <f aca="false">IF(L69&gt;=E69-0.000001,1,0)</f>
        <v>0</v>
      </c>
      <c r="O69" s="0" t="n">
        <f aca="false">MAX(0,L69-E69)*F69</f>
        <v>0</v>
      </c>
      <c r="P69" s="0" t="n">
        <f aca="false">SUMIFS(Quantites!$C$2:$C$1166,Quantites!$A$2:$A$1166,A69,Quantites!$B$2:$B$1166,"&lt;="&amp;Dates!$A$4)</f>
        <v>47.848</v>
      </c>
      <c r="Q69" s="0" t="n">
        <f aca="false">MIN(P69,E69)*F69</f>
        <v>5263280</v>
      </c>
      <c r="R69" s="0" t="n">
        <f aca="false">IF(P69&gt;=E69-0.000001,1,0)</f>
        <v>0</v>
      </c>
      <c r="S69" s="0" t="n">
        <f aca="false">MAX(0,P69-E69)*F69</f>
        <v>0</v>
      </c>
    </row>
    <row r="70" customFormat="false" ht="15" hidden="false" customHeight="false" outlineLevel="0" collapsed="false">
      <c r="A70" s="0" t="s">
        <v>168</v>
      </c>
      <c r="B70" s="0" t="s">
        <v>284</v>
      </c>
      <c r="C70" s="0" t="s">
        <v>177</v>
      </c>
      <c r="D70" s="0" t="s">
        <v>278</v>
      </c>
      <c r="E70" s="0" t="n">
        <v>566</v>
      </c>
      <c r="F70" s="0" t="n">
        <v>11500</v>
      </c>
      <c r="G70" s="0" t="n">
        <f aca="false">E70*F70</f>
        <v>6509000</v>
      </c>
      <c r="H70" s="0" t="n">
        <f aca="false">SUMIFS(Quantites!$C$2:$C$1166,Quantites!$A$2:$A$1166,A70,Quantites!$B$2:$B$1166,"&lt;="&amp;Dates!$A$2)</f>
        <v>0</v>
      </c>
      <c r="I70" s="0" t="n">
        <f aca="false">MIN(H70,E70)*F70</f>
        <v>0</v>
      </c>
      <c r="J70" s="0" t="n">
        <f aca="false">IF(H70&gt;=E70-0.000001,1,0)</f>
        <v>0</v>
      </c>
      <c r="K70" s="0" t="n">
        <f aca="false">MAX(0,H70-E70)*F70</f>
        <v>0</v>
      </c>
      <c r="L70" s="0" t="n">
        <f aca="false">SUMIFS(Quantites!$C$2:$C$1166,Quantites!$A$2:$A$1166,A70,Quantites!$B$2:$B$1166,"&lt;="&amp;Dates!$A$3)</f>
        <v>0</v>
      </c>
      <c r="M70" s="0" t="n">
        <f aca="false">MIN(L70,E70)*F70</f>
        <v>0</v>
      </c>
      <c r="N70" s="0" t="n">
        <f aca="false">IF(L70&gt;=E70-0.000001,1,0)</f>
        <v>0</v>
      </c>
      <c r="O70" s="0" t="n">
        <f aca="false">MAX(0,L70-E70)*F70</f>
        <v>0</v>
      </c>
      <c r="P70" s="0" t="n">
        <f aca="false">SUMIFS(Quantites!$C$2:$C$1166,Quantites!$A$2:$A$1166,A70,Quantites!$B$2:$B$1166,"&lt;="&amp;Dates!$A$4)</f>
        <v>246.202</v>
      </c>
      <c r="Q70" s="0" t="n">
        <f aca="false">MIN(P70,E70)*F70</f>
        <v>2831323</v>
      </c>
      <c r="R70" s="0" t="n">
        <f aca="false">IF(P70&gt;=E70-0.000001,1,0)</f>
        <v>0</v>
      </c>
      <c r="S70" s="0" t="n">
        <f aca="false">MAX(0,P70-E70)*F70</f>
        <v>0</v>
      </c>
    </row>
    <row r="71" customFormat="false" ht="15" hidden="false" customHeight="false" outlineLevel="0" collapsed="false">
      <c r="A71" s="0" t="s">
        <v>285</v>
      </c>
      <c r="B71" s="0" t="s">
        <v>286</v>
      </c>
      <c r="C71" s="0" t="s">
        <v>177</v>
      </c>
      <c r="D71" s="0" t="s">
        <v>258</v>
      </c>
      <c r="E71" s="0" t="n">
        <v>5800</v>
      </c>
      <c r="F71" s="0" t="n">
        <v>900</v>
      </c>
      <c r="G71" s="0" t="n">
        <f aca="false">E71*F71</f>
        <v>5220000</v>
      </c>
      <c r="H71" s="0" t="n">
        <f aca="false">SUMIFS(Quantites!$C$2:$C$1166,Quantites!$A$2:$A$1166,A71,Quantites!$B$2:$B$1166,"&lt;="&amp;Dates!$A$2)</f>
        <v>0</v>
      </c>
      <c r="I71" s="0" t="n">
        <f aca="false">MIN(H71,E71)*F71</f>
        <v>0</v>
      </c>
      <c r="J71" s="0" t="n">
        <f aca="false">IF(H71&gt;=E71-0.000001,1,0)</f>
        <v>0</v>
      </c>
      <c r="K71" s="0" t="n">
        <f aca="false">MAX(0,H71-E71)*F71</f>
        <v>0</v>
      </c>
      <c r="L71" s="0" t="n">
        <f aca="false">SUMIFS(Quantites!$C$2:$C$1166,Quantites!$A$2:$A$1166,A71,Quantites!$B$2:$B$1166,"&lt;="&amp;Dates!$A$3)</f>
        <v>0</v>
      </c>
      <c r="M71" s="0" t="n">
        <f aca="false">MIN(L71,E71)*F71</f>
        <v>0</v>
      </c>
      <c r="N71" s="0" t="n">
        <f aca="false">IF(L71&gt;=E71-0.000001,1,0)</f>
        <v>0</v>
      </c>
      <c r="O71" s="0" t="n">
        <f aca="false">MAX(0,L71-E71)*F71</f>
        <v>0</v>
      </c>
      <c r="P71" s="0" t="n">
        <f aca="false">SUMIFS(Quantites!$C$2:$C$1166,Quantites!$A$2:$A$1166,A71,Quantites!$B$2:$B$1166,"&lt;="&amp;Dates!$A$4)</f>
        <v>0</v>
      </c>
      <c r="Q71" s="0" t="n">
        <f aca="false">MIN(P71,E71)*F71</f>
        <v>0</v>
      </c>
      <c r="R71" s="0" t="n">
        <f aca="false">IF(P71&gt;=E71-0.000001,1,0)</f>
        <v>0</v>
      </c>
      <c r="S71" s="0" t="n">
        <f aca="false">MAX(0,P71-E71)*F71</f>
        <v>0</v>
      </c>
    </row>
    <row r="72" customFormat="false" ht="15" hidden="false" customHeight="false" outlineLevel="0" collapsed="false">
      <c r="A72" s="0" t="s">
        <v>287</v>
      </c>
      <c r="B72" s="0" t="s">
        <v>286</v>
      </c>
      <c r="C72" s="0" t="s">
        <v>177</v>
      </c>
      <c r="D72" s="0" t="s">
        <v>271</v>
      </c>
      <c r="E72" s="0" t="n">
        <v>42</v>
      </c>
      <c r="F72" s="0" t="n">
        <v>110000</v>
      </c>
      <c r="G72" s="0" t="n">
        <f aca="false">E72*F72</f>
        <v>4620000</v>
      </c>
      <c r="H72" s="0" t="n">
        <f aca="false">SUMIFS(Quantites!$C$2:$C$1166,Quantites!$A$2:$A$1166,A72,Quantites!$B$2:$B$1166,"&lt;="&amp;Dates!$A$2)</f>
        <v>0</v>
      </c>
      <c r="I72" s="0" t="n">
        <f aca="false">MIN(H72,E72)*F72</f>
        <v>0</v>
      </c>
      <c r="J72" s="0" t="n">
        <f aca="false">IF(H72&gt;=E72-0.000001,1,0)</f>
        <v>0</v>
      </c>
      <c r="K72" s="0" t="n">
        <f aca="false">MAX(0,H72-E72)*F72</f>
        <v>0</v>
      </c>
      <c r="L72" s="0" t="n">
        <f aca="false">SUMIFS(Quantites!$C$2:$C$1166,Quantites!$A$2:$A$1166,A72,Quantites!$B$2:$B$1166,"&lt;="&amp;Dates!$A$3)</f>
        <v>0</v>
      </c>
      <c r="M72" s="0" t="n">
        <f aca="false">MIN(L72,E72)*F72</f>
        <v>0</v>
      </c>
      <c r="N72" s="0" t="n">
        <f aca="false">IF(L72&gt;=E72-0.000001,1,0)</f>
        <v>0</v>
      </c>
      <c r="O72" s="0" t="n">
        <f aca="false">MAX(0,L72-E72)*F72</f>
        <v>0</v>
      </c>
      <c r="P72" s="0" t="n">
        <f aca="false">SUMIFS(Quantites!$C$2:$C$1166,Quantites!$A$2:$A$1166,A72,Quantites!$B$2:$B$1166,"&lt;="&amp;Dates!$A$4)</f>
        <v>0</v>
      </c>
      <c r="Q72" s="0" t="n">
        <f aca="false">MIN(P72,E72)*F72</f>
        <v>0</v>
      </c>
      <c r="R72" s="0" t="n">
        <f aca="false">IF(P72&gt;=E72-0.000001,1,0)</f>
        <v>0</v>
      </c>
      <c r="S72" s="0" t="n">
        <f aca="false">MAX(0,P72-E72)*F72</f>
        <v>0</v>
      </c>
    </row>
    <row r="73" customFormat="false" ht="15" hidden="false" customHeight="false" outlineLevel="0" collapsed="false">
      <c r="A73" s="0" t="s">
        <v>288</v>
      </c>
      <c r="B73" s="0" t="s">
        <v>286</v>
      </c>
      <c r="C73" s="0" t="s">
        <v>177</v>
      </c>
      <c r="D73" s="0" t="s">
        <v>272</v>
      </c>
      <c r="E73" s="0" t="n">
        <v>358</v>
      </c>
      <c r="F73" s="0" t="n">
        <v>9000</v>
      </c>
      <c r="G73" s="0" t="n">
        <f aca="false">E73*F73</f>
        <v>3222000</v>
      </c>
      <c r="H73" s="0" t="n">
        <f aca="false">SUMIFS(Quantites!$C$2:$C$1166,Quantites!$A$2:$A$1166,A73,Quantites!$B$2:$B$1166,"&lt;="&amp;Dates!$A$2)</f>
        <v>0</v>
      </c>
      <c r="I73" s="0" t="n">
        <f aca="false">MIN(H73,E73)*F73</f>
        <v>0</v>
      </c>
      <c r="J73" s="0" t="n">
        <f aca="false">IF(H73&gt;=E73-0.000001,1,0)</f>
        <v>0</v>
      </c>
      <c r="K73" s="0" t="n">
        <f aca="false">MAX(0,H73-E73)*F73</f>
        <v>0</v>
      </c>
      <c r="L73" s="0" t="n">
        <f aca="false">SUMIFS(Quantites!$C$2:$C$1166,Quantites!$A$2:$A$1166,A73,Quantites!$B$2:$B$1166,"&lt;="&amp;Dates!$A$3)</f>
        <v>0</v>
      </c>
      <c r="M73" s="0" t="n">
        <f aca="false">MIN(L73,E73)*F73</f>
        <v>0</v>
      </c>
      <c r="N73" s="0" t="n">
        <f aca="false">IF(L73&gt;=E73-0.000001,1,0)</f>
        <v>0</v>
      </c>
      <c r="O73" s="0" t="n">
        <f aca="false">MAX(0,L73-E73)*F73</f>
        <v>0</v>
      </c>
      <c r="P73" s="0" t="n">
        <f aca="false">SUMIFS(Quantites!$C$2:$C$1166,Quantites!$A$2:$A$1166,A73,Quantites!$B$2:$B$1166,"&lt;="&amp;Dates!$A$4)</f>
        <v>0</v>
      </c>
      <c r="Q73" s="0" t="n">
        <f aca="false">MIN(P73,E73)*F73</f>
        <v>0</v>
      </c>
      <c r="R73" s="0" t="n">
        <f aca="false">IF(P73&gt;=E73-0.000001,1,0)</f>
        <v>0</v>
      </c>
      <c r="S73" s="0" t="n">
        <f aca="false">MAX(0,P73-E73)*F73</f>
        <v>0</v>
      </c>
    </row>
    <row r="74" customFormat="false" ht="15" hidden="false" customHeight="false" outlineLevel="0" collapsed="false">
      <c r="A74" s="0" t="s">
        <v>289</v>
      </c>
      <c r="B74" s="0" t="s">
        <v>290</v>
      </c>
      <c r="C74" s="0" t="s">
        <v>177</v>
      </c>
      <c r="D74" s="0" t="s">
        <v>258</v>
      </c>
      <c r="E74" s="0" t="n">
        <v>7200</v>
      </c>
      <c r="F74" s="0" t="n">
        <v>900</v>
      </c>
      <c r="G74" s="0" t="n">
        <f aca="false">E74*F74</f>
        <v>6480000</v>
      </c>
      <c r="H74" s="0" t="n">
        <f aca="false">SUMIFS(Quantites!$C$2:$C$1166,Quantites!$A$2:$A$1166,A74,Quantites!$B$2:$B$1166,"&lt;="&amp;Dates!$A$2)</f>
        <v>0</v>
      </c>
      <c r="I74" s="0" t="n">
        <f aca="false">MIN(H74,E74)*F74</f>
        <v>0</v>
      </c>
      <c r="J74" s="0" t="n">
        <f aca="false">IF(H74&gt;=E74-0.000001,1,0)</f>
        <v>0</v>
      </c>
      <c r="K74" s="0" t="n">
        <f aca="false">MAX(0,H74-E74)*F74</f>
        <v>0</v>
      </c>
      <c r="L74" s="0" t="n">
        <f aca="false">SUMIFS(Quantites!$C$2:$C$1166,Quantites!$A$2:$A$1166,A74,Quantites!$B$2:$B$1166,"&lt;="&amp;Dates!$A$3)</f>
        <v>0</v>
      </c>
      <c r="M74" s="0" t="n">
        <f aca="false">MIN(L74,E74)*F74</f>
        <v>0</v>
      </c>
      <c r="N74" s="0" t="n">
        <f aca="false">IF(L74&gt;=E74-0.000001,1,0)</f>
        <v>0</v>
      </c>
      <c r="O74" s="0" t="n">
        <f aca="false">MAX(0,L74-E74)*F74</f>
        <v>0</v>
      </c>
      <c r="P74" s="0" t="n">
        <f aca="false">SUMIFS(Quantites!$C$2:$C$1166,Quantites!$A$2:$A$1166,A74,Quantites!$B$2:$B$1166,"&lt;="&amp;Dates!$A$4)</f>
        <v>0</v>
      </c>
      <c r="Q74" s="0" t="n">
        <f aca="false">MIN(P74,E74)*F74</f>
        <v>0</v>
      </c>
      <c r="R74" s="0" t="n">
        <f aca="false">IF(P74&gt;=E74-0.000001,1,0)</f>
        <v>0</v>
      </c>
      <c r="S74" s="0" t="n">
        <f aca="false">MAX(0,P74-E74)*F74</f>
        <v>0</v>
      </c>
    </row>
    <row r="75" customFormat="false" ht="15" hidden="false" customHeight="false" outlineLevel="0" collapsed="false">
      <c r="A75" s="0" t="s">
        <v>291</v>
      </c>
      <c r="B75" s="0" t="s">
        <v>290</v>
      </c>
      <c r="C75" s="0" t="s">
        <v>177</v>
      </c>
      <c r="D75" s="0" t="s">
        <v>274</v>
      </c>
      <c r="E75" s="0" t="n">
        <v>58</v>
      </c>
      <c r="F75" s="0" t="n">
        <v>110000</v>
      </c>
      <c r="G75" s="0" t="n">
        <f aca="false">E75*F75</f>
        <v>6380000</v>
      </c>
      <c r="H75" s="0" t="n">
        <f aca="false">SUMIFS(Quantites!$C$2:$C$1166,Quantites!$A$2:$A$1166,A75,Quantites!$B$2:$B$1166,"&lt;="&amp;Dates!$A$2)</f>
        <v>0</v>
      </c>
      <c r="I75" s="0" t="n">
        <f aca="false">MIN(H75,E75)*F75</f>
        <v>0</v>
      </c>
      <c r="J75" s="0" t="n">
        <f aca="false">IF(H75&gt;=E75-0.000001,1,0)</f>
        <v>0</v>
      </c>
      <c r="K75" s="0" t="n">
        <f aca="false">MAX(0,H75-E75)*F75</f>
        <v>0</v>
      </c>
      <c r="L75" s="0" t="n">
        <f aca="false">SUMIFS(Quantites!$C$2:$C$1166,Quantites!$A$2:$A$1166,A75,Quantites!$B$2:$B$1166,"&lt;="&amp;Dates!$A$3)</f>
        <v>0</v>
      </c>
      <c r="M75" s="0" t="n">
        <f aca="false">MIN(L75,E75)*F75</f>
        <v>0</v>
      </c>
      <c r="N75" s="0" t="n">
        <f aca="false">IF(L75&gt;=E75-0.000001,1,0)</f>
        <v>0</v>
      </c>
      <c r="O75" s="0" t="n">
        <f aca="false">MAX(0,L75-E75)*F75</f>
        <v>0</v>
      </c>
      <c r="P75" s="0" t="n">
        <f aca="false">SUMIFS(Quantites!$C$2:$C$1166,Quantites!$A$2:$A$1166,A75,Quantites!$B$2:$B$1166,"&lt;="&amp;Dates!$A$4)</f>
        <v>0</v>
      </c>
      <c r="Q75" s="0" t="n">
        <f aca="false">MIN(P75,E75)*F75</f>
        <v>0</v>
      </c>
      <c r="R75" s="0" t="n">
        <f aca="false">IF(P75&gt;=E75-0.000001,1,0)</f>
        <v>0</v>
      </c>
      <c r="S75" s="0" t="n">
        <f aca="false">MAX(0,P75-E75)*F75</f>
        <v>0</v>
      </c>
    </row>
    <row r="76" customFormat="false" ht="15" hidden="false" customHeight="false" outlineLevel="0" collapsed="false">
      <c r="A76" s="0" t="s">
        <v>292</v>
      </c>
      <c r="B76" s="0" t="s">
        <v>290</v>
      </c>
      <c r="C76" s="0" t="s">
        <v>177</v>
      </c>
      <c r="D76" s="0" t="s">
        <v>275</v>
      </c>
      <c r="E76" s="0" t="n">
        <v>464</v>
      </c>
      <c r="F76" s="0" t="n">
        <v>9000</v>
      </c>
      <c r="G76" s="0" t="n">
        <f aca="false">E76*F76</f>
        <v>4176000</v>
      </c>
      <c r="H76" s="0" t="n">
        <f aca="false">SUMIFS(Quantites!$C$2:$C$1166,Quantites!$A$2:$A$1166,A76,Quantites!$B$2:$B$1166,"&lt;="&amp;Dates!$A$2)</f>
        <v>0</v>
      </c>
      <c r="I76" s="0" t="n">
        <f aca="false">MIN(H76,E76)*F76</f>
        <v>0</v>
      </c>
      <c r="J76" s="0" t="n">
        <f aca="false">IF(H76&gt;=E76-0.000001,1,0)</f>
        <v>0</v>
      </c>
      <c r="K76" s="0" t="n">
        <f aca="false">MAX(0,H76-E76)*F76</f>
        <v>0</v>
      </c>
      <c r="L76" s="0" t="n">
        <f aca="false">SUMIFS(Quantites!$C$2:$C$1166,Quantites!$A$2:$A$1166,A76,Quantites!$B$2:$B$1166,"&lt;="&amp;Dates!$A$3)</f>
        <v>0</v>
      </c>
      <c r="M76" s="0" t="n">
        <f aca="false">MIN(L76,E76)*F76</f>
        <v>0</v>
      </c>
      <c r="N76" s="0" t="n">
        <f aca="false">IF(L76&gt;=E76-0.000001,1,0)</f>
        <v>0</v>
      </c>
      <c r="O76" s="0" t="n">
        <f aca="false">MAX(0,L76-E76)*F76</f>
        <v>0</v>
      </c>
      <c r="P76" s="0" t="n">
        <f aca="false">SUMIFS(Quantites!$C$2:$C$1166,Quantites!$A$2:$A$1166,A76,Quantites!$B$2:$B$1166,"&lt;="&amp;Dates!$A$4)</f>
        <v>0</v>
      </c>
      <c r="Q76" s="0" t="n">
        <f aca="false">MIN(P76,E76)*F76</f>
        <v>0</v>
      </c>
      <c r="R76" s="0" t="n">
        <f aca="false">IF(P76&gt;=E76-0.000001,1,0)</f>
        <v>0</v>
      </c>
      <c r="S76" s="0" t="n">
        <f aca="false">MAX(0,P76-E76)*F76</f>
        <v>0</v>
      </c>
    </row>
    <row r="77" customFormat="false" ht="15" hidden="false" customHeight="false" outlineLevel="0" collapsed="false">
      <c r="A77" s="0" t="s">
        <v>293</v>
      </c>
      <c r="B77" s="0" t="s">
        <v>294</v>
      </c>
      <c r="C77" s="0" t="s">
        <v>177</v>
      </c>
      <c r="D77" s="0" t="s">
        <v>258</v>
      </c>
      <c r="E77" s="0" t="n">
        <v>10800</v>
      </c>
      <c r="F77" s="0" t="n">
        <v>900</v>
      </c>
      <c r="G77" s="0" t="n">
        <f aca="false">E77*F77</f>
        <v>9720000</v>
      </c>
      <c r="H77" s="0" t="n">
        <f aca="false">SUMIFS(Quantites!$C$2:$C$1166,Quantites!$A$2:$A$1166,A77,Quantites!$B$2:$B$1166,"&lt;="&amp;Dates!$A$2)</f>
        <v>0</v>
      </c>
      <c r="I77" s="0" t="n">
        <f aca="false">MIN(H77,E77)*F77</f>
        <v>0</v>
      </c>
      <c r="J77" s="0" t="n">
        <f aca="false">IF(H77&gt;=E77-0.000001,1,0)</f>
        <v>0</v>
      </c>
      <c r="K77" s="0" t="n">
        <f aca="false">MAX(0,H77-E77)*F77</f>
        <v>0</v>
      </c>
      <c r="L77" s="0" t="n">
        <f aca="false">SUMIFS(Quantites!$C$2:$C$1166,Quantites!$A$2:$A$1166,A77,Quantites!$B$2:$B$1166,"&lt;="&amp;Dates!$A$3)</f>
        <v>0</v>
      </c>
      <c r="M77" s="0" t="n">
        <f aca="false">MIN(L77,E77)*F77</f>
        <v>0</v>
      </c>
      <c r="N77" s="0" t="n">
        <f aca="false">IF(L77&gt;=E77-0.000001,1,0)</f>
        <v>0</v>
      </c>
      <c r="O77" s="0" t="n">
        <f aca="false">MAX(0,L77-E77)*F77</f>
        <v>0</v>
      </c>
      <c r="P77" s="0" t="n">
        <f aca="false">SUMIFS(Quantites!$C$2:$C$1166,Quantites!$A$2:$A$1166,A77,Quantites!$B$2:$B$1166,"&lt;="&amp;Dates!$A$4)</f>
        <v>0</v>
      </c>
      <c r="Q77" s="0" t="n">
        <f aca="false">MIN(P77,E77)*F77</f>
        <v>0</v>
      </c>
      <c r="R77" s="0" t="n">
        <f aca="false">IF(P77&gt;=E77-0.000001,1,0)</f>
        <v>0</v>
      </c>
      <c r="S77" s="0" t="n">
        <f aca="false">MAX(0,P77-E77)*F77</f>
        <v>0</v>
      </c>
    </row>
    <row r="78" customFormat="false" ht="15" hidden="false" customHeight="false" outlineLevel="0" collapsed="false">
      <c r="A78" s="0" t="s">
        <v>295</v>
      </c>
      <c r="B78" s="0" t="s">
        <v>294</v>
      </c>
      <c r="C78" s="0" t="s">
        <v>177</v>
      </c>
      <c r="D78" s="0" t="s">
        <v>277</v>
      </c>
      <c r="E78" s="0" t="n">
        <v>108</v>
      </c>
      <c r="F78" s="0" t="n">
        <v>110000</v>
      </c>
      <c r="G78" s="0" t="n">
        <f aca="false">E78*F78</f>
        <v>11880000</v>
      </c>
      <c r="H78" s="0" t="n">
        <f aca="false">SUMIFS(Quantites!$C$2:$C$1166,Quantites!$A$2:$A$1166,A78,Quantites!$B$2:$B$1166,"&lt;="&amp;Dates!$A$2)</f>
        <v>0</v>
      </c>
      <c r="I78" s="0" t="n">
        <f aca="false">MIN(H78,E78)*F78</f>
        <v>0</v>
      </c>
      <c r="J78" s="0" t="n">
        <f aca="false">IF(H78&gt;=E78-0.000001,1,0)</f>
        <v>0</v>
      </c>
      <c r="K78" s="0" t="n">
        <f aca="false">MAX(0,H78-E78)*F78</f>
        <v>0</v>
      </c>
      <c r="L78" s="0" t="n">
        <f aca="false">SUMIFS(Quantites!$C$2:$C$1166,Quantites!$A$2:$A$1166,A78,Quantites!$B$2:$B$1166,"&lt;="&amp;Dates!$A$3)</f>
        <v>0</v>
      </c>
      <c r="M78" s="0" t="n">
        <f aca="false">MIN(L78,E78)*F78</f>
        <v>0</v>
      </c>
      <c r="N78" s="0" t="n">
        <f aca="false">IF(L78&gt;=E78-0.000001,1,0)</f>
        <v>0</v>
      </c>
      <c r="O78" s="0" t="n">
        <f aca="false">MAX(0,L78-E78)*F78</f>
        <v>0</v>
      </c>
      <c r="P78" s="0" t="n">
        <f aca="false">SUMIFS(Quantites!$C$2:$C$1166,Quantites!$A$2:$A$1166,A78,Quantites!$B$2:$B$1166,"&lt;="&amp;Dates!$A$4)</f>
        <v>0</v>
      </c>
      <c r="Q78" s="0" t="n">
        <f aca="false">MIN(P78,E78)*F78</f>
        <v>0</v>
      </c>
      <c r="R78" s="0" t="n">
        <f aca="false">IF(P78&gt;=E78-0.000001,1,0)</f>
        <v>0</v>
      </c>
      <c r="S78" s="0" t="n">
        <f aca="false">MAX(0,P78-E78)*F78</f>
        <v>0</v>
      </c>
    </row>
    <row r="79" customFormat="false" ht="15" hidden="false" customHeight="false" outlineLevel="0" collapsed="false">
      <c r="A79" s="0" t="s">
        <v>296</v>
      </c>
      <c r="B79" s="0" t="s">
        <v>294</v>
      </c>
      <c r="C79" s="0" t="s">
        <v>177</v>
      </c>
      <c r="D79" s="0" t="s">
        <v>278</v>
      </c>
      <c r="E79" s="0" t="n">
        <v>554</v>
      </c>
      <c r="F79" s="0" t="n">
        <v>11500</v>
      </c>
      <c r="G79" s="0" t="n">
        <f aca="false">E79*F79</f>
        <v>6371000</v>
      </c>
      <c r="H79" s="0" t="n">
        <f aca="false">SUMIFS(Quantites!$C$2:$C$1166,Quantites!$A$2:$A$1166,A79,Quantites!$B$2:$B$1166,"&lt;="&amp;Dates!$A$2)</f>
        <v>0</v>
      </c>
      <c r="I79" s="0" t="n">
        <f aca="false">MIN(H79,E79)*F79</f>
        <v>0</v>
      </c>
      <c r="J79" s="0" t="n">
        <f aca="false">IF(H79&gt;=E79-0.000001,1,0)</f>
        <v>0</v>
      </c>
      <c r="K79" s="0" t="n">
        <f aca="false">MAX(0,H79-E79)*F79</f>
        <v>0</v>
      </c>
      <c r="L79" s="0" t="n">
        <f aca="false">SUMIFS(Quantites!$C$2:$C$1166,Quantites!$A$2:$A$1166,A79,Quantites!$B$2:$B$1166,"&lt;="&amp;Dates!$A$3)</f>
        <v>0</v>
      </c>
      <c r="M79" s="0" t="n">
        <f aca="false">MIN(L79,E79)*F79</f>
        <v>0</v>
      </c>
      <c r="N79" s="0" t="n">
        <f aca="false">IF(L79&gt;=E79-0.000001,1,0)</f>
        <v>0</v>
      </c>
      <c r="O79" s="0" t="n">
        <f aca="false">MAX(0,L79-E79)*F79</f>
        <v>0</v>
      </c>
      <c r="P79" s="0" t="n">
        <f aca="false">SUMIFS(Quantites!$C$2:$C$1166,Quantites!$A$2:$A$1166,A79,Quantites!$B$2:$B$1166,"&lt;="&amp;Dates!$A$4)</f>
        <v>0</v>
      </c>
      <c r="Q79" s="0" t="n">
        <f aca="false">MIN(P79,E79)*F79</f>
        <v>0</v>
      </c>
      <c r="R79" s="0" t="n">
        <f aca="false">IF(P79&gt;=E79-0.000001,1,0)</f>
        <v>0</v>
      </c>
      <c r="S79" s="0" t="n">
        <f aca="false">MAX(0,P79-E79)*F79</f>
        <v>0</v>
      </c>
    </row>
    <row r="80" customFormat="false" ht="15" hidden="false" customHeight="false" outlineLevel="0" collapsed="false">
      <c r="A80" s="0" t="s">
        <v>150</v>
      </c>
      <c r="B80" s="0" t="s">
        <v>297</v>
      </c>
      <c r="C80" s="0" t="s">
        <v>177</v>
      </c>
      <c r="D80" s="0" t="s">
        <v>298</v>
      </c>
      <c r="E80" s="0" t="n">
        <v>720</v>
      </c>
      <c r="F80" s="0" t="n">
        <v>16500</v>
      </c>
      <c r="G80" s="0" t="n">
        <f aca="false">E80*F80</f>
        <v>11880000</v>
      </c>
      <c r="H80" s="0" t="n">
        <f aca="false">SUMIFS(Quantites!$C$2:$C$1166,Quantites!$A$2:$A$1166,A80,Quantites!$B$2:$B$1166,"&lt;="&amp;Dates!$A$2)</f>
        <v>0</v>
      </c>
      <c r="I80" s="0" t="n">
        <f aca="false">MIN(H80,E80)*F80</f>
        <v>0</v>
      </c>
      <c r="J80" s="0" t="n">
        <f aca="false">IF(H80&gt;=E80-0.000001,1,0)</f>
        <v>0</v>
      </c>
      <c r="K80" s="0" t="n">
        <f aca="false">MAX(0,H80-E80)*F80</f>
        <v>0</v>
      </c>
      <c r="L80" s="0" t="n">
        <f aca="false">SUMIFS(Quantites!$C$2:$C$1166,Quantites!$A$2:$A$1166,A80,Quantites!$B$2:$B$1166,"&lt;="&amp;Dates!$A$3)</f>
        <v>0</v>
      </c>
      <c r="M80" s="0" t="n">
        <f aca="false">MIN(L80,E80)*F80</f>
        <v>0</v>
      </c>
      <c r="N80" s="0" t="n">
        <f aca="false">IF(L80&gt;=E80-0.000001,1,0)</f>
        <v>0</v>
      </c>
      <c r="O80" s="0" t="n">
        <f aca="false">MAX(0,L80-E80)*F80</f>
        <v>0</v>
      </c>
      <c r="P80" s="0" t="n">
        <f aca="false">SUMIFS(Quantites!$C$2:$C$1166,Quantites!$A$2:$A$1166,A80,Quantites!$B$2:$B$1166,"&lt;="&amp;Dates!$A$4)</f>
        <v>688.475</v>
      </c>
      <c r="Q80" s="0" t="n">
        <f aca="false">MIN(P80,E80)*F80</f>
        <v>11359837.5</v>
      </c>
      <c r="R80" s="0" t="n">
        <f aca="false">IF(P80&gt;=E80-0.000001,1,0)</f>
        <v>0</v>
      </c>
      <c r="S80" s="0" t="n">
        <f aca="false">MAX(0,P80-E80)*F80</f>
        <v>0</v>
      </c>
    </row>
    <row r="81" customFormat="false" ht="15" hidden="false" customHeight="false" outlineLevel="0" collapsed="false">
      <c r="A81" s="0" t="s">
        <v>154</v>
      </c>
      <c r="B81" s="0" t="s">
        <v>297</v>
      </c>
      <c r="C81" s="0" t="s">
        <v>177</v>
      </c>
      <c r="D81" s="0" t="s">
        <v>299</v>
      </c>
      <c r="E81" s="0" t="n">
        <v>2640</v>
      </c>
      <c r="F81" s="0" t="n">
        <v>9500</v>
      </c>
      <c r="G81" s="0" t="n">
        <f aca="false">E81*F81</f>
        <v>25080000</v>
      </c>
      <c r="H81" s="0" t="n">
        <f aca="false">SUMIFS(Quantites!$C$2:$C$1166,Quantites!$A$2:$A$1166,A81,Quantites!$B$2:$B$1166,"&lt;="&amp;Dates!$A$2)</f>
        <v>0</v>
      </c>
      <c r="I81" s="0" t="n">
        <f aca="false">MIN(H81,E81)*F81</f>
        <v>0</v>
      </c>
      <c r="J81" s="0" t="n">
        <f aca="false">IF(H81&gt;=E81-0.000001,1,0)</f>
        <v>0</v>
      </c>
      <c r="K81" s="0" t="n">
        <f aca="false">MAX(0,H81-E81)*F81</f>
        <v>0</v>
      </c>
      <c r="L81" s="0" t="n">
        <f aca="false">SUMIFS(Quantites!$C$2:$C$1166,Quantites!$A$2:$A$1166,A81,Quantites!$B$2:$B$1166,"&lt;="&amp;Dates!$A$3)</f>
        <v>0</v>
      </c>
      <c r="M81" s="0" t="n">
        <f aca="false">MIN(L81,E81)*F81</f>
        <v>0</v>
      </c>
      <c r="N81" s="0" t="n">
        <f aca="false">IF(L81&gt;=E81-0.000001,1,0)</f>
        <v>0</v>
      </c>
      <c r="O81" s="0" t="n">
        <f aca="false">MAX(0,L81-E81)*F81</f>
        <v>0</v>
      </c>
      <c r="P81" s="0" t="n">
        <f aca="false">SUMIFS(Quantites!$C$2:$C$1166,Quantites!$A$2:$A$1166,A81,Quantites!$B$2:$B$1166,"&lt;="&amp;Dates!$A$4)</f>
        <v>2524.408</v>
      </c>
      <c r="Q81" s="0" t="n">
        <f aca="false">MIN(P81,E81)*F81</f>
        <v>23981876</v>
      </c>
      <c r="R81" s="0" t="n">
        <f aca="false">IF(P81&gt;=E81-0.000001,1,0)</f>
        <v>0</v>
      </c>
      <c r="S81" s="0" t="n">
        <f aca="false">MAX(0,P81-E81)*F81</f>
        <v>0</v>
      </c>
    </row>
    <row r="82" customFormat="false" ht="15" hidden="false" customHeight="false" outlineLevel="0" collapsed="false">
      <c r="A82" s="0" t="s">
        <v>153</v>
      </c>
      <c r="B82" s="0" t="s">
        <v>297</v>
      </c>
      <c r="C82" s="0" t="s">
        <v>177</v>
      </c>
      <c r="D82" s="0" t="s">
        <v>300</v>
      </c>
      <c r="E82" s="0" t="n">
        <v>1480</v>
      </c>
      <c r="F82" s="0" t="n">
        <v>11500</v>
      </c>
      <c r="G82" s="0" t="n">
        <f aca="false">E82*F82</f>
        <v>17020000</v>
      </c>
      <c r="H82" s="0" t="n">
        <f aca="false">SUMIFS(Quantites!$C$2:$C$1166,Quantites!$A$2:$A$1166,A82,Quantites!$B$2:$B$1166,"&lt;="&amp;Dates!$A$2)</f>
        <v>0</v>
      </c>
      <c r="I82" s="0" t="n">
        <f aca="false">MIN(H82,E82)*F82</f>
        <v>0</v>
      </c>
      <c r="J82" s="0" t="n">
        <f aca="false">IF(H82&gt;=E82-0.000001,1,0)</f>
        <v>0</v>
      </c>
      <c r="K82" s="0" t="n">
        <f aca="false">MAX(0,H82-E82)*F82</f>
        <v>0</v>
      </c>
      <c r="L82" s="0" t="n">
        <f aca="false">SUMIFS(Quantites!$C$2:$C$1166,Quantites!$A$2:$A$1166,A82,Quantites!$B$2:$B$1166,"&lt;="&amp;Dates!$A$3)</f>
        <v>0</v>
      </c>
      <c r="M82" s="0" t="n">
        <f aca="false">MIN(L82,E82)*F82</f>
        <v>0</v>
      </c>
      <c r="N82" s="0" t="n">
        <f aca="false">IF(L82&gt;=E82-0.000001,1,0)</f>
        <v>0</v>
      </c>
      <c r="O82" s="0" t="n">
        <f aca="false">MAX(0,L82-E82)*F82</f>
        <v>0</v>
      </c>
      <c r="P82" s="0" t="n">
        <f aca="false">SUMIFS(Quantites!$C$2:$C$1166,Quantites!$A$2:$A$1166,A82,Quantites!$B$2:$B$1166,"&lt;="&amp;Dates!$A$4)</f>
        <v>1415.198</v>
      </c>
      <c r="Q82" s="0" t="n">
        <f aca="false">MIN(P82,E82)*F82</f>
        <v>16274777</v>
      </c>
      <c r="R82" s="0" t="n">
        <f aca="false">IF(P82&gt;=E82-0.000001,1,0)</f>
        <v>0</v>
      </c>
      <c r="S82" s="0" t="n">
        <f aca="false">MAX(0,P82-E82)*F82</f>
        <v>0</v>
      </c>
    </row>
    <row r="83" customFormat="false" ht="15" hidden="false" customHeight="false" outlineLevel="0" collapsed="false">
      <c r="A83" s="0" t="s">
        <v>301</v>
      </c>
      <c r="B83" s="0" t="s">
        <v>302</v>
      </c>
      <c r="C83" s="0" t="s">
        <v>177</v>
      </c>
      <c r="D83" s="0" t="s">
        <v>303</v>
      </c>
      <c r="E83" s="0" t="n">
        <v>46</v>
      </c>
      <c r="F83" s="0" t="n">
        <v>68000</v>
      </c>
      <c r="G83" s="0" t="n">
        <f aca="false">E83*F83</f>
        <v>3128000</v>
      </c>
      <c r="H83" s="0" t="n">
        <f aca="false">SUMIFS(Quantites!$C$2:$C$1166,Quantites!$A$2:$A$1166,A83,Quantites!$B$2:$B$1166,"&lt;="&amp;Dates!$A$2)</f>
        <v>0</v>
      </c>
      <c r="I83" s="0" t="n">
        <f aca="false">MIN(H83,E83)*F83</f>
        <v>0</v>
      </c>
      <c r="J83" s="0" t="n">
        <f aca="false">IF(H83&gt;=E83-0.000001,1,0)</f>
        <v>0</v>
      </c>
      <c r="K83" s="0" t="n">
        <f aca="false">MAX(0,H83-E83)*F83</f>
        <v>0</v>
      </c>
      <c r="L83" s="0" t="n">
        <f aca="false">SUMIFS(Quantites!$C$2:$C$1166,Quantites!$A$2:$A$1166,A83,Quantites!$B$2:$B$1166,"&lt;="&amp;Dates!$A$3)</f>
        <v>0</v>
      </c>
      <c r="M83" s="0" t="n">
        <f aca="false">MIN(L83,E83)*F83</f>
        <v>0</v>
      </c>
      <c r="N83" s="0" t="n">
        <f aca="false">IF(L83&gt;=E83-0.000001,1,0)</f>
        <v>0</v>
      </c>
      <c r="O83" s="0" t="n">
        <f aca="false">MAX(0,L83-E83)*F83</f>
        <v>0</v>
      </c>
      <c r="P83" s="0" t="n">
        <f aca="false">SUMIFS(Quantites!$C$2:$C$1166,Quantites!$A$2:$A$1166,A83,Quantites!$B$2:$B$1166,"&lt;="&amp;Dates!$A$4)</f>
        <v>0</v>
      </c>
      <c r="Q83" s="0" t="n">
        <f aca="false">MIN(P83,E83)*F83</f>
        <v>0</v>
      </c>
      <c r="R83" s="0" t="n">
        <f aca="false">IF(P83&gt;=E83-0.000001,1,0)</f>
        <v>0</v>
      </c>
      <c r="S83" s="0" t="n">
        <f aca="false">MAX(0,P83-E83)*F83</f>
        <v>0</v>
      </c>
    </row>
    <row r="84" customFormat="false" ht="15" hidden="false" customHeight="false" outlineLevel="0" collapsed="false">
      <c r="A84" s="0" t="s">
        <v>304</v>
      </c>
      <c r="B84" s="0" t="s">
        <v>302</v>
      </c>
      <c r="C84" s="0" t="s">
        <v>177</v>
      </c>
      <c r="D84" s="0" t="s">
        <v>305</v>
      </c>
      <c r="E84" s="0" t="n">
        <v>8</v>
      </c>
      <c r="F84" s="0" t="n">
        <v>1240000</v>
      </c>
      <c r="G84" s="0" t="n">
        <f aca="false">E84*F84</f>
        <v>9920000</v>
      </c>
      <c r="H84" s="0" t="n">
        <f aca="false">SUMIFS(Quantites!$C$2:$C$1166,Quantites!$A$2:$A$1166,A84,Quantites!$B$2:$B$1166,"&lt;="&amp;Dates!$A$2)</f>
        <v>0</v>
      </c>
      <c r="I84" s="0" t="n">
        <f aca="false">MIN(H84,E84)*F84</f>
        <v>0</v>
      </c>
      <c r="J84" s="0" t="n">
        <f aca="false">IF(H84&gt;=E84-0.000001,1,0)</f>
        <v>0</v>
      </c>
      <c r="K84" s="0" t="n">
        <f aca="false">MAX(0,H84-E84)*F84</f>
        <v>0</v>
      </c>
      <c r="L84" s="0" t="n">
        <f aca="false">SUMIFS(Quantites!$C$2:$C$1166,Quantites!$A$2:$A$1166,A84,Quantites!$B$2:$B$1166,"&lt;="&amp;Dates!$A$3)</f>
        <v>0</v>
      </c>
      <c r="M84" s="0" t="n">
        <f aca="false">MIN(L84,E84)*F84</f>
        <v>0</v>
      </c>
      <c r="N84" s="0" t="n">
        <f aca="false">IF(L84&gt;=E84-0.000001,1,0)</f>
        <v>0</v>
      </c>
      <c r="O84" s="0" t="n">
        <f aca="false">MAX(0,L84-E84)*F84</f>
        <v>0</v>
      </c>
      <c r="P84" s="0" t="n">
        <f aca="false">SUMIFS(Quantites!$C$2:$C$1166,Quantites!$A$2:$A$1166,A84,Quantites!$B$2:$B$1166,"&lt;="&amp;Dates!$A$4)</f>
        <v>0</v>
      </c>
      <c r="Q84" s="0" t="n">
        <f aca="false">MIN(P84,E84)*F84</f>
        <v>0</v>
      </c>
      <c r="R84" s="0" t="n">
        <f aca="false">IF(P84&gt;=E84-0.000001,1,0)</f>
        <v>0</v>
      </c>
      <c r="S84" s="0" t="n">
        <f aca="false">MAX(0,P84-E84)*F84</f>
        <v>0</v>
      </c>
    </row>
    <row r="85" customFormat="false" ht="15" hidden="false" customHeight="false" outlineLevel="0" collapsed="false">
      <c r="A85" s="0" t="s">
        <v>306</v>
      </c>
      <c r="B85" s="0" t="s">
        <v>307</v>
      </c>
      <c r="C85" s="0" t="s">
        <v>177</v>
      </c>
      <c r="D85" s="0" t="s">
        <v>308</v>
      </c>
      <c r="E85" s="0" t="n">
        <v>196</v>
      </c>
      <c r="F85" s="0" t="n">
        <v>38000</v>
      </c>
      <c r="G85" s="0" t="n">
        <f aca="false">E85*F85</f>
        <v>7448000</v>
      </c>
      <c r="H85" s="0" t="n">
        <f aca="false">SUMIFS(Quantites!$C$2:$C$1166,Quantites!$A$2:$A$1166,A85,Quantites!$B$2:$B$1166,"&lt;="&amp;Dates!$A$2)</f>
        <v>0</v>
      </c>
      <c r="I85" s="0" t="n">
        <f aca="false">MIN(H85,E85)*F85</f>
        <v>0</v>
      </c>
      <c r="J85" s="0" t="n">
        <f aca="false">IF(H85&gt;=E85-0.000001,1,0)</f>
        <v>0</v>
      </c>
      <c r="K85" s="0" t="n">
        <f aca="false">MAX(0,H85-E85)*F85</f>
        <v>0</v>
      </c>
      <c r="L85" s="0" t="n">
        <f aca="false">SUMIFS(Quantites!$C$2:$C$1166,Quantites!$A$2:$A$1166,A85,Quantites!$B$2:$B$1166,"&lt;="&amp;Dates!$A$3)</f>
        <v>0</v>
      </c>
      <c r="M85" s="0" t="n">
        <f aca="false">MIN(L85,E85)*F85</f>
        <v>0</v>
      </c>
      <c r="N85" s="0" t="n">
        <f aca="false">IF(L85&gt;=E85-0.000001,1,0)</f>
        <v>0</v>
      </c>
      <c r="O85" s="0" t="n">
        <f aca="false">MAX(0,L85-E85)*F85</f>
        <v>0</v>
      </c>
      <c r="P85" s="0" t="n">
        <f aca="false">SUMIFS(Quantites!$C$2:$C$1166,Quantites!$A$2:$A$1166,A85,Quantites!$B$2:$B$1166,"&lt;="&amp;Dates!$A$4)</f>
        <v>0</v>
      </c>
      <c r="Q85" s="0" t="n">
        <f aca="false">MIN(P85,E85)*F85</f>
        <v>0</v>
      </c>
      <c r="R85" s="0" t="n">
        <f aca="false">IF(P85&gt;=E85-0.000001,1,0)</f>
        <v>0</v>
      </c>
      <c r="S85" s="0" t="n">
        <f aca="false">MAX(0,P85-E85)*F85</f>
        <v>0</v>
      </c>
    </row>
    <row r="86" customFormat="false" ht="15" hidden="false" customHeight="false" outlineLevel="0" collapsed="false">
      <c r="A86" s="0" t="s">
        <v>309</v>
      </c>
      <c r="B86" s="0" t="s">
        <v>307</v>
      </c>
      <c r="C86" s="0" t="s">
        <v>177</v>
      </c>
      <c r="D86" s="0" t="s">
        <v>310</v>
      </c>
      <c r="E86" s="0" t="n">
        <v>196</v>
      </c>
      <c r="F86" s="0" t="n">
        <v>14500</v>
      </c>
      <c r="G86" s="0" t="n">
        <f aca="false">E86*F86</f>
        <v>2842000</v>
      </c>
      <c r="H86" s="0" t="n">
        <f aca="false">SUMIFS(Quantites!$C$2:$C$1166,Quantites!$A$2:$A$1166,A86,Quantites!$B$2:$B$1166,"&lt;="&amp;Dates!$A$2)</f>
        <v>0</v>
      </c>
      <c r="I86" s="0" t="n">
        <f aca="false">MIN(H86,E86)*F86</f>
        <v>0</v>
      </c>
      <c r="J86" s="0" t="n">
        <f aca="false">IF(H86&gt;=E86-0.000001,1,0)</f>
        <v>0</v>
      </c>
      <c r="K86" s="0" t="n">
        <f aca="false">MAX(0,H86-E86)*F86</f>
        <v>0</v>
      </c>
      <c r="L86" s="0" t="n">
        <f aca="false">SUMIFS(Quantites!$C$2:$C$1166,Quantites!$A$2:$A$1166,A86,Quantites!$B$2:$B$1166,"&lt;="&amp;Dates!$A$3)</f>
        <v>0</v>
      </c>
      <c r="M86" s="0" t="n">
        <f aca="false">MIN(L86,E86)*F86</f>
        <v>0</v>
      </c>
      <c r="N86" s="0" t="n">
        <f aca="false">IF(L86&gt;=E86-0.000001,1,0)</f>
        <v>0</v>
      </c>
      <c r="O86" s="0" t="n">
        <f aca="false">MAX(0,L86-E86)*F86</f>
        <v>0</v>
      </c>
      <c r="P86" s="0" t="n">
        <f aca="false">SUMIFS(Quantites!$C$2:$C$1166,Quantites!$A$2:$A$1166,A86,Quantites!$B$2:$B$1166,"&lt;="&amp;Dates!$A$4)</f>
        <v>0</v>
      </c>
      <c r="Q86" s="0" t="n">
        <f aca="false">MIN(P86,E86)*F86</f>
        <v>0</v>
      </c>
      <c r="R86" s="0" t="n">
        <f aca="false">IF(P86&gt;=E86-0.000001,1,0)</f>
        <v>0</v>
      </c>
      <c r="S86" s="0" t="n">
        <f aca="false">MAX(0,P86-E86)*F86</f>
        <v>0</v>
      </c>
    </row>
    <row r="87" customFormat="false" ht="15" hidden="false" customHeight="false" outlineLevel="0" collapsed="false">
      <c r="A87" s="0" t="s">
        <v>311</v>
      </c>
      <c r="B87" s="0" t="s">
        <v>312</v>
      </c>
      <c r="C87" s="0" t="s">
        <v>185</v>
      </c>
      <c r="D87" s="0" t="s">
        <v>313</v>
      </c>
      <c r="E87" s="0" t="n">
        <v>18600</v>
      </c>
      <c r="F87" s="0" t="n">
        <v>2200</v>
      </c>
      <c r="G87" s="0" t="n">
        <f aca="false">E87*F87</f>
        <v>40920000</v>
      </c>
      <c r="H87" s="0" t="n">
        <f aca="false">SUMIFS(Quantites!$C$2:$C$1166,Quantites!$A$2:$A$1166,A87,Quantites!$B$2:$B$1166,"&lt;="&amp;Dates!$A$2)</f>
        <v>0</v>
      </c>
      <c r="I87" s="0" t="n">
        <f aca="false">MIN(H87,E87)*F87</f>
        <v>0</v>
      </c>
      <c r="J87" s="0" t="n">
        <f aca="false">IF(H87&gt;=E87-0.000001,1,0)</f>
        <v>0</v>
      </c>
      <c r="K87" s="0" t="n">
        <f aca="false">MAX(0,H87-E87)*F87</f>
        <v>0</v>
      </c>
      <c r="L87" s="0" t="n">
        <f aca="false">SUMIFS(Quantites!$C$2:$C$1166,Quantites!$A$2:$A$1166,A87,Quantites!$B$2:$B$1166,"&lt;="&amp;Dates!$A$3)</f>
        <v>0</v>
      </c>
      <c r="M87" s="0" t="n">
        <f aca="false">MIN(L87,E87)*F87</f>
        <v>0</v>
      </c>
      <c r="N87" s="0" t="n">
        <f aca="false">IF(L87&gt;=E87-0.000001,1,0)</f>
        <v>0</v>
      </c>
      <c r="O87" s="0" t="n">
        <f aca="false">MAX(0,L87-E87)*F87</f>
        <v>0</v>
      </c>
      <c r="P87" s="0" t="n">
        <f aca="false">SUMIFS(Quantites!$C$2:$C$1166,Quantites!$A$2:$A$1166,A87,Quantites!$B$2:$B$1166,"&lt;="&amp;Dates!$A$4)</f>
        <v>0</v>
      </c>
      <c r="Q87" s="0" t="n">
        <f aca="false">MIN(P87,E87)*F87</f>
        <v>0</v>
      </c>
      <c r="R87" s="0" t="n">
        <f aca="false">IF(P87&gt;=E87-0.000001,1,0)</f>
        <v>0</v>
      </c>
      <c r="S87" s="0" t="n">
        <f aca="false">MAX(0,P87-E87)*F87</f>
        <v>0</v>
      </c>
    </row>
    <row r="88" customFormat="false" ht="15" hidden="false" customHeight="false" outlineLevel="0" collapsed="false">
      <c r="A88" s="0" t="s">
        <v>314</v>
      </c>
      <c r="B88" s="0" t="s">
        <v>312</v>
      </c>
      <c r="C88" s="0" t="s">
        <v>185</v>
      </c>
      <c r="D88" s="0" t="s">
        <v>315</v>
      </c>
      <c r="E88" s="0" t="n">
        <v>96</v>
      </c>
      <c r="F88" s="0" t="n">
        <v>42000</v>
      </c>
      <c r="G88" s="0" t="n">
        <f aca="false">E88*F88</f>
        <v>4032000</v>
      </c>
      <c r="H88" s="0" t="n">
        <f aca="false">SUMIFS(Quantites!$C$2:$C$1166,Quantites!$A$2:$A$1166,A88,Quantites!$B$2:$B$1166,"&lt;="&amp;Dates!$A$2)</f>
        <v>0</v>
      </c>
      <c r="I88" s="0" t="n">
        <f aca="false">MIN(H88,E88)*F88</f>
        <v>0</v>
      </c>
      <c r="J88" s="0" t="n">
        <f aca="false">IF(H88&gt;=E88-0.000001,1,0)</f>
        <v>0</v>
      </c>
      <c r="K88" s="0" t="n">
        <f aca="false">MAX(0,H88-E88)*F88</f>
        <v>0</v>
      </c>
      <c r="L88" s="0" t="n">
        <f aca="false">SUMIFS(Quantites!$C$2:$C$1166,Quantites!$A$2:$A$1166,A88,Quantites!$B$2:$B$1166,"&lt;="&amp;Dates!$A$3)</f>
        <v>0</v>
      </c>
      <c r="M88" s="0" t="n">
        <f aca="false">MIN(L88,E88)*F88</f>
        <v>0</v>
      </c>
      <c r="N88" s="0" t="n">
        <f aca="false">IF(L88&gt;=E88-0.000001,1,0)</f>
        <v>0</v>
      </c>
      <c r="O88" s="0" t="n">
        <f aca="false">MAX(0,L88-E88)*F88</f>
        <v>0</v>
      </c>
      <c r="P88" s="0" t="n">
        <f aca="false">SUMIFS(Quantites!$C$2:$C$1166,Quantites!$A$2:$A$1166,A88,Quantites!$B$2:$B$1166,"&lt;="&amp;Dates!$A$4)</f>
        <v>0</v>
      </c>
      <c r="Q88" s="0" t="n">
        <f aca="false">MIN(P88,E88)*F88</f>
        <v>0</v>
      </c>
      <c r="R88" s="0" t="n">
        <f aca="false">IF(P88&gt;=E88-0.000001,1,0)</f>
        <v>0</v>
      </c>
      <c r="S88" s="0" t="n">
        <f aca="false">MAX(0,P88-E88)*F88</f>
        <v>0</v>
      </c>
    </row>
    <row r="89" customFormat="false" ht="15" hidden="false" customHeight="false" outlineLevel="0" collapsed="false">
      <c r="A89" s="0" t="s">
        <v>316</v>
      </c>
      <c r="B89" s="0" t="s">
        <v>317</v>
      </c>
      <c r="C89" s="0" t="s">
        <v>185</v>
      </c>
      <c r="D89" s="0" t="s">
        <v>318</v>
      </c>
      <c r="E89" s="0" t="n">
        <v>742</v>
      </c>
      <c r="F89" s="0" t="n">
        <v>16000</v>
      </c>
      <c r="G89" s="0" t="n">
        <f aca="false">E89*F89</f>
        <v>11872000</v>
      </c>
      <c r="H89" s="0" t="n">
        <f aca="false">SUMIFS(Quantites!$C$2:$C$1166,Quantites!$A$2:$A$1166,A89,Quantites!$B$2:$B$1166,"&lt;="&amp;Dates!$A$2)</f>
        <v>0</v>
      </c>
      <c r="I89" s="0" t="n">
        <f aca="false">MIN(H89,E89)*F89</f>
        <v>0</v>
      </c>
      <c r="J89" s="0" t="n">
        <f aca="false">IF(H89&gt;=E89-0.000001,1,0)</f>
        <v>0</v>
      </c>
      <c r="K89" s="0" t="n">
        <f aca="false">MAX(0,H89-E89)*F89</f>
        <v>0</v>
      </c>
      <c r="L89" s="0" t="n">
        <f aca="false">SUMIFS(Quantites!$C$2:$C$1166,Quantites!$A$2:$A$1166,A89,Quantites!$B$2:$B$1166,"&lt;="&amp;Dates!$A$3)</f>
        <v>0</v>
      </c>
      <c r="M89" s="0" t="n">
        <f aca="false">MIN(L89,E89)*F89</f>
        <v>0</v>
      </c>
      <c r="N89" s="0" t="n">
        <f aca="false">IF(L89&gt;=E89-0.000001,1,0)</f>
        <v>0</v>
      </c>
      <c r="O89" s="0" t="n">
        <f aca="false">MAX(0,L89-E89)*F89</f>
        <v>0</v>
      </c>
      <c r="P89" s="0" t="n">
        <f aca="false">SUMIFS(Quantites!$C$2:$C$1166,Quantites!$A$2:$A$1166,A89,Quantites!$B$2:$B$1166,"&lt;="&amp;Dates!$A$4)</f>
        <v>0</v>
      </c>
      <c r="Q89" s="0" t="n">
        <f aca="false">MIN(P89,E89)*F89</f>
        <v>0</v>
      </c>
      <c r="R89" s="0" t="n">
        <f aca="false">IF(P89&gt;=E89-0.000001,1,0)</f>
        <v>0</v>
      </c>
      <c r="S89" s="0" t="n">
        <f aca="false">MAX(0,P89-E89)*F89</f>
        <v>0</v>
      </c>
    </row>
    <row r="90" customFormat="false" ht="15" hidden="false" customHeight="false" outlineLevel="0" collapsed="false">
      <c r="A90" s="0" t="s">
        <v>319</v>
      </c>
      <c r="B90" s="0" t="s">
        <v>317</v>
      </c>
      <c r="C90" s="0" t="s">
        <v>185</v>
      </c>
      <c r="D90" s="0" t="s">
        <v>320</v>
      </c>
      <c r="E90" s="0" t="n">
        <v>164</v>
      </c>
      <c r="F90" s="0" t="n">
        <v>12500</v>
      </c>
      <c r="G90" s="0" t="n">
        <f aca="false">E90*F90</f>
        <v>2050000</v>
      </c>
      <c r="H90" s="0" t="n">
        <f aca="false">SUMIFS(Quantites!$C$2:$C$1166,Quantites!$A$2:$A$1166,A90,Quantites!$B$2:$B$1166,"&lt;="&amp;Dates!$A$2)</f>
        <v>0</v>
      </c>
      <c r="I90" s="0" t="n">
        <f aca="false">MIN(H90,E90)*F90</f>
        <v>0</v>
      </c>
      <c r="J90" s="0" t="n">
        <f aca="false">IF(H90&gt;=E90-0.000001,1,0)</f>
        <v>0</v>
      </c>
      <c r="K90" s="0" t="n">
        <f aca="false">MAX(0,H90-E90)*F90</f>
        <v>0</v>
      </c>
      <c r="L90" s="0" t="n">
        <f aca="false">SUMIFS(Quantites!$C$2:$C$1166,Quantites!$A$2:$A$1166,A90,Quantites!$B$2:$B$1166,"&lt;="&amp;Dates!$A$3)</f>
        <v>0</v>
      </c>
      <c r="M90" s="0" t="n">
        <f aca="false">MIN(L90,E90)*F90</f>
        <v>0</v>
      </c>
      <c r="N90" s="0" t="n">
        <f aca="false">IF(L90&gt;=E90-0.000001,1,0)</f>
        <v>0</v>
      </c>
      <c r="O90" s="0" t="n">
        <f aca="false">MAX(0,L90-E90)*F90</f>
        <v>0</v>
      </c>
      <c r="P90" s="0" t="n">
        <f aca="false">SUMIFS(Quantites!$C$2:$C$1166,Quantites!$A$2:$A$1166,A90,Quantites!$B$2:$B$1166,"&lt;="&amp;Dates!$A$4)</f>
        <v>0</v>
      </c>
      <c r="Q90" s="0" t="n">
        <f aca="false">MIN(P90,E90)*F90</f>
        <v>0</v>
      </c>
      <c r="R90" s="0" t="n">
        <f aca="false">IF(P90&gt;=E90-0.000001,1,0)</f>
        <v>0</v>
      </c>
      <c r="S90" s="0" t="n">
        <f aca="false">MAX(0,P90-E90)*F90</f>
        <v>0</v>
      </c>
    </row>
    <row r="91" customFormat="false" ht="15" hidden="false" customHeight="false" outlineLevel="0" collapsed="false">
      <c r="A91" s="0" t="s">
        <v>321</v>
      </c>
      <c r="B91" s="0" t="s">
        <v>322</v>
      </c>
      <c r="C91" s="0" t="s">
        <v>185</v>
      </c>
      <c r="D91" s="0" t="s">
        <v>323</v>
      </c>
      <c r="E91" s="0" t="n">
        <v>386</v>
      </c>
      <c r="F91" s="0" t="n">
        <v>22000</v>
      </c>
      <c r="G91" s="0" t="n">
        <f aca="false">E91*F91</f>
        <v>8492000</v>
      </c>
      <c r="H91" s="0" t="n">
        <f aca="false">SUMIFS(Quantites!$C$2:$C$1166,Quantites!$A$2:$A$1166,A91,Quantites!$B$2:$B$1166,"&lt;="&amp;Dates!$A$2)</f>
        <v>0</v>
      </c>
      <c r="I91" s="0" t="n">
        <f aca="false">MIN(H91,E91)*F91</f>
        <v>0</v>
      </c>
      <c r="J91" s="0" t="n">
        <f aca="false">IF(H91&gt;=E91-0.000001,1,0)</f>
        <v>0</v>
      </c>
      <c r="K91" s="0" t="n">
        <f aca="false">MAX(0,H91-E91)*F91</f>
        <v>0</v>
      </c>
      <c r="L91" s="0" t="n">
        <f aca="false">SUMIFS(Quantites!$C$2:$C$1166,Quantites!$A$2:$A$1166,A91,Quantites!$B$2:$B$1166,"&lt;="&amp;Dates!$A$3)</f>
        <v>0</v>
      </c>
      <c r="M91" s="0" t="n">
        <f aca="false">MIN(L91,E91)*F91</f>
        <v>0</v>
      </c>
      <c r="N91" s="0" t="n">
        <f aca="false">IF(L91&gt;=E91-0.000001,1,0)</f>
        <v>0</v>
      </c>
      <c r="O91" s="0" t="n">
        <f aca="false">MAX(0,L91-E91)*F91</f>
        <v>0</v>
      </c>
      <c r="P91" s="0" t="n">
        <f aca="false">SUMIFS(Quantites!$C$2:$C$1166,Quantites!$A$2:$A$1166,A91,Quantites!$B$2:$B$1166,"&lt;="&amp;Dates!$A$4)</f>
        <v>0</v>
      </c>
      <c r="Q91" s="0" t="n">
        <f aca="false">MIN(P91,E91)*F91</f>
        <v>0</v>
      </c>
      <c r="R91" s="0" t="n">
        <f aca="false">IF(P91&gt;=E91-0.000001,1,0)</f>
        <v>0</v>
      </c>
      <c r="S91" s="0" t="n">
        <f aca="false">MAX(0,P91-E91)*F91</f>
        <v>0</v>
      </c>
    </row>
    <row r="92" customFormat="false" ht="15" hidden="false" customHeight="false" outlineLevel="0" collapsed="false">
      <c r="A92" s="0" t="s">
        <v>324</v>
      </c>
      <c r="B92" s="0" t="s">
        <v>322</v>
      </c>
      <c r="C92" s="0" t="s">
        <v>185</v>
      </c>
      <c r="D92" s="0" t="s">
        <v>325</v>
      </c>
      <c r="E92" s="0" t="n">
        <v>24</v>
      </c>
      <c r="F92" s="0" t="n">
        <v>82000</v>
      </c>
      <c r="G92" s="0" t="n">
        <f aca="false">E92*F92</f>
        <v>1968000</v>
      </c>
      <c r="H92" s="0" t="n">
        <f aca="false">SUMIFS(Quantites!$C$2:$C$1166,Quantites!$A$2:$A$1166,A92,Quantites!$B$2:$B$1166,"&lt;="&amp;Dates!$A$2)</f>
        <v>0</v>
      </c>
      <c r="I92" s="0" t="n">
        <f aca="false">MIN(H92,E92)*F92</f>
        <v>0</v>
      </c>
      <c r="J92" s="0" t="n">
        <f aca="false">IF(H92&gt;=E92-0.000001,1,0)</f>
        <v>0</v>
      </c>
      <c r="K92" s="0" t="n">
        <f aca="false">MAX(0,H92-E92)*F92</f>
        <v>0</v>
      </c>
      <c r="L92" s="0" t="n">
        <f aca="false">SUMIFS(Quantites!$C$2:$C$1166,Quantites!$A$2:$A$1166,A92,Quantites!$B$2:$B$1166,"&lt;="&amp;Dates!$A$3)</f>
        <v>0</v>
      </c>
      <c r="M92" s="0" t="n">
        <f aca="false">MIN(L92,E92)*F92</f>
        <v>0</v>
      </c>
      <c r="N92" s="0" t="n">
        <f aca="false">IF(L92&gt;=E92-0.000001,1,0)</f>
        <v>0</v>
      </c>
      <c r="O92" s="0" t="n">
        <f aca="false">MAX(0,L92-E92)*F92</f>
        <v>0</v>
      </c>
      <c r="P92" s="0" t="n">
        <f aca="false">SUMIFS(Quantites!$C$2:$C$1166,Quantites!$A$2:$A$1166,A92,Quantites!$B$2:$B$1166,"&lt;="&amp;Dates!$A$4)</f>
        <v>0</v>
      </c>
      <c r="Q92" s="0" t="n">
        <f aca="false">MIN(P92,E92)*F92</f>
        <v>0</v>
      </c>
      <c r="R92" s="0" t="n">
        <f aca="false">IF(P92&gt;=E92-0.000001,1,0)</f>
        <v>0</v>
      </c>
      <c r="S92" s="0" t="n">
        <f aca="false">MAX(0,P92-E92)*F92</f>
        <v>0</v>
      </c>
    </row>
    <row r="93" customFormat="false" ht="15" hidden="false" customHeight="false" outlineLevel="0" collapsed="false">
      <c r="A93" s="0" t="s">
        <v>326</v>
      </c>
      <c r="B93" s="0" t="s">
        <v>327</v>
      </c>
      <c r="C93" s="0" t="s">
        <v>185</v>
      </c>
      <c r="D93" s="0" t="s">
        <v>328</v>
      </c>
      <c r="E93" s="0" t="n">
        <v>148</v>
      </c>
      <c r="F93" s="0" t="n">
        <v>9000</v>
      </c>
      <c r="G93" s="0" t="n">
        <f aca="false">E93*F93</f>
        <v>1332000</v>
      </c>
      <c r="H93" s="0" t="n">
        <f aca="false">SUMIFS(Quantites!$C$2:$C$1166,Quantites!$A$2:$A$1166,A93,Quantites!$B$2:$B$1166,"&lt;="&amp;Dates!$A$2)</f>
        <v>0</v>
      </c>
      <c r="I93" s="0" t="n">
        <f aca="false">MIN(H93,E93)*F93</f>
        <v>0</v>
      </c>
      <c r="J93" s="0" t="n">
        <f aca="false">IF(H93&gt;=E93-0.000001,1,0)</f>
        <v>0</v>
      </c>
      <c r="K93" s="0" t="n">
        <f aca="false">MAX(0,H93-E93)*F93</f>
        <v>0</v>
      </c>
      <c r="L93" s="0" t="n">
        <f aca="false">SUMIFS(Quantites!$C$2:$C$1166,Quantites!$A$2:$A$1166,A93,Quantites!$B$2:$B$1166,"&lt;="&amp;Dates!$A$3)</f>
        <v>0</v>
      </c>
      <c r="M93" s="0" t="n">
        <f aca="false">MIN(L93,E93)*F93</f>
        <v>0</v>
      </c>
      <c r="N93" s="0" t="n">
        <f aca="false">IF(L93&gt;=E93-0.000001,1,0)</f>
        <v>0</v>
      </c>
      <c r="O93" s="0" t="n">
        <f aca="false">MAX(0,L93-E93)*F93</f>
        <v>0</v>
      </c>
      <c r="P93" s="0" t="n">
        <f aca="false">SUMIFS(Quantites!$C$2:$C$1166,Quantites!$A$2:$A$1166,A93,Quantites!$B$2:$B$1166,"&lt;="&amp;Dates!$A$4)</f>
        <v>0</v>
      </c>
      <c r="Q93" s="0" t="n">
        <f aca="false">MIN(P93,E93)*F93</f>
        <v>0</v>
      </c>
      <c r="R93" s="0" t="n">
        <f aca="false">IF(P93&gt;=E93-0.000001,1,0)</f>
        <v>0</v>
      </c>
      <c r="S93" s="0" t="n">
        <f aca="false">MAX(0,P93-E93)*F93</f>
        <v>0</v>
      </c>
    </row>
    <row r="94" customFormat="false" ht="15" hidden="false" customHeight="false" outlineLevel="0" collapsed="false">
      <c r="A94" s="0" t="s">
        <v>329</v>
      </c>
      <c r="B94" s="0" t="s">
        <v>327</v>
      </c>
      <c r="C94" s="0" t="s">
        <v>185</v>
      </c>
      <c r="D94" s="0" t="s">
        <v>330</v>
      </c>
      <c r="E94" s="0" t="n">
        <v>96</v>
      </c>
      <c r="F94" s="0" t="n">
        <v>18500</v>
      </c>
      <c r="G94" s="0" t="n">
        <f aca="false">E94*F94</f>
        <v>1776000</v>
      </c>
      <c r="H94" s="0" t="n">
        <f aca="false">SUMIFS(Quantites!$C$2:$C$1166,Quantites!$A$2:$A$1166,A94,Quantites!$B$2:$B$1166,"&lt;="&amp;Dates!$A$2)</f>
        <v>0</v>
      </c>
      <c r="I94" s="0" t="n">
        <f aca="false">MIN(H94,E94)*F94</f>
        <v>0</v>
      </c>
      <c r="J94" s="0" t="n">
        <f aca="false">IF(H94&gt;=E94-0.000001,1,0)</f>
        <v>0</v>
      </c>
      <c r="K94" s="0" t="n">
        <f aca="false">MAX(0,H94-E94)*F94</f>
        <v>0</v>
      </c>
      <c r="L94" s="0" t="n">
        <f aca="false">SUMIFS(Quantites!$C$2:$C$1166,Quantites!$A$2:$A$1166,A94,Quantites!$B$2:$B$1166,"&lt;="&amp;Dates!$A$3)</f>
        <v>0</v>
      </c>
      <c r="M94" s="0" t="n">
        <f aca="false">MIN(L94,E94)*F94</f>
        <v>0</v>
      </c>
      <c r="N94" s="0" t="n">
        <f aca="false">IF(L94&gt;=E94-0.000001,1,0)</f>
        <v>0</v>
      </c>
      <c r="O94" s="0" t="n">
        <f aca="false">MAX(0,L94-E94)*F94</f>
        <v>0</v>
      </c>
      <c r="P94" s="0" t="n">
        <f aca="false">SUMIFS(Quantites!$C$2:$C$1166,Quantites!$A$2:$A$1166,A94,Quantites!$B$2:$B$1166,"&lt;="&amp;Dates!$A$4)</f>
        <v>0</v>
      </c>
      <c r="Q94" s="0" t="n">
        <f aca="false">MIN(P94,E94)*F94</f>
        <v>0</v>
      </c>
      <c r="R94" s="0" t="n">
        <f aca="false">IF(P94&gt;=E94-0.000001,1,0)</f>
        <v>0</v>
      </c>
      <c r="S94" s="0" t="n">
        <f aca="false">MAX(0,P94-E94)*F94</f>
        <v>0</v>
      </c>
    </row>
    <row r="95" customFormat="false" ht="15" hidden="false" customHeight="false" outlineLevel="0" collapsed="false">
      <c r="A95" s="0" t="s">
        <v>160</v>
      </c>
      <c r="B95" s="0" t="s">
        <v>331</v>
      </c>
      <c r="C95" s="0" t="s">
        <v>178</v>
      </c>
      <c r="D95" s="0" t="s">
        <v>332</v>
      </c>
      <c r="E95" s="0" t="n">
        <v>1860</v>
      </c>
      <c r="F95" s="0" t="n">
        <v>8200</v>
      </c>
      <c r="G95" s="0" t="n">
        <f aca="false">E95*F95</f>
        <v>15252000</v>
      </c>
      <c r="H95" s="0" t="n">
        <f aca="false">SUMIFS(Quantites!$C$2:$C$1166,Quantites!$A$2:$A$1166,A95,Quantites!$B$2:$B$1166,"&lt;="&amp;Dates!$A$2)</f>
        <v>0</v>
      </c>
      <c r="I95" s="0" t="n">
        <f aca="false">MIN(H95,E95)*F95</f>
        <v>0</v>
      </c>
      <c r="J95" s="0" t="n">
        <f aca="false">IF(H95&gt;=E95-0.000001,1,0)</f>
        <v>0</v>
      </c>
      <c r="K95" s="0" t="n">
        <f aca="false">MAX(0,H95-E95)*F95</f>
        <v>0</v>
      </c>
      <c r="L95" s="0" t="n">
        <f aca="false">SUMIFS(Quantites!$C$2:$C$1166,Quantites!$A$2:$A$1166,A95,Quantites!$B$2:$B$1166,"&lt;="&amp;Dates!$A$3)</f>
        <v>0</v>
      </c>
      <c r="M95" s="0" t="n">
        <f aca="false">MIN(L95,E95)*F95</f>
        <v>0</v>
      </c>
      <c r="N95" s="0" t="n">
        <f aca="false">IF(L95&gt;=E95-0.000001,1,0)</f>
        <v>0</v>
      </c>
      <c r="O95" s="0" t="n">
        <f aca="false">MAX(0,L95-E95)*F95</f>
        <v>0</v>
      </c>
      <c r="P95" s="0" t="n">
        <f aca="false">SUMIFS(Quantites!$C$2:$C$1166,Quantites!$A$2:$A$1166,A95,Quantites!$B$2:$B$1166,"&lt;="&amp;Dates!$A$4)</f>
        <v>1573.678</v>
      </c>
      <c r="Q95" s="0" t="n">
        <f aca="false">MIN(P95,E95)*F95</f>
        <v>12904159.6</v>
      </c>
      <c r="R95" s="0" t="n">
        <f aca="false">IF(P95&gt;=E95-0.000001,1,0)</f>
        <v>0</v>
      </c>
      <c r="S95" s="0" t="n">
        <f aca="false">MAX(0,P95-E95)*F95</f>
        <v>0</v>
      </c>
    </row>
    <row r="96" customFormat="false" ht="15" hidden="false" customHeight="false" outlineLevel="0" collapsed="false">
      <c r="A96" s="0" t="s">
        <v>159</v>
      </c>
      <c r="B96" s="0" t="s">
        <v>331</v>
      </c>
      <c r="C96" s="0" t="s">
        <v>178</v>
      </c>
      <c r="D96" s="0" t="s">
        <v>333</v>
      </c>
      <c r="E96" s="0" t="n">
        <v>420</v>
      </c>
      <c r="F96" s="0" t="n">
        <v>16500</v>
      </c>
      <c r="G96" s="0" t="n">
        <f aca="false">E96*F96</f>
        <v>6930000</v>
      </c>
      <c r="H96" s="0" t="n">
        <f aca="false">SUMIFS(Quantites!$C$2:$C$1166,Quantites!$A$2:$A$1166,A96,Quantites!$B$2:$B$1166,"&lt;="&amp;Dates!$A$2)</f>
        <v>0</v>
      </c>
      <c r="I96" s="0" t="n">
        <f aca="false">MIN(H96,E96)*F96</f>
        <v>0</v>
      </c>
      <c r="J96" s="0" t="n">
        <f aca="false">IF(H96&gt;=E96-0.000001,1,0)</f>
        <v>0</v>
      </c>
      <c r="K96" s="0" t="n">
        <f aca="false">MAX(0,H96-E96)*F96</f>
        <v>0</v>
      </c>
      <c r="L96" s="0" t="n">
        <f aca="false">SUMIFS(Quantites!$C$2:$C$1166,Quantites!$A$2:$A$1166,A96,Quantites!$B$2:$B$1166,"&lt;="&amp;Dates!$A$3)</f>
        <v>0</v>
      </c>
      <c r="M96" s="0" t="n">
        <f aca="false">MIN(L96,E96)*F96</f>
        <v>0</v>
      </c>
      <c r="N96" s="0" t="n">
        <f aca="false">IF(L96&gt;=E96-0.000001,1,0)</f>
        <v>0</v>
      </c>
      <c r="O96" s="0" t="n">
        <f aca="false">MAX(0,L96-E96)*F96</f>
        <v>0</v>
      </c>
      <c r="P96" s="0" t="n">
        <f aca="false">SUMIFS(Quantites!$C$2:$C$1166,Quantites!$A$2:$A$1166,A96,Quantites!$B$2:$B$1166,"&lt;="&amp;Dates!$A$4)</f>
        <v>355.347</v>
      </c>
      <c r="Q96" s="0" t="n">
        <f aca="false">MIN(P96,E96)*F96</f>
        <v>5863225.5</v>
      </c>
      <c r="R96" s="0" t="n">
        <f aca="false">IF(P96&gt;=E96-0.000001,1,0)</f>
        <v>0</v>
      </c>
      <c r="S96" s="0" t="n">
        <f aca="false">MAX(0,P96-E96)*F96</f>
        <v>0</v>
      </c>
    </row>
    <row r="97" customFormat="false" ht="15" hidden="false" customHeight="false" outlineLevel="0" collapsed="false">
      <c r="A97" s="0" t="s">
        <v>334</v>
      </c>
      <c r="B97" s="0" t="s">
        <v>335</v>
      </c>
      <c r="C97" s="0" t="s">
        <v>178</v>
      </c>
      <c r="D97" s="0" t="s">
        <v>336</v>
      </c>
      <c r="E97" s="0" t="n">
        <v>8640</v>
      </c>
      <c r="F97" s="0" t="n">
        <v>4500</v>
      </c>
      <c r="G97" s="0" t="n">
        <f aca="false">E97*F97</f>
        <v>38880000</v>
      </c>
      <c r="H97" s="0" t="n">
        <f aca="false">SUMIFS(Quantites!$C$2:$C$1166,Quantites!$A$2:$A$1166,A97,Quantites!$B$2:$B$1166,"&lt;="&amp;Dates!$A$2)</f>
        <v>0</v>
      </c>
      <c r="I97" s="0" t="n">
        <f aca="false">MIN(H97,E97)*F97</f>
        <v>0</v>
      </c>
      <c r="J97" s="0" t="n">
        <f aca="false">IF(H97&gt;=E97-0.000001,1,0)</f>
        <v>0</v>
      </c>
      <c r="K97" s="0" t="n">
        <f aca="false">MAX(0,H97-E97)*F97</f>
        <v>0</v>
      </c>
      <c r="L97" s="0" t="n">
        <f aca="false">SUMIFS(Quantites!$C$2:$C$1166,Quantites!$A$2:$A$1166,A97,Quantites!$B$2:$B$1166,"&lt;="&amp;Dates!$A$3)</f>
        <v>0</v>
      </c>
      <c r="M97" s="0" t="n">
        <f aca="false">MIN(L97,E97)*F97</f>
        <v>0</v>
      </c>
      <c r="N97" s="0" t="n">
        <f aca="false">IF(L97&gt;=E97-0.000001,1,0)</f>
        <v>0</v>
      </c>
      <c r="O97" s="0" t="n">
        <f aca="false">MAX(0,L97-E97)*F97</f>
        <v>0</v>
      </c>
      <c r="P97" s="0" t="n">
        <f aca="false">SUMIFS(Quantites!$C$2:$C$1166,Quantites!$A$2:$A$1166,A97,Quantites!$B$2:$B$1166,"&lt;="&amp;Dates!$A$4)</f>
        <v>0</v>
      </c>
      <c r="Q97" s="0" t="n">
        <f aca="false">MIN(P97,E97)*F97</f>
        <v>0</v>
      </c>
      <c r="R97" s="0" t="n">
        <f aca="false">IF(P97&gt;=E97-0.000001,1,0)</f>
        <v>0</v>
      </c>
      <c r="S97" s="0" t="n">
        <f aca="false">MAX(0,P97-E97)*F97</f>
        <v>0</v>
      </c>
    </row>
    <row r="98" customFormat="false" ht="15" hidden="false" customHeight="false" outlineLevel="0" collapsed="false">
      <c r="A98" s="0" t="s">
        <v>337</v>
      </c>
      <c r="B98" s="0" t="s">
        <v>338</v>
      </c>
      <c r="C98" s="0" t="s">
        <v>178</v>
      </c>
      <c r="D98" s="0" t="s">
        <v>339</v>
      </c>
      <c r="E98" s="0" t="n">
        <v>2960</v>
      </c>
      <c r="F98" s="0" t="n">
        <v>5800</v>
      </c>
      <c r="G98" s="0" t="n">
        <f aca="false">E98*F98</f>
        <v>17168000</v>
      </c>
      <c r="H98" s="0" t="n">
        <f aca="false">SUMIFS(Quantites!$C$2:$C$1166,Quantites!$A$2:$A$1166,A98,Quantites!$B$2:$B$1166,"&lt;="&amp;Dates!$A$2)</f>
        <v>0</v>
      </c>
      <c r="I98" s="0" t="n">
        <f aca="false">MIN(H98,E98)*F98</f>
        <v>0</v>
      </c>
      <c r="J98" s="0" t="n">
        <f aca="false">IF(H98&gt;=E98-0.000001,1,0)</f>
        <v>0</v>
      </c>
      <c r="K98" s="0" t="n">
        <f aca="false">MAX(0,H98-E98)*F98</f>
        <v>0</v>
      </c>
      <c r="L98" s="0" t="n">
        <f aca="false">SUMIFS(Quantites!$C$2:$C$1166,Quantites!$A$2:$A$1166,A98,Quantites!$B$2:$B$1166,"&lt;="&amp;Dates!$A$3)</f>
        <v>0</v>
      </c>
      <c r="M98" s="0" t="n">
        <f aca="false">MIN(L98,E98)*F98</f>
        <v>0</v>
      </c>
      <c r="N98" s="0" t="n">
        <f aca="false">IF(L98&gt;=E98-0.000001,1,0)</f>
        <v>0</v>
      </c>
      <c r="O98" s="0" t="n">
        <f aca="false">MAX(0,L98-E98)*F98</f>
        <v>0</v>
      </c>
      <c r="P98" s="0" t="n">
        <f aca="false">SUMIFS(Quantites!$C$2:$C$1166,Quantites!$A$2:$A$1166,A98,Quantites!$B$2:$B$1166,"&lt;="&amp;Dates!$A$4)</f>
        <v>0</v>
      </c>
      <c r="Q98" s="0" t="n">
        <f aca="false">MIN(P98,E98)*F98</f>
        <v>0</v>
      </c>
      <c r="R98" s="0" t="n">
        <f aca="false">IF(P98&gt;=E98-0.000001,1,0)</f>
        <v>0</v>
      </c>
      <c r="S98" s="0" t="n">
        <f aca="false">MAX(0,P98-E98)*F98</f>
        <v>0</v>
      </c>
    </row>
    <row r="99" customFormat="false" ht="15" hidden="false" customHeight="false" outlineLevel="0" collapsed="false">
      <c r="A99" s="0" t="s">
        <v>340</v>
      </c>
      <c r="B99" s="0" t="s">
        <v>341</v>
      </c>
      <c r="C99" s="0" t="s">
        <v>178</v>
      </c>
      <c r="D99" s="0" t="s">
        <v>342</v>
      </c>
      <c r="E99" s="0" t="n">
        <v>2180</v>
      </c>
      <c r="F99" s="0" t="n">
        <v>6500</v>
      </c>
      <c r="G99" s="0" t="n">
        <f aca="false">E99*F99</f>
        <v>14170000</v>
      </c>
      <c r="H99" s="0" t="n">
        <f aca="false">SUMIFS(Quantites!$C$2:$C$1166,Quantites!$A$2:$A$1166,A99,Quantites!$B$2:$B$1166,"&lt;="&amp;Dates!$A$2)</f>
        <v>0</v>
      </c>
      <c r="I99" s="0" t="n">
        <f aca="false">MIN(H99,E99)*F99</f>
        <v>0</v>
      </c>
      <c r="J99" s="0" t="n">
        <f aca="false">IF(H99&gt;=E99-0.000001,1,0)</f>
        <v>0</v>
      </c>
      <c r="K99" s="0" t="n">
        <f aca="false">MAX(0,H99-E99)*F99</f>
        <v>0</v>
      </c>
      <c r="L99" s="0" t="n">
        <f aca="false">SUMIFS(Quantites!$C$2:$C$1166,Quantites!$A$2:$A$1166,A99,Quantites!$B$2:$B$1166,"&lt;="&amp;Dates!$A$3)</f>
        <v>0</v>
      </c>
      <c r="M99" s="0" t="n">
        <f aca="false">MIN(L99,E99)*F99</f>
        <v>0</v>
      </c>
      <c r="N99" s="0" t="n">
        <f aca="false">IF(L99&gt;=E99-0.000001,1,0)</f>
        <v>0</v>
      </c>
      <c r="O99" s="0" t="n">
        <f aca="false">MAX(0,L99-E99)*F99</f>
        <v>0</v>
      </c>
      <c r="P99" s="0" t="n">
        <f aca="false">SUMIFS(Quantites!$C$2:$C$1166,Quantites!$A$2:$A$1166,A99,Quantites!$B$2:$B$1166,"&lt;="&amp;Dates!$A$4)</f>
        <v>0</v>
      </c>
      <c r="Q99" s="0" t="n">
        <f aca="false">MIN(P99,E99)*F99</f>
        <v>0</v>
      </c>
      <c r="R99" s="0" t="n">
        <f aca="false">IF(P99&gt;=E99-0.000001,1,0)</f>
        <v>0</v>
      </c>
      <c r="S99" s="0" t="n">
        <f aca="false">MAX(0,P99-E99)*F99</f>
        <v>0</v>
      </c>
    </row>
    <row r="100" customFormat="false" ht="15" hidden="false" customHeight="false" outlineLevel="0" collapsed="false">
      <c r="A100" s="0" t="s">
        <v>343</v>
      </c>
      <c r="B100" s="0" t="s">
        <v>344</v>
      </c>
      <c r="C100" s="0" t="s">
        <v>178</v>
      </c>
      <c r="D100" s="0" t="s">
        <v>345</v>
      </c>
      <c r="E100" s="0" t="n">
        <v>2040</v>
      </c>
      <c r="F100" s="0" t="n">
        <v>18000</v>
      </c>
      <c r="G100" s="0" t="n">
        <f aca="false">E100*F100</f>
        <v>36720000</v>
      </c>
      <c r="H100" s="0" t="n">
        <f aca="false">SUMIFS(Quantites!$C$2:$C$1166,Quantites!$A$2:$A$1166,A100,Quantites!$B$2:$B$1166,"&lt;="&amp;Dates!$A$2)</f>
        <v>0</v>
      </c>
      <c r="I100" s="0" t="n">
        <f aca="false">MIN(H100,E100)*F100</f>
        <v>0</v>
      </c>
      <c r="J100" s="0" t="n">
        <f aca="false">IF(H100&gt;=E100-0.000001,1,0)</f>
        <v>0</v>
      </c>
      <c r="K100" s="0" t="n">
        <f aca="false">MAX(0,H100-E100)*F100</f>
        <v>0</v>
      </c>
      <c r="L100" s="0" t="n">
        <f aca="false">SUMIFS(Quantites!$C$2:$C$1166,Quantites!$A$2:$A$1166,A100,Quantites!$B$2:$B$1166,"&lt;="&amp;Dates!$A$3)</f>
        <v>0</v>
      </c>
      <c r="M100" s="0" t="n">
        <f aca="false">MIN(L100,E100)*F100</f>
        <v>0</v>
      </c>
      <c r="N100" s="0" t="n">
        <f aca="false">IF(L100&gt;=E100-0.000001,1,0)</f>
        <v>0</v>
      </c>
      <c r="O100" s="0" t="n">
        <f aca="false">MAX(0,L100-E100)*F100</f>
        <v>0</v>
      </c>
      <c r="P100" s="0" t="n">
        <f aca="false">SUMIFS(Quantites!$C$2:$C$1166,Quantites!$A$2:$A$1166,A100,Quantites!$B$2:$B$1166,"&lt;="&amp;Dates!$A$4)</f>
        <v>0</v>
      </c>
      <c r="Q100" s="0" t="n">
        <f aca="false">MIN(P100,E100)*F100</f>
        <v>0</v>
      </c>
      <c r="R100" s="0" t="n">
        <f aca="false">IF(P100&gt;=E100-0.000001,1,0)</f>
        <v>0</v>
      </c>
      <c r="S100" s="0" t="n">
        <f aca="false">MAX(0,P100-E100)*F100</f>
        <v>0</v>
      </c>
    </row>
    <row r="101" customFormat="false" ht="15" hidden="false" customHeight="false" outlineLevel="0" collapsed="false">
      <c r="A101" s="0" t="s">
        <v>346</v>
      </c>
      <c r="B101" s="0" t="s">
        <v>344</v>
      </c>
      <c r="C101" s="0" t="s">
        <v>178</v>
      </c>
      <c r="D101" s="0" t="s">
        <v>347</v>
      </c>
      <c r="E101" s="0" t="n">
        <v>680</v>
      </c>
      <c r="F101" s="0" t="n">
        <v>21000</v>
      </c>
      <c r="G101" s="0" t="n">
        <f aca="false">E101*F101</f>
        <v>14280000</v>
      </c>
      <c r="H101" s="0" t="n">
        <f aca="false">SUMIFS(Quantites!$C$2:$C$1166,Quantites!$A$2:$A$1166,A101,Quantites!$B$2:$B$1166,"&lt;="&amp;Dates!$A$2)</f>
        <v>0</v>
      </c>
      <c r="I101" s="0" t="n">
        <f aca="false">MIN(H101,E101)*F101</f>
        <v>0</v>
      </c>
      <c r="J101" s="0" t="n">
        <f aca="false">IF(H101&gt;=E101-0.000001,1,0)</f>
        <v>0</v>
      </c>
      <c r="K101" s="0" t="n">
        <f aca="false">MAX(0,H101-E101)*F101</f>
        <v>0</v>
      </c>
      <c r="L101" s="0" t="n">
        <f aca="false">SUMIFS(Quantites!$C$2:$C$1166,Quantites!$A$2:$A$1166,A101,Quantites!$B$2:$B$1166,"&lt;="&amp;Dates!$A$3)</f>
        <v>0</v>
      </c>
      <c r="M101" s="0" t="n">
        <f aca="false">MIN(L101,E101)*F101</f>
        <v>0</v>
      </c>
      <c r="N101" s="0" t="n">
        <f aca="false">IF(L101&gt;=E101-0.000001,1,0)</f>
        <v>0</v>
      </c>
      <c r="O101" s="0" t="n">
        <f aca="false">MAX(0,L101-E101)*F101</f>
        <v>0</v>
      </c>
      <c r="P101" s="0" t="n">
        <f aca="false">SUMIFS(Quantites!$C$2:$C$1166,Quantites!$A$2:$A$1166,A101,Quantites!$B$2:$B$1166,"&lt;="&amp;Dates!$A$4)</f>
        <v>0</v>
      </c>
      <c r="Q101" s="0" t="n">
        <f aca="false">MIN(P101,E101)*F101</f>
        <v>0</v>
      </c>
      <c r="R101" s="0" t="n">
        <f aca="false">IF(P101&gt;=E101-0.000001,1,0)</f>
        <v>0</v>
      </c>
      <c r="S101" s="0" t="n">
        <f aca="false">MAX(0,P101-E101)*F101</f>
        <v>0</v>
      </c>
    </row>
    <row r="102" customFormat="false" ht="15" hidden="false" customHeight="false" outlineLevel="0" collapsed="false">
      <c r="A102" s="0" t="s">
        <v>348</v>
      </c>
      <c r="B102" s="0" t="s">
        <v>344</v>
      </c>
      <c r="C102" s="0" t="s">
        <v>178</v>
      </c>
      <c r="D102" s="0" t="s">
        <v>349</v>
      </c>
      <c r="E102" s="0" t="n">
        <v>1640</v>
      </c>
      <c r="F102" s="0" t="n">
        <v>4800</v>
      </c>
      <c r="G102" s="0" t="n">
        <f aca="false">E102*F102</f>
        <v>7872000</v>
      </c>
      <c r="H102" s="0" t="n">
        <f aca="false">SUMIFS(Quantites!$C$2:$C$1166,Quantites!$A$2:$A$1166,A102,Quantites!$B$2:$B$1166,"&lt;="&amp;Dates!$A$2)</f>
        <v>0</v>
      </c>
      <c r="I102" s="0" t="n">
        <f aca="false">MIN(H102,E102)*F102</f>
        <v>0</v>
      </c>
      <c r="J102" s="0" t="n">
        <f aca="false">IF(H102&gt;=E102-0.000001,1,0)</f>
        <v>0</v>
      </c>
      <c r="K102" s="0" t="n">
        <f aca="false">MAX(0,H102-E102)*F102</f>
        <v>0</v>
      </c>
      <c r="L102" s="0" t="n">
        <f aca="false">SUMIFS(Quantites!$C$2:$C$1166,Quantites!$A$2:$A$1166,A102,Quantites!$B$2:$B$1166,"&lt;="&amp;Dates!$A$3)</f>
        <v>0</v>
      </c>
      <c r="M102" s="0" t="n">
        <f aca="false">MIN(L102,E102)*F102</f>
        <v>0</v>
      </c>
      <c r="N102" s="0" t="n">
        <f aca="false">IF(L102&gt;=E102-0.000001,1,0)</f>
        <v>0</v>
      </c>
      <c r="O102" s="0" t="n">
        <f aca="false">MAX(0,L102-E102)*F102</f>
        <v>0</v>
      </c>
      <c r="P102" s="0" t="n">
        <f aca="false">SUMIFS(Quantites!$C$2:$C$1166,Quantites!$A$2:$A$1166,A102,Quantites!$B$2:$B$1166,"&lt;="&amp;Dates!$A$4)</f>
        <v>0</v>
      </c>
      <c r="Q102" s="0" t="n">
        <f aca="false">MIN(P102,E102)*F102</f>
        <v>0</v>
      </c>
      <c r="R102" s="0" t="n">
        <f aca="false">IF(P102&gt;=E102-0.000001,1,0)</f>
        <v>0</v>
      </c>
      <c r="S102" s="0" t="n">
        <f aca="false">MAX(0,P102-E102)*F102</f>
        <v>0</v>
      </c>
    </row>
    <row r="103" customFormat="false" ht="15" hidden="false" customHeight="false" outlineLevel="0" collapsed="false">
      <c r="A103" s="0" t="s">
        <v>350</v>
      </c>
      <c r="B103" s="0" t="s">
        <v>351</v>
      </c>
      <c r="C103" s="0" t="s">
        <v>178</v>
      </c>
      <c r="D103" s="0" t="s">
        <v>352</v>
      </c>
      <c r="E103" s="0" t="n">
        <v>386</v>
      </c>
      <c r="F103" s="0" t="n">
        <v>85000</v>
      </c>
      <c r="G103" s="0" t="n">
        <f aca="false">E103*F103</f>
        <v>32810000</v>
      </c>
      <c r="H103" s="0" t="n">
        <f aca="false">SUMIFS(Quantites!$C$2:$C$1166,Quantites!$A$2:$A$1166,A103,Quantites!$B$2:$B$1166,"&lt;="&amp;Dates!$A$2)</f>
        <v>0</v>
      </c>
      <c r="I103" s="0" t="n">
        <f aca="false">MIN(H103,E103)*F103</f>
        <v>0</v>
      </c>
      <c r="J103" s="0" t="n">
        <f aca="false">IF(H103&gt;=E103-0.000001,1,0)</f>
        <v>0</v>
      </c>
      <c r="K103" s="0" t="n">
        <f aca="false">MAX(0,H103-E103)*F103</f>
        <v>0</v>
      </c>
      <c r="L103" s="0" t="n">
        <f aca="false">SUMIFS(Quantites!$C$2:$C$1166,Quantites!$A$2:$A$1166,A103,Quantites!$B$2:$B$1166,"&lt;="&amp;Dates!$A$3)</f>
        <v>0</v>
      </c>
      <c r="M103" s="0" t="n">
        <f aca="false">MIN(L103,E103)*F103</f>
        <v>0</v>
      </c>
      <c r="N103" s="0" t="n">
        <f aca="false">IF(L103&gt;=E103-0.000001,1,0)</f>
        <v>0</v>
      </c>
      <c r="O103" s="0" t="n">
        <f aca="false">MAX(0,L103-E103)*F103</f>
        <v>0</v>
      </c>
      <c r="P103" s="0" t="n">
        <f aca="false">SUMIFS(Quantites!$C$2:$C$1166,Quantites!$A$2:$A$1166,A103,Quantites!$B$2:$B$1166,"&lt;="&amp;Dates!$A$4)</f>
        <v>0</v>
      </c>
      <c r="Q103" s="0" t="n">
        <f aca="false">MIN(P103,E103)*F103</f>
        <v>0</v>
      </c>
      <c r="R103" s="0" t="n">
        <f aca="false">IF(P103&gt;=E103-0.000001,1,0)</f>
        <v>0</v>
      </c>
      <c r="S103" s="0" t="n">
        <f aca="false">MAX(0,P103-E103)*F103</f>
        <v>0</v>
      </c>
    </row>
    <row r="104" customFormat="false" ht="15" hidden="false" customHeight="false" outlineLevel="0" collapsed="false">
      <c r="A104" s="0" t="s">
        <v>353</v>
      </c>
      <c r="B104" s="0" t="s">
        <v>351</v>
      </c>
      <c r="C104" s="0" t="s">
        <v>178</v>
      </c>
      <c r="D104" s="0" t="s">
        <v>354</v>
      </c>
      <c r="E104" s="0" t="n">
        <v>4</v>
      </c>
      <c r="F104" s="0" t="n">
        <v>780000</v>
      </c>
      <c r="G104" s="0" t="n">
        <f aca="false">E104*F104</f>
        <v>3120000</v>
      </c>
      <c r="H104" s="0" t="n">
        <f aca="false">SUMIFS(Quantites!$C$2:$C$1166,Quantites!$A$2:$A$1166,A104,Quantites!$B$2:$B$1166,"&lt;="&amp;Dates!$A$2)</f>
        <v>0</v>
      </c>
      <c r="I104" s="0" t="n">
        <f aca="false">MIN(H104,E104)*F104</f>
        <v>0</v>
      </c>
      <c r="J104" s="0" t="n">
        <f aca="false">IF(H104&gt;=E104-0.000001,1,0)</f>
        <v>0</v>
      </c>
      <c r="K104" s="0" t="n">
        <f aca="false">MAX(0,H104-E104)*F104</f>
        <v>0</v>
      </c>
      <c r="L104" s="0" t="n">
        <f aca="false">SUMIFS(Quantites!$C$2:$C$1166,Quantites!$A$2:$A$1166,A104,Quantites!$B$2:$B$1166,"&lt;="&amp;Dates!$A$3)</f>
        <v>0</v>
      </c>
      <c r="M104" s="0" t="n">
        <f aca="false">MIN(L104,E104)*F104</f>
        <v>0</v>
      </c>
      <c r="N104" s="0" t="n">
        <f aca="false">IF(L104&gt;=E104-0.000001,1,0)</f>
        <v>0</v>
      </c>
      <c r="O104" s="0" t="n">
        <f aca="false">MAX(0,L104-E104)*F104</f>
        <v>0</v>
      </c>
      <c r="P104" s="0" t="n">
        <f aca="false">SUMIFS(Quantites!$C$2:$C$1166,Quantites!$A$2:$A$1166,A104,Quantites!$B$2:$B$1166,"&lt;="&amp;Dates!$A$4)</f>
        <v>0</v>
      </c>
      <c r="Q104" s="0" t="n">
        <f aca="false">MIN(P104,E104)*F104</f>
        <v>0</v>
      </c>
      <c r="R104" s="0" t="n">
        <f aca="false">IF(P104&gt;=E104-0.000001,1,0)</f>
        <v>0</v>
      </c>
      <c r="S104" s="0" t="n">
        <f aca="false">MAX(0,P104-E104)*F104</f>
        <v>0</v>
      </c>
    </row>
    <row r="105" customFormat="false" ht="15" hidden="false" customHeight="false" outlineLevel="0" collapsed="false">
      <c r="A105" s="0" t="s">
        <v>355</v>
      </c>
      <c r="B105" s="0" t="s">
        <v>356</v>
      </c>
      <c r="C105" s="0" t="s">
        <v>178</v>
      </c>
      <c r="D105" s="0" t="s">
        <v>357</v>
      </c>
      <c r="E105" s="0" t="n">
        <v>148</v>
      </c>
      <c r="F105" s="0" t="n">
        <v>145000</v>
      </c>
      <c r="G105" s="0" t="n">
        <f aca="false">E105*F105</f>
        <v>21460000</v>
      </c>
      <c r="H105" s="0" t="n">
        <f aca="false">SUMIFS(Quantites!$C$2:$C$1166,Quantites!$A$2:$A$1166,A105,Quantites!$B$2:$B$1166,"&lt;="&amp;Dates!$A$2)</f>
        <v>0</v>
      </c>
      <c r="I105" s="0" t="n">
        <f aca="false">MIN(H105,E105)*F105</f>
        <v>0</v>
      </c>
      <c r="J105" s="0" t="n">
        <f aca="false">IF(H105&gt;=E105-0.000001,1,0)</f>
        <v>0</v>
      </c>
      <c r="K105" s="0" t="n">
        <f aca="false">MAX(0,H105-E105)*F105</f>
        <v>0</v>
      </c>
      <c r="L105" s="0" t="n">
        <f aca="false">SUMIFS(Quantites!$C$2:$C$1166,Quantites!$A$2:$A$1166,A105,Quantites!$B$2:$B$1166,"&lt;="&amp;Dates!$A$3)</f>
        <v>0</v>
      </c>
      <c r="M105" s="0" t="n">
        <f aca="false">MIN(L105,E105)*F105</f>
        <v>0</v>
      </c>
      <c r="N105" s="0" t="n">
        <f aca="false">IF(L105&gt;=E105-0.000001,1,0)</f>
        <v>0</v>
      </c>
      <c r="O105" s="0" t="n">
        <f aca="false">MAX(0,L105-E105)*F105</f>
        <v>0</v>
      </c>
      <c r="P105" s="0" t="n">
        <f aca="false">SUMIFS(Quantites!$C$2:$C$1166,Quantites!$A$2:$A$1166,A105,Quantites!$B$2:$B$1166,"&lt;="&amp;Dates!$A$4)</f>
        <v>0</v>
      </c>
      <c r="Q105" s="0" t="n">
        <f aca="false">MIN(P105,E105)*F105</f>
        <v>0</v>
      </c>
      <c r="R105" s="0" t="n">
        <f aca="false">IF(P105&gt;=E105-0.000001,1,0)</f>
        <v>0</v>
      </c>
      <c r="S105" s="0" t="n">
        <f aca="false">MAX(0,P105-E105)*F105</f>
        <v>0</v>
      </c>
    </row>
    <row r="106" customFormat="false" ht="15" hidden="false" customHeight="false" outlineLevel="0" collapsed="false">
      <c r="A106" s="0" t="s">
        <v>358</v>
      </c>
      <c r="B106" s="0" t="s">
        <v>356</v>
      </c>
      <c r="C106" s="0" t="s">
        <v>178</v>
      </c>
      <c r="D106" s="0" t="s">
        <v>359</v>
      </c>
      <c r="E106" s="0" t="n">
        <v>48</v>
      </c>
      <c r="F106" s="0" t="n">
        <v>285000</v>
      </c>
      <c r="G106" s="0" t="n">
        <f aca="false">E106*F106</f>
        <v>13680000</v>
      </c>
      <c r="H106" s="0" t="n">
        <f aca="false">SUMIFS(Quantites!$C$2:$C$1166,Quantites!$A$2:$A$1166,A106,Quantites!$B$2:$B$1166,"&lt;="&amp;Dates!$A$2)</f>
        <v>0</v>
      </c>
      <c r="I106" s="0" t="n">
        <f aca="false">MIN(H106,E106)*F106</f>
        <v>0</v>
      </c>
      <c r="J106" s="0" t="n">
        <f aca="false">IF(H106&gt;=E106-0.000001,1,0)</f>
        <v>0</v>
      </c>
      <c r="K106" s="0" t="n">
        <f aca="false">MAX(0,H106-E106)*F106</f>
        <v>0</v>
      </c>
      <c r="L106" s="0" t="n">
        <f aca="false">SUMIFS(Quantites!$C$2:$C$1166,Quantites!$A$2:$A$1166,A106,Quantites!$B$2:$B$1166,"&lt;="&amp;Dates!$A$3)</f>
        <v>0</v>
      </c>
      <c r="M106" s="0" t="n">
        <f aca="false">MIN(L106,E106)*F106</f>
        <v>0</v>
      </c>
      <c r="N106" s="0" t="n">
        <f aca="false">IF(L106&gt;=E106-0.000001,1,0)</f>
        <v>0</v>
      </c>
      <c r="O106" s="0" t="n">
        <f aca="false">MAX(0,L106-E106)*F106</f>
        <v>0</v>
      </c>
      <c r="P106" s="0" t="n">
        <f aca="false">SUMIFS(Quantites!$C$2:$C$1166,Quantites!$A$2:$A$1166,A106,Quantites!$B$2:$B$1166,"&lt;="&amp;Dates!$A$4)</f>
        <v>0</v>
      </c>
      <c r="Q106" s="0" t="n">
        <f aca="false">MIN(P106,E106)*F106</f>
        <v>0</v>
      </c>
      <c r="R106" s="0" t="n">
        <f aca="false">IF(P106&gt;=E106-0.000001,1,0)</f>
        <v>0</v>
      </c>
      <c r="S106" s="0" t="n">
        <f aca="false">MAX(0,P106-E106)*F106</f>
        <v>0</v>
      </c>
    </row>
    <row r="107" customFormat="false" ht="15" hidden="false" customHeight="false" outlineLevel="0" collapsed="false">
      <c r="A107" s="0" t="s">
        <v>360</v>
      </c>
      <c r="B107" s="0" t="s">
        <v>361</v>
      </c>
      <c r="C107" s="0" t="s">
        <v>178</v>
      </c>
      <c r="D107" s="0" t="s">
        <v>362</v>
      </c>
      <c r="E107" s="0" t="n">
        <v>246</v>
      </c>
      <c r="F107" s="0" t="n">
        <v>48000</v>
      </c>
      <c r="G107" s="0" t="n">
        <f aca="false">E107*F107</f>
        <v>11808000</v>
      </c>
      <c r="H107" s="0" t="n">
        <f aca="false">SUMIFS(Quantites!$C$2:$C$1166,Quantites!$A$2:$A$1166,A107,Quantites!$B$2:$B$1166,"&lt;="&amp;Dates!$A$2)</f>
        <v>0</v>
      </c>
      <c r="I107" s="0" t="n">
        <f aca="false">MIN(H107,E107)*F107</f>
        <v>0</v>
      </c>
      <c r="J107" s="0" t="n">
        <f aca="false">IF(H107&gt;=E107-0.000001,1,0)</f>
        <v>0</v>
      </c>
      <c r="K107" s="0" t="n">
        <f aca="false">MAX(0,H107-E107)*F107</f>
        <v>0</v>
      </c>
      <c r="L107" s="0" t="n">
        <f aca="false">SUMIFS(Quantites!$C$2:$C$1166,Quantites!$A$2:$A$1166,A107,Quantites!$B$2:$B$1166,"&lt;="&amp;Dates!$A$3)</f>
        <v>0</v>
      </c>
      <c r="M107" s="0" t="n">
        <f aca="false">MIN(L107,E107)*F107</f>
        <v>0</v>
      </c>
      <c r="N107" s="0" t="n">
        <f aca="false">IF(L107&gt;=E107-0.000001,1,0)</f>
        <v>0</v>
      </c>
      <c r="O107" s="0" t="n">
        <f aca="false">MAX(0,L107-E107)*F107</f>
        <v>0</v>
      </c>
      <c r="P107" s="0" t="n">
        <f aca="false">SUMIFS(Quantites!$C$2:$C$1166,Quantites!$A$2:$A$1166,A107,Quantites!$B$2:$B$1166,"&lt;="&amp;Dates!$A$4)</f>
        <v>0</v>
      </c>
      <c r="Q107" s="0" t="n">
        <f aca="false">MIN(P107,E107)*F107</f>
        <v>0</v>
      </c>
      <c r="R107" s="0" t="n">
        <f aca="false">IF(P107&gt;=E107-0.000001,1,0)</f>
        <v>0</v>
      </c>
      <c r="S107" s="0" t="n">
        <f aca="false">MAX(0,P107-E107)*F107</f>
        <v>0</v>
      </c>
    </row>
    <row r="108" customFormat="false" ht="15" hidden="false" customHeight="false" outlineLevel="0" collapsed="false">
      <c r="A108" s="0" t="s">
        <v>363</v>
      </c>
      <c r="B108" s="0" t="s">
        <v>361</v>
      </c>
      <c r="C108" s="0" t="s">
        <v>178</v>
      </c>
      <c r="D108" s="0" t="s">
        <v>364</v>
      </c>
      <c r="E108" s="0" t="n">
        <v>88</v>
      </c>
      <c r="F108" s="0" t="n">
        <v>32000</v>
      </c>
      <c r="G108" s="0" t="n">
        <f aca="false">E108*F108</f>
        <v>2816000</v>
      </c>
      <c r="H108" s="0" t="n">
        <f aca="false">SUMIFS(Quantites!$C$2:$C$1166,Quantites!$A$2:$A$1166,A108,Quantites!$B$2:$B$1166,"&lt;="&amp;Dates!$A$2)</f>
        <v>0</v>
      </c>
      <c r="I108" s="0" t="n">
        <f aca="false">MIN(H108,E108)*F108</f>
        <v>0</v>
      </c>
      <c r="J108" s="0" t="n">
        <f aca="false">IF(H108&gt;=E108-0.000001,1,0)</f>
        <v>0</v>
      </c>
      <c r="K108" s="0" t="n">
        <f aca="false">MAX(0,H108-E108)*F108</f>
        <v>0</v>
      </c>
      <c r="L108" s="0" t="n">
        <f aca="false">SUMIFS(Quantites!$C$2:$C$1166,Quantites!$A$2:$A$1166,A108,Quantites!$B$2:$B$1166,"&lt;="&amp;Dates!$A$3)</f>
        <v>0</v>
      </c>
      <c r="M108" s="0" t="n">
        <f aca="false">MIN(L108,E108)*F108</f>
        <v>0</v>
      </c>
      <c r="N108" s="0" t="n">
        <f aca="false">IF(L108&gt;=E108-0.000001,1,0)</f>
        <v>0</v>
      </c>
      <c r="O108" s="0" t="n">
        <f aca="false">MAX(0,L108-E108)*F108</f>
        <v>0</v>
      </c>
      <c r="P108" s="0" t="n">
        <f aca="false">SUMIFS(Quantites!$C$2:$C$1166,Quantites!$A$2:$A$1166,A108,Quantites!$B$2:$B$1166,"&lt;="&amp;Dates!$A$4)</f>
        <v>0</v>
      </c>
      <c r="Q108" s="0" t="n">
        <f aca="false">MIN(P108,E108)*F108</f>
        <v>0</v>
      </c>
      <c r="R108" s="0" t="n">
        <f aca="false">IF(P108&gt;=E108-0.000001,1,0)</f>
        <v>0</v>
      </c>
      <c r="S108" s="0" t="n">
        <f aca="false">MAX(0,P108-E108)*F108</f>
        <v>0</v>
      </c>
    </row>
    <row r="109" customFormat="false" ht="15" hidden="false" customHeight="false" outlineLevel="0" collapsed="false">
      <c r="A109" s="0" t="s">
        <v>167</v>
      </c>
      <c r="B109" s="0" t="s">
        <v>365</v>
      </c>
      <c r="C109" s="0" t="s">
        <v>179</v>
      </c>
      <c r="D109" s="0" t="s">
        <v>366</v>
      </c>
      <c r="E109" s="0" t="n">
        <v>72</v>
      </c>
      <c r="F109" s="0" t="n">
        <v>68000</v>
      </c>
      <c r="G109" s="0" t="n">
        <f aca="false">E109*F109</f>
        <v>4896000</v>
      </c>
      <c r="H109" s="0" t="n">
        <f aca="false">SUMIFS(Quantites!$C$2:$C$1166,Quantites!$A$2:$A$1166,A109,Quantites!$B$2:$B$1166,"&lt;="&amp;Dates!$A$2)</f>
        <v>0</v>
      </c>
      <c r="I109" s="0" t="n">
        <f aca="false">MIN(H109,E109)*F109</f>
        <v>0</v>
      </c>
      <c r="J109" s="0" t="n">
        <f aca="false">IF(H109&gt;=E109-0.000001,1,0)</f>
        <v>0</v>
      </c>
      <c r="K109" s="0" t="n">
        <f aca="false">MAX(0,H109-E109)*F109</f>
        <v>0</v>
      </c>
      <c r="L109" s="0" t="n">
        <f aca="false">SUMIFS(Quantites!$C$2:$C$1166,Quantites!$A$2:$A$1166,A109,Quantites!$B$2:$B$1166,"&lt;="&amp;Dates!$A$3)</f>
        <v>0</v>
      </c>
      <c r="M109" s="0" t="n">
        <f aca="false">MIN(L109,E109)*F109</f>
        <v>0</v>
      </c>
      <c r="N109" s="0" t="n">
        <f aca="false">IF(L109&gt;=E109-0.000001,1,0)</f>
        <v>0</v>
      </c>
      <c r="O109" s="0" t="n">
        <f aca="false">MAX(0,L109-E109)*F109</f>
        <v>0</v>
      </c>
      <c r="P109" s="0" t="n">
        <f aca="false">SUMIFS(Quantites!$C$2:$C$1166,Quantites!$A$2:$A$1166,A109,Quantites!$B$2:$B$1166,"&lt;="&amp;Dates!$A$4)</f>
        <v>38.9</v>
      </c>
      <c r="Q109" s="0" t="n">
        <f aca="false">MIN(P109,E109)*F109</f>
        <v>2645200</v>
      </c>
      <c r="R109" s="0" t="n">
        <f aca="false">IF(P109&gt;=E109-0.000001,1,0)</f>
        <v>0</v>
      </c>
      <c r="S109" s="0" t="n">
        <f aca="false">MAX(0,P109-E109)*F109</f>
        <v>0</v>
      </c>
    </row>
    <row r="110" customFormat="false" ht="15" hidden="false" customHeight="false" outlineLevel="0" collapsed="false">
      <c r="A110" s="0" t="s">
        <v>166</v>
      </c>
      <c r="B110" s="0" t="s">
        <v>365</v>
      </c>
      <c r="C110" s="0" t="s">
        <v>179</v>
      </c>
      <c r="D110" s="0" t="s">
        <v>367</v>
      </c>
      <c r="E110" s="0" t="n">
        <v>1240</v>
      </c>
      <c r="F110" s="0" t="n">
        <v>7800</v>
      </c>
      <c r="G110" s="0" t="n">
        <f aca="false">E110*F110</f>
        <v>9672000</v>
      </c>
      <c r="H110" s="0" t="n">
        <f aca="false">SUMIFS(Quantites!$C$2:$C$1166,Quantites!$A$2:$A$1166,A110,Quantites!$B$2:$B$1166,"&lt;="&amp;Dates!$A$2)</f>
        <v>0</v>
      </c>
      <c r="I110" s="0" t="n">
        <f aca="false">MIN(H110,E110)*F110</f>
        <v>0</v>
      </c>
      <c r="J110" s="0" t="n">
        <f aca="false">IF(H110&gt;=E110-0.000001,1,0)</f>
        <v>0</v>
      </c>
      <c r="K110" s="0" t="n">
        <f aca="false">MAX(0,H110-E110)*F110</f>
        <v>0</v>
      </c>
      <c r="L110" s="0" t="n">
        <f aca="false">SUMIFS(Quantites!$C$2:$C$1166,Quantites!$A$2:$A$1166,A110,Quantites!$B$2:$B$1166,"&lt;="&amp;Dates!$A$3)</f>
        <v>0</v>
      </c>
      <c r="M110" s="0" t="n">
        <f aca="false">MIN(L110,E110)*F110</f>
        <v>0</v>
      </c>
      <c r="N110" s="0" t="n">
        <f aca="false">IF(L110&gt;=E110-0.000001,1,0)</f>
        <v>0</v>
      </c>
      <c r="O110" s="0" t="n">
        <f aca="false">MAX(0,L110-E110)*F110</f>
        <v>0</v>
      </c>
      <c r="P110" s="0" t="n">
        <f aca="false">SUMIFS(Quantites!$C$2:$C$1166,Quantites!$A$2:$A$1166,A110,Quantites!$B$2:$B$1166,"&lt;="&amp;Dates!$A$4)</f>
        <v>669.945</v>
      </c>
      <c r="Q110" s="0" t="n">
        <f aca="false">MIN(P110,E110)*F110</f>
        <v>5225571</v>
      </c>
      <c r="R110" s="0" t="n">
        <f aca="false">IF(P110&gt;=E110-0.000001,1,0)</f>
        <v>0</v>
      </c>
      <c r="S110" s="0" t="n">
        <f aca="false">MAX(0,P110-E110)*F110</f>
        <v>0</v>
      </c>
    </row>
    <row r="111" customFormat="false" ht="15" hidden="false" customHeight="false" outlineLevel="0" collapsed="false">
      <c r="A111" s="0" t="s">
        <v>368</v>
      </c>
      <c r="B111" s="0" t="s">
        <v>369</v>
      </c>
      <c r="C111" s="0" t="s">
        <v>179</v>
      </c>
      <c r="D111" s="0" t="s">
        <v>370</v>
      </c>
      <c r="E111" s="0" t="n">
        <v>428</v>
      </c>
      <c r="F111" s="0" t="n">
        <v>9000</v>
      </c>
      <c r="G111" s="0" t="n">
        <f aca="false">E111*F111</f>
        <v>3852000</v>
      </c>
      <c r="H111" s="0" t="n">
        <f aca="false">SUMIFS(Quantites!$C$2:$C$1166,Quantites!$A$2:$A$1166,A111,Quantites!$B$2:$B$1166,"&lt;="&amp;Dates!$A$2)</f>
        <v>0</v>
      </c>
      <c r="I111" s="0" t="n">
        <f aca="false">MIN(H111,E111)*F111</f>
        <v>0</v>
      </c>
      <c r="J111" s="0" t="n">
        <f aca="false">IF(H111&gt;=E111-0.000001,1,0)</f>
        <v>0</v>
      </c>
      <c r="K111" s="0" t="n">
        <f aca="false">MAX(0,H111-E111)*F111</f>
        <v>0</v>
      </c>
      <c r="L111" s="0" t="n">
        <f aca="false">SUMIFS(Quantites!$C$2:$C$1166,Quantites!$A$2:$A$1166,A111,Quantites!$B$2:$B$1166,"&lt;="&amp;Dates!$A$3)</f>
        <v>0</v>
      </c>
      <c r="M111" s="0" t="n">
        <f aca="false">MIN(L111,E111)*F111</f>
        <v>0</v>
      </c>
      <c r="N111" s="0" t="n">
        <f aca="false">IF(L111&gt;=E111-0.000001,1,0)</f>
        <v>0</v>
      </c>
      <c r="O111" s="0" t="n">
        <f aca="false">MAX(0,L111-E111)*F111</f>
        <v>0</v>
      </c>
      <c r="P111" s="0" t="n">
        <f aca="false">SUMIFS(Quantites!$C$2:$C$1166,Quantites!$A$2:$A$1166,A111,Quantites!$B$2:$B$1166,"&lt;="&amp;Dates!$A$4)</f>
        <v>0</v>
      </c>
      <c r="Q111" s="0" t="n">
        <f aca="false">MIN(P111,E111)*F111</f>
        <v>0</v>
      </c>
      <c r="R111" s="0" t="n">
        <f aca="false">IF(P111&gt;=E111-0.000001,1,0)</f>
        <v>0</v>
      </c>
      <c r="S111" s="0" t="n">
        <f aca="false">MAX(0,P111-E111)*F111</f>
        <v>0</v>
      </c>
    </row>
    <row r="112" customFormat="false" ht="15" hidden="false" customHeight="false" outlineLevel="0" collapsed="false">
      <c r="A112" s="0" t="s">
        <v>371</v>
      </c>
      <c r="B112" s="0" t="s">
        <v>369</v>
      </c>
      <c r="C112" s="0" t="s">
        <v>179</v>
      </c>
      <c r="D112" s="0" t="s">
        <v>372</v>
      </c>
      <c r="E112" s="0" t="n">
        <v>512</v>
      </c>
      <c r="F112" s="0" t="n">
        <v>5400</v>
      </c>
      <c r="G112" s="0" t="n">
        <f aca="false">E112*F112</f>
        <v>2764800</v>
      </c>
      <c r="H112" s="0" t="n">
        <f aca="false">SUMIFS(Quantites!$C$2:$C$1166,Quantites!$A$2:$A$1166,A112,Quantites!$B$2:$B$1166,"&lt;="&amp;Dates!$A$2)</f>
        <v>0</v>
      </c>
      <c r="I112" s="0" t="n">
        <f aca="false">MIN(H112,E112)*F112</f>
        <v>0</v>
      </c>
      <c r="J112" s="0" t="n">
        <f aca="false">IF(H112&gt;=E112-0.000001,1,0)</f>
        <v>0</v>
      </c>
      <c r="K112" s="0" t="n">
        <f aca="false">MAX(0,H112-E112)*F112</f>
        <v>0</v>
      </c>
      <c r="L112" s="0" t="n">
        <f aca="false">SUMIFS(Quantites!$C$2:$C$1166,Quantites!$A$2:$A$1166,A112,Quantites!$B$2:$B$1166,"&lt;="&amp;Dates!$A$3)</f>
        <v>0</v>
      </c>
      <c r="M112" s="0" t="n">
        <f aca="false">MIN(L112,E112)*F112</f>
        <v>0</v>
      </c>
      <c r="N112" s="0" t="n">
        <f aca="false">IF(L112&gt;=E112-0.000001,1,0)</f>
        <v>0</v>
      </c>
      <c r="O112" s="0" t="n">
        <f aca="false">MAX(0,L112-E112)*F112</f>
        <v>0</v>
      </c>
      <c r="P112" s="0" t="n">
        <f aca="false">SUMIFS(Quantites!$C$2:$C$1166,Quantites!$A$2:$A$1166,A112,Quantites!$B$2:$B$1166,"&lt;="&amp;Dates!$A$4)</f>
        <v>0</v>
      </c>
      <c r="Q112" s="0" t="n">
        <f aca="false">MIN(P112,E112)*F112</f>
        <v>0</v>
      </c>
      <c r="R112" s="0" t="n">
        <f aca="false">IF(P112&gt;=E112-0.000001,1,0)</f>
        <v>0</v>
      </c>
      <c r="S112" s="0" t="n">
        <f aca="false">MAX(0,P112-E112)*F112</f>
        <v>0</v>
      </c>
    </row>
    <row r="113" customFormat="false" ht="15" hidden="false" customHeight="false" outlineLevel="0" collapsed="false">
      <c r="A113" s="0" t="s">
        <v>373</v>
      </c>
      <c r="B113" s="0" t="s">
        <v>374</v>
      </c>
      <c r="C113" s="0" t="s">
        <v>179</v>
      </c>
      <c r="D113" s="0" t="s">
        <v>375</v>
      </c>
      <c r="E113" s="0" t="n">
        <v>24</v>
      </c>
      <c r="F113" s="0" t="n">
        <v>235000</v>
      </c>
      <c r="G113" s="0" t="n">
        <f aca="false">E113*F113</f>
        <v>5640000</v>
      </c>
      <c r="H113" s="0" t="n">
        <f aca="false">SUMIFS(Quantites!$C$2:$C$1166,Quantites!$A$2:$A$1166,A113,Quantites!$B$2:$B$1166,"&lt;="&amp;Dates!$A$2)</f>
        <v>0</v>
      </c>
      <c r="I113" s="0" t="n">
        <f aca="false">MIN(H113,E113)*F113</f>
        <v>0</v>
      </c>
      <c r="J113" s="0" t="n">
        <f aca="false">IF(H113&gt;=E113-0.000001,1,0)</f>
        <v>0</v>
      </c>
      <c r="K113" s="0" t="n">
        <f aca="false">MAX(0,H113-E113)*F113</f>
        <v>0</v>
      </c>
      <c r="L113" s="0" t="n">
        <f aca="false">SUMIFS(Quantites!$C$2:$C$1166,Quantites!$A$2:$A$1166,A113,Quantites!$B$2:$B$1166,"&lt;="&amp;Dates!$A$3)</f>
        <v>0</v>
      </c>
      <c r="M113" s="0" t="n">
        <f aca="false">MIN(L113,E113)*F113</f>
        <v>0</v>
      </c>
      <c r="N113" s="0" t="n">
        <f aca="false">IF(L113&gt;=E113-0.000001,1,0)</f>
        <v>0</v>
      </c>
      <c r="O113" s="0" t="n">
        <f aca="false">MAX(0,L113-E113)*F113</f>
        <v>0</v>
      </c>
      <c r="P113" s="0" t="n">
        <f aca="false">SUMIFS(Quantites!$C$2:$C$1166,Quantites!$A$2:$A$1166,A113,Quantites!$B$2:$B$1166,"&lt;="&amp;Dates!$A$4)</f>
        <v>0</v>
      </c>
      <c r="Q113" s="0" t="n">
        <f aca="false">MIN(P113,E113)*F113</f>
        <v>0</v>
      </c>
      <c r="R113" s="0" t="n">
        <f aca="false">IF(P113&gt;=E113-0.000001,1,0)</f>
        <v>0</v>
      </c>
      <c r="S113" s="0" t="n">
        <f aca="false">MAX(0,P113-E113)*F113</f>
        <v>0</v>
      </c>
    </row>
    <row r="114" customFormat="false" ht="15" hidden="false" customHeight="false" outlineLevel="0" collapsed="false">
      <c r="A114" s="0" t="s">
        <v>376</v>
      </c>
      <c r="B114" s="0" t="s">
        <v>374</v>
      </c>
      <c r="C114" s="0" t="s">
        <v>179</v>
      </c>
      <c r="D114" s="0" t="s">
        <v>377</v>
      </c>
      <c r="E114" s="0" t="n">
        <v>48</v>
      </c>
      <c r="F114" s="0" t="n">
        <v>185000</v>
      </c>
      <c r="G114" s="0" t="n">
        <f aca="false">E114*F114</f>
        <v>8880000</v>
      </c>
      <c r="H114" s="0" t="n">
        <f aca="false">SUMIFS(Quantites!$C$2:$C$1166,Quantites!$A$2:$A$1166,A114,Quantites!$B$2:$B$1166,"&lt;="&amp;Dates!$A$2)</f>
        <v>0</v>
      </c>
      <c r="I114" s="0" t="n">
        <f aca="false">MIN(H114,E114)*F114</f>
        <v>0</v>
      </c>
      <c r="J114" s="0" t="n">
        <f aca="false">IF(H114&gt;=E114-0.000001,1,0)</f>
        <v>0</v>
      </c>
      <c r="K114" s="0" t="n">
        <f aca="false">MAX(0,H114-E114)*F114</f>
        <v>0</v>
      </c>
      <c r="L114" s="0" t="n">
        <f aca="false">SUMIFS(Quantites!$C$2:$C$1166,Quantites!$A$2:$A$1166,A114,Quantites!$B$2:$B$1166,"&lt;="&amp;Dates!$A$3)</f>
        <v>0</v>
      </c>
      <c r="M114" s="0" t="n">
        <f aca="false">MIN(L114,E114)*F114</f>
        <v>0</v>
      </c>
      <c r="N114" s="0" t="n">
        <f aca="false">IF(L114&gt;=E114-0.000001,1,0)</f>
        <v>0</v>
      </c>
      <c r="O114" s="0" t="n">
        <f aca="false">MAX(0,L114-E114)*F114</f>
        <v>0</v>
      </c>
      <c r="P114" s="0" t="n">
        <f aca="false">SUMIFS(Quantites!$C$2:$C$1166,Quantites!$A$2:$A$1166,A114,Quantites!$B$2:$B$1166,"&lt;="&amp;Dates!$A$4)</f>
        <v>0</v>
      </c>
      <c r="Q114" s="0" t="n">
        <f aca="false">MIN(P114,E114)*F114</f>
        <v>0</v>
      </c>
      <c r="R114" s="0" t="n">
        <f aca="false">IF(P114&gt;=E114-0.000001,1,0)</f>
        <v>0</v>
      </c>
      <c r="S114" s="0" t="n">
        <f aca="false">MAX(0,P114-E114)*F114</f>
        <v>0</v>
      </c>
    </row>
    <row r="115" customFormat="false" ht="15" hidden="false" customHeight="false" outlineLevel="0" collapsed="false">
      <c r="A115" s="0" t="s">
        <v>165</v>
      </c>
      <c r="B115" s="0" t="s">
        <v>378</v>
      </c>
      <c r="C115" s="0" t="s">
        <v>179</v>
      </c>
      <c r="D115" s="0" t="s">
        <v>379</v>
      </c>
      <c r="E115" s="0" t="n">
        <v>1120</v>
      </c>
      <c r="F115" s="0" t="n">
        <v>1800</v>
      </c>
      <c r="G115" s="0" t="n">
        <f aca="false">E115*F115</f>
        <v>2016000</v>
      </c>
      <c r="H115" s="0" t="n">
        <f aca="false">SUMIFS(Quantites!$C$2:$C$1166,Quantites!$A$2:$A$1166,A115,Quantites!$B$2:$B$1166,"&lt;="&amp;Dates!$A$2)</f>
        <v>0</v>
      </c>
      <c r="I115" s="0" t="n">
        <f aca="false">MIN(H115,E115)*F115</f>
        <v>0</v>
      </c>
      <c r="J115" s="0" t="n">
        <f aca="false">IF(H115&gt;=E115-0.000001,1,0)</f>
        <v>0</v>
      </c>
      <c r="K115" s="0" t="n">
        <f aca="false">MAX(0,H115-E115)*F115</f>
        <v>0</v>
      </c>
      <c r="L115" s="0" t="n">
        <f aca="false">SUMIFS(Quantites!$C$2:$C$1166,Quantites!$A$2:$A$1166,A115,Quantites!$B$2:$B$1166,"&lt;="&amp;Dates!$A$3)</f>
        <v>0</v>
      </c>
      <c r="M115" s="0" t="n">
        <f aca="false">MIN(L115,E115)*F115</f>
        <v>0</v>
      </c>
      <c r="N115" s="0" t="n">
        <f aca="false">IF(L115&gt;=E115-0.000001,1,0)</f>
        <v>0</v>
      </c>
      <c r="O115" s="0" t="n">
        <f aca="false">MAX(0,L115-E115)*F115</f>
        <v>0</v>
      </c>
      <c r="P115" s="0" t="n">
        <f aca="false">SUMIFS(Quantites!$C$2:$C$1166,Quantites!$A$2:$A$1166,A115,Quantites!$B$2:$B$1166,"&lt;="&amp;Dates!$A$4)</f>
        <v>707.206</v>
      </c>
      <c r="Q115" s="0" t="n">
        <f aca="false">MIN(P115,E115)*F115</f>
        <v>1272970.8</v>
      </c>
      <c r="R115" s="0" t="n">
        <f aca="false">IF(P115&gt;=E115-0.000001,1,0)</f>
        <v>0</v>
      </c>
      <c r="S115" s="0" t="n">
        <f aca="false">MAX(0,P115-E115)*F115</f>
        <v>0</v>
      </c>
    </row>
    <row r="116" customFormat="false" ht="15" hidden="false" customHeight="false" outlineLevel="0" collapsed="false">
      <c r="A116" s="0" t="s">
        <v>164</v>
      </c>
      <c r="B116" s="0" t="s">
        <v>378</v>
      </c>
      <c r="C116" s="0" t="s">
        <v>179</v>
      </c>
      <c r="D116" s="0" t="s">
        <v>380</v>
      </c>
      <c r="E116" s="0" t="n">
        <v>3680</v>
      </c>
      <c r="F116" s="0" t="n">
        <v>2400</v>
      </c>
      <c r="G116" s="0" t="n">
        <f aca="false">E116*F116</f>
        <v>8832000</v>
      </c>
      <c r="H116" s="0" t="n">
        <f aca="false">SUMIFS(Quantites!$C$2:$C$1166,Quantites!$A$2:$A$1166,A116,Quantites!$B$2:$B$1166,"&lt;="&amp;Dates!$A$2)</f>
        <v>0</v>
      </c>
      <c r="I116" s="0" t="n">
        <f aca="false">MIN(H116,E116)*F116</f>
        <v>0</v>
      </c>
      <c r="J116" s="0" t="n">
        <f aca="false">IF(H116&gt;=E116-0.000001,1,0)</f>
        <v>0</v>
      </c>
      <c r="K116" s="0" t="n">
        <f aca="false">MAX(0,H116-E116)*F116</f>
        <v>0</v>
      </c>
      <c r="L116" s="0" t="n">
        <f aca="false">SUMIFS(Quantites!$C$2:$C$1166,Quantites!$A$2:$A$1166,A116,Quantites!$B$2:$B$1166,"&lt;="&amp;Dates!$A$3)</f>
        <v>0</v>
      </c>
      <c r="M116" s="0" t="n">
        <f aca="false">MIN(L116,E116)*F116</f>
        <v>0</v>
      </c>
      <c r="N116" s="0" t="n">
        <f aca="false">IF(L116&gt;=E116-0.000001,1,0)</f>
        <v>0</v>
      </c>
      <c r="O116" s="0" t="n">
        <f aca="false">MAX(0,L116-E116)*F116</f>
        <v>0</v>
      </c>
      <c r="P116" s="0" t="n">
        <f aca="false">SUMIFS(Quantites!$C$2:$C$1166,Quantites!$A$2:$A$1166,A116,Quantites!$B$2:$B$1166,"&lt;="&amp;Dates!$A$4)</f>
        <v>2323.676</v>
      </c>
      <c r="Q116" s="0" t="n">
        <f aca="false">MIN(P116,E116)*F116</f>
        <v>5576822.4</v>
      </c>
      <c r="R116" s="0" t="n">
        <f aca="false">IF(P116&gt;=E116-0.000001,1,0)</f>
        <v>0</v>
      </c>
      <c r="S116" s="0" t="n">
        <f aca="false">MAX(0,P116-E116)*F116</f>
        <v>0</v>
      </c>
    </row>
    <row r="117" customFormat="false" ht="15" hidden="false" customHeight="false" outlineLevel="0" collapsed="false">
      <c r="A117" s="0" t="s">
        <v>381</v>
      </c>
      <c r="B117" s="0" t="s">
        <v>382</v>
      </c>
      <c r="C117" s="0" t="s">
        <v>179</v>
      </c>
      <c r="D117" s="0" t="s">
        <v>383</v>
      </c>
      <c r="E117" s="0" t="n">
        <v>6400</v>
      </c>
      <c r="F117" s="0" t="n">
        <v>1650</v>
      </c>
      <c r="G117" s="0" t="n">
        <f aca="false">E117*F117</f>
        <v>10560000</v>
      </c>
      <c r="H117" s="0" t="n">
        <f aca="false">SUMIFS(Quantites!$C$2:$C$1166,Quantites!$A$2:$A$1166,A117,Quantites!$B$2:$B$1166,"&lt;="&amp;Dates!$A$2)</f>
        <v>0</v>
      </c>
      <c r="I117" s="0" t="n">
        <f aca="false">MIN(H117,E117)*F117</f>
        <v>0</v>
      </c>
      <c r="J117" s="0" t="n">
        <f aca="false">IF(H117&gt;=E117-0.000001,1,0)</f>
        <v>0</v>
      </c>
      <c r="K117" s="0" t="n">
        <f aca="false">MAX(0,H117-E117)*F117</f>
        <v>0</v>
      </c>
      <c r="L117" s="0" t="n">
        <f aca="false">SUMIFS(Quantites!$C$2:$C$1166,Quantites!$A$2:$A$1166,A117,Quantites!$B$2:$B$1166,"&lt;="&amp;Dates!$A$3)</f>
        <v>0</v>
      </c>
      <c r="M117" s="0" t="n">
        <f aca="false">MIN(L117,E117)*F117</f>
        <v>0</v>
      </c>
      <c r="N117" s="0" t="n">
        <f aca="false">IF(L117&gt;=E117-0.000001,1,0)</f>
        <v>0</v>
      </c>
      <c r="O117" s="0" t="n">
        <f aca="false">MAX(0,L117-E117)*F117</f>
        <v>0</v>
      </c>
      <c r="P117" s="0" t="n">
        <f aca="false">SUMIFS(Quantites!$C$2:$C$1166,Quantites!$A$2:$A$1166,A117,Quantites!$B$2:$B$1166,"&lt;="&amp;Dates!$A$4)</f>
        <v>0</v>
      </c>
      <c r="Q117" s="0" t="n">
        <f aca="false">MIN(P117,E117)*F117</f>
        <v>0</v>
      </c>
      <c r="R117" s="0" t="n">
        <f aca="false">IF(P117&gt;=E117-0.000001,1,0)</f>
        <v>0</v>
      </c>
      <c r="S117" s="0" t="n">
        <f aca="false">MAX(0,P117-E117)*F117</f>
        <v>0</v>
      </c>
    </row>
    <row r="118" customFormat="false" ht="15" hidden="false" customHeight="false" outlineLevel="0" collapsed="false">
      <c r="A118" s="0" t="s">
        <v>384</v>
      </c>
      <c r="B118" s="0" t="s">
        <v>382</v>
      </c>
      <c r="C118" s="0" t="s">
        <v>179</v>
      </c>
      <c r="D118" s="0" t="s">
        <v>385</v>
      </c>
      <c r="E118" s="0" t="n">
        <v>24</v>
      </c>
      <c r="F118" s="0" t="n">
        <v>420000</v>
      </c>
      <c r="G118" s="0" t="n">
        <f aca="false">E118*F118</f>
        <v>10080000</v>
      </c>
      <c r="H118" s="0" t="n">
        <f aca="false">SUMIFS(Quantites!$C$2:$C$1166,Quantites!$A$2:$A$1166,A118,Quantites!$B$2:$B$1166,"&lt;="&amp;Dates!$A$2)</f>
        <v>0</v>
      </c>
      <c r="I118" s="0" t="n">
        <f aca="false">MIN(H118,E118)*F118</f>
        <v>0</v>
      </c>
      <c r="J118" s="0" t="n">
        <f aca="false">IF(H118&gt;=E118-0.000001,1,0)</f>
        <v>0</v>
      </c>
      <c r="K118" s="0" t="n">
        <f aca="false">MAX(0,H118-E118)*F118</f>
        <v>0</v>
      </c>
      <c r="L118" s="0" t="n">
        <f aca="false">SUMIFS(Quantites!$C$2:$C$1166,Quantites!$A$2:$A$1166,A118,Quantites!$B$2:$B$1166,"&lt;="&amp;Dates!$A$3)</f>
        <v>0</v>
      </c>
      <c r="M118" s="0" t="n">
        <f aca="false">MIN(L118,E118)*F118</f>
        <v>0</v>
      </c>
      <c r="N118" s="0" t="n">
        <f aca="false">IF(L118&gt;=E118-0.000001,1,0)</f>
        <v>0</v>
      </c>
      <c r="O118" s="0" t="n">
        <f aca="false">MAX(0,L118-E118)*F118</f>
        <v>0</v>
      </c>
      <c r="P118" s="0" t="n">
        <f aca="false">SUMIFS(Quantites!$C$2:$C$1166,Quantites!$A$2:$A$1166,A118,Quantites!$B$2:$B$1166,"&lt;="&amp;Dates!$A$4)</f>
        <v>0</v>
      </c>
      <c r="Q118" s="0" t="n">
        <f aca="false">MIN(P118,E118)*F118</f>
        <v>0</v>
      </c>
      <c r="R118" s="0" t="n">
        <f aca="false">IF(P118&gt;=E118-0.000001,1,0)</f>
        <v>0</v>
      </c>
      <c r="S118" s="0" t="n">
        <f aca="false">MAX(0,P118-E118)*F118</f>
        <v>0</v>
      </c>
    </row>
    <row r="119" customFormat="false" ht="15" hidden="false" customHeight="false" outlineLevel="0" collapsed="false">
      <c r="A119" s="0" t="s">
        <v>386</v>
      </c>
      <c r="B119" s="0" t="s">
        <v>382</v>
      </c>
      <c r="C119" s="0" t="s">
        <v>179</v>
      </c>
      <c r="D119" s="0" t="s">
        <v>387</v>
      </c>
      <c r="E119" s="0" t="n">
        <v>1</v>
      </c>
      <c r="F119" s="0" t="n">
        <v>4800000</v>
      </c>
      <c r="G119" s="0" t="n">
        <f aca="false">E119*F119</f>
        <v>4800000</v>
      </c>
      <c r="H119" s="0" t="n">
        <f aca="false">SUMIFS(Quantites!$C$2:$C$1166,Quantites!$A$2:$A$1166,A119,Quantites!$B$2:$B$1166,"&lt;="&amp;Dates!$A$2)</f>
        <v>0</v>
      </c>
      <c r="I119" s="0" t="n">
        <f aca="false">MIN(H119,E119)*F119</f>
        <v>0</v>
      </c>
      <c r="J119" s="0" t="n">
        <f aca="false">IF(H119&gt;=E119-0.000001,1,0)</f>
        <v>0</v>
      </c>
      <c r="K119" s="0" t="n">
        <f aca="false">MAX(0,H119-E119)*F119</f>
        <v>0</v>
      </c>
      <c r="L119" s="0" t="n">
        <f aca="false">SUMIFS(Quantites!$C$2:$C$1166,Quantites!$A$2:$A$1166,A119,Quantites!$B$2:$B$1166,"&lt;="&amp;Dates!$A$3)</f>
        <v>0</v>
      </c>
      <c r="M119" s="0" t="n">
        <f aca="false">MIN(L119,E119)*F119</f>
        <v>0</v>
      </c>
      <c r="N119" s="0" t="n">
        <f aca="false">IF(L119&gt;=E119-0.000001,1,0)</f>
        <v>0</v>
      </c>
      <c r="O119" s="0" t="n">
        <f aca="false">MAX(0,L119-E119)*F119</f>
        <v>0</v>
      </c>
      <c r="P119" s="0" t="n">
        <f aca="false">SUMIFS(Quantites!$C$2:$C$1166,Quantites!$A$2:$A$1166,A119,Quantites!$B$2:$B$1166,"&lt;="&amp;Dates!$A$4)</f>
        <v>0</v>
      </c>
      <c r="Q119" s="0" t="n">
        <f aca="false">MIN(P119,E119)*F119</f>
        <v>0</v>
      </c>
      <c r="R119" s="0" t="n">
        <f aca="false">IF(P119&gt;=E119-0.000001,1,0)</f>
        <v>0</v>
      </c>
      <c r="S119" s="0" t="n">
        <f aca="false">MAX(0,P119-E119)*F119</f>
        <v>0</v>
      </c>
    </row>
    <row r="120" customFormat="false" ht="15" hidden="false" customHeight="false" outlineLevel="0" collapsed="false">
      <c r="A120" s="0" t="s">
        <v>388</v>
      </c>
      <c r="B120" s="0" t="s">
        <v>389</v>
      </c>
      <c r="C120" s="0" t="s">
        <v>179</v>
      </c>
      <c r="D120" s="0" t="s">
        <v>390</v>
      </c>
      <c r="E120" s="0" t="n">
        <v>412</v>
      </c>
      <c r="F120" s="0" t="n">
        <v>42000</v>
      </c>
      <c r="G120" s="0" t="n">
        <f aca="false">E120*F120</f>
        <v>17304000</v>
      </c>
      <c r="H120" s="0" t="n">
        <f aca="false">SUMIFS(Quantites!$C$2:$C$1166,Quantites!$A$2:$A$1166,A120,Quantites!$B$2:$B$1166,"&lt;="&amp;Dates!$A$2)</f>
        <v>0</v>
      </c>
      <c r="I120" s="0" t="n">
        <f aca="false">MIN(H120,E120)*F120</f>
        <v>0</v>
      </c>
      <c r="J120" s="0" t="n">
        <f aca="false">IF(H120&gt;=E120-0.000001,1,0)</f>
        <v>0</v>
      </c>
      <c r="K120" s="0" t="n">
        <f aca="false">MAX(0,H120-E120)*F120</f>
        <v>0</v>
      </c>
      <c r="L120" s="0" t="n">
        <f aca="false">SUMIFS(Quantites!$C$2:$C$1166,Quantites!$A$2:$A$1166,A120,Quantites!$B$2:$B$1166,"&lt;="&amp;Dates!$A$3)</f>
        <v>0</v>
      </c>
      <c r="M120" s="0" t="n">
        <f aca="false">MIN(L120,E120)*F120</f>
        <v>0</v>
      </c>
      <c r="N120" s="0" t="n">
        <f aca="false">IF(L120&gt;=E120-0.000001,1,0)</f>
        <v>0</v>
      </c>
      <c r="O120" s="0" t="n">
        <f aca="false">MAX(0,L120-E120)*F120</f>
        <v>0</v>
      </c>
      <c r="P120" s="0" t="n">
        <f aca="false">SUMIFS(Quantites!$C$2:$C$1166,Quantites!$A$2:$A$1166,A120,Quantites!$B$2:$B$1166,"&lt;="&amp;Dates!$A$4)</f>
        <v>0</v>
      </c>
      <c r="Q120" s="0" t="n">
        <f aca="false">MIN(P120,E120)*F120</f>
        <v>0</v>
      </c>
      <c r="R120" s="0" t="n">
        <f aca="false">IF(P120&gt;=E120-0.000001,1,0)</f>
        <v>0</v>
      </c>
      <c r="S120" s="0" t="n">
        <f aca="false">MAX(0,P120-E120)*F120</f>
        <v>0</v>
      </c>
    </row>
    <row r="121" customFormat="false" ht="15" hidden="false" customHeight="false" outlineLevel="0" collapsed="false">
      <c r="A121" s="0" t="s">
        <v>391</v>
      </c>
      <c r="B121" s="0" t="s">
        <v>389</v>
      </c>
      <c r="C121" s="0" t="s">
        <v>179</v>
      </c>
      <c r="D121" s="0" t="s">
        <v>392</v>
      </c>
      <c r="E121" s="0" t="n">
        <v>486</v>
      </c>
      <c r="F121" s="0" t="n">
        <v>28000</v>
      </c>
      <c r="G121" s="0" t="n">
        <f aca="false">E121*F121</f>
        <v>13608000</v>
      </c>
      <c r="H121" s="0" t="n">
        <f aca="false">SUMIFS(Quantites!$C$2:$C$1166,Quantites!$A$2:$A$1166,A121,Quantites!$B$2:$B$1166,"&lt;="&amp;Dates!$A$2)</f>
        <v>0</v>
      </c>
      <c r="I121" s="0" t="n">
        <f aca="false">MIN(H121,E121)*F121</f>
        <v>0</v>
      </c>
      <c r="J121" s="0" t="n">
        <f aca="false">IF(H121&gt;=E121-0.000001,1,0)</f>
        <v>0</v>
      </c>
      <c r="K121" s="0" t="n">
        <f aca="false">MAX(0,H121-E121)*F121</f>
        <v>0</v>
      </c>
      <c r="L121" s="0" t="n">
        <f aca="false">SUMIFS(Quantites!$C$2:$C$1166,Quantites!$A$2:$A$1166,A121,Quantites!$B$2:$B$1166,"&lt;="&amp;Dates!$A$3)</f>
        <v>0</v>
      </c>
      <c r="M121" s="0" t="n">
        <f aca="false">MIN(L121,E121)*F121</f>
        <v>0</v>
      </c>
      <c r="N121" s="0" t="n">
        <f aca="false">IF(L121&gt;=E121-0.000001,1,0)</f>
        <v>0</v>
      </c>
      <c r="O121" s="0" t="n">
        <f aca="false">MAX(0,L121-E121)*F121</f>
        <v>0</v>
      </c>
      <c r="P121" s="0" t="n">
        <f aca="false">SUMIFS(Quantites!$C$2:$C$1166,Quantites!$A$2:$A$1166,A121,Quantites!$B$2:$B$1166,"&lt;="&amp;Dates!$A$4)</f>
        <v>0</v>
      </c>
      <c r="Q121" s="0" t="n">
        <f aca="false">MIN(P121,E121)*F121</f>
        <v>0</v>
      </c>
      <c r="R121" s="0" t="n">
        <f aca="false">IF(P121&gt;=E121-0.000001,1,0)</f>
        <v>0</v>
      </c>
      <c r="S121" s="0" t="n">
        <f aca="false">MAX(0,P121-E121)*F121</f>
        <v>0</v>
      </c>
    </row>
    <row r="122" customFormat="false" ht="15" hidden="false" customHeight="false" outlineLevel="0" collapsed="false">
      <c r="A122" s="0" t="s">
        <v>393</v>
      </c>
      <c r="B122" s="0" t="s">
        <v>394</v>
      </c>
      <c r="C122" s="0" t="s">
        <v>179</v>
      </c>
      <c r="D122" s="0" t="s">
        <v>395</v>
      </c>
      <c r="E122" s="0" t="n">
        <v>620</v>
      </c>
      <c r="F122" s="0" t="n">
        <v>14500</v>
      </c>
      <c r="G122" s="0" t="n">
        <f aca="false">E122*F122</f>
        <v>8990000</v>
      </c>
      <c r="H122" s="0" t="n">
        <f aca="false">SUMIFS(Quantites!$C$2:$C$1166,Quantites!$A$2:$A$1166,A122,Quantites!$B$2:$B$1166,"&lt;="&amp;Dates!$A$2)</f>
        <v>0</v>
      </c>
      <c r="I122" s="0" t="n">
        <f aca="false">MIN(H122,E122)*F122</f>
        <v>0</v>
      </c>
      <c r="J122" s="0" t="n">
        <f aca="false">IF(H122&gt;=E122-0.000001,1,0)</f>
        <v>0</v>
      </c>
      <c r="K122" s="0" t="n">
        <f aca="false">MAX(0,H122-E122)*F122</f>
        <v>0</v>
      </c>
      <c r="L122" s="0" t="n">
        <f aca="false">SUMIFS(Quantites!$C$2:$C$1166,Quantites!$A$2:$A$1166,A122,Quantites!$B$2:$B$1166,"&lt;="&amp;Dates!$A$3)</f>
        <v>0</v>
      </c>
      <c r="M122" s="0" t="n">
        <f aca="false">MIN(L122,E122)*F122</f>
        <v>0</v>
      </c>
      <c r="N122" s="0" t="n">
        <f aca="false">IF(L122&gt;=E122-0.000001,1,0)</f>
        <v>0</v>
      </c>
      <c r="O122" s="0" t="n">
        <f aca="false">MAX(0,L122-E122)*F122</f>
        <v>0</v>
      </c>
      <c r="P122" s="0" t="n">
        <f aca="false">SUMIFS(Quantites!$C$2:$C$1166,Quantites!$A$2:$A$1166,A122,Quantites!$B$2:$B$1166,"&lt;="&amp;Dates!$A$4)</f>
        <v>0</v>
      </c>
      <c r="Q122" s="0" t="n">
        <f aca="false">MIN(P122,E122)*F122</f>
        <v>0</v>
      </c>
      <c r="R122" s="0" t="n">
        <f aca="false">IF(P122&gt;=E122-0.000001,1,0)</f>
        <v>0</v>
      </c>
      <c r="S122" s="0" t="n">
        <f aca="false">MAX(0,P122-E122)*F122</f>
        <v>0</v>
      </c>
    </row>
    <row r="123" customFormat="false" ht="15" hidden="false" customHeight="false" outlineLevel="0" collapsed="false">
      <c r="A123" s="0" t="s">
        <v>396</v>
      </c>
      <c r="B123" s="0" t="s">
        <v>394</v>
      </c>
      <c r="C123" s="0" t="s">
        <v>179</v>
      </c>
      <c r="D123" s="0" t="s">
        <v>397</v>
      </c>
      <c r="E123" s="0" t="n">
        <v>72</v>
      </c>
      <c r="F123" s="0" t="n">
        <v>48000</v>
      </c>
      <c r="G123" s="0" t="n">
        <f aca="false">E123*F123</f>
        <v>3456000</v>
      </c>
      <c r="H123" s="0" t="n">
        <f aca="false">SUMIFS(Quantites!$C$2:$C$1166,Quantites!$A$2:$A$1166,A123,Quantites!$B$2:$B$1166,"&lt;="&amp;Dates!$A$2)</f>
        <v>0</v>
      </c>
      <c r="I123" s="0" t="n">
        <f aca="false">MIN(H123,E123)*F123</f>
        <v>0</v>
      </c>
      <c r="J123" s="0" t="n">
        <f aca="false">IF(H123&gt;=E123-0.000001,1,0)</f>
        <v>0</v>
      </c>
      <c r="K123" s="0" t="n">
        <f aca="false">MAX(0,H123-E123)*F123</f>
        <v>0</v>
      </c>
      <c r="L123" s="0" t="n">
        <f aca="false">SUMIFS(Quantites!$C$2:$C$1166,Quantites!$A$2:$A$1166,A123,Quantites!$B$2:$B$1166,"&lt;="&amp;Dates!$A$3)</f>
        <v>0</v>
      </c>
      <c r="M123" s="0" t="n">
        <f aca="false">MIN(L123,E123)*F123</f>
        <v>0</v>
      </c>
      <c r="N123" s="0" t="n">
        <f aca="false">IF(L123&gt;=E123-0.000001,1,0)</f>
        <v>0</v>
      </c>
      <c r="O123" s="0" t="n">
        <f aca="false">MAX(0,L123-E123)*F123</f>
        <v>0</v>
      </c>
      <c r="P123" s="0" t="n">
        <f aca="false">SUMIFS(Quantites!$C$2:$C$1166,Quantites!$A$2:$A$1166,A123,Quantites!$B$2:$B$1166,"&lt;="&amp;Dates!$A$4)</f>
        <v>0</v>
      </c>
      <c r="Q123" s="0" t="n">
        <f aca="false">MIN(P123,E123)*F123</f>
        <v>0</v>
      </c>
      <c r="R123" s="0" t="n">
        <f aca="false">IF(P123&gt;=E123-0.000001,1,0)</f>
        <v>0</v>
      </c>
      <c r="S123" s="0" t="n">
        <f aca="false">MAX(0,P123-E123)*F123</f>
        <v>0</v>
      </c>
    </row>
    <row r="124" customFormat="false" ht="15" hidden="false" customHeight="false" outlineLevel="0" collapsed="false">
      <c r="A124" s="0" t="s">
        <v>398</v>
      </c>
      <c r="B124" s="0" t="s">
        <v>399</v>
      </c>
      <c r="C124" s="0" t="s">
        <v>179</v>
      </c>
      <c r="D124" s="0" t="s">
        <v>400</v>
      </c>
      <c r="E124" s="0" t="n">
        <v>72</v>
      </c>
      <c r="F124" s="0" t="n">
        <v>385000</v>
      </c>
      <c r="G124" s="0" t="n">
        <f aca="false">E124*F124</f>
        <v>27720000</v>
      </c>
      <c r="H124" s="0" t="n">
        <f aca="false">SUMIFS(Quantites!$C$2:$C$1166,Quantites!$A$2:$A$1166,A124,Quantites!$B$2:$B$1166,"&lt;="&amp;Dates!$A$2)</f>
        <v>0</v>
      </c>
      <c r="I124" s="0" t="n">
        <f aca="false">MIN(H124,E124)*F124</f>
        <v>0</v>
      </c>
      <c r="J124" s="0" t="n">
        <f aca="false">IF(H124&gt;=E124-0.000001,1,0)</f>
        <v>0</v>
      </c>
      <c r="K124" s="0" t="n">
        <f aca="false">MAX(0,H124-E124)*F124</f>
        <v>0</v>
      </c>
      <c r="L124" s="0" t="n">
        <f aca="false">SUMIFS(Quantites!$C$2:$C$1166,Quantites!$A$2:$A$1166,A124,Quantites!$B$2:$B$1166,"&lt;="&amp;Dates!$A$3)</f>
        <v>0</v>
      </c>
      <c r="M124" s="0" t="n">
        <f aca="false">MIN(L124,E124)*F124</f>
        <v>0</v>
      </c>
      <c r="N124" s="0" t="n">
        <f aca="false">IF(L124&gt;=E124-0.000001,1,0)</f>
        <v>0</v>
      </c>
      <c r="O124" s="0" t="n">
        <f aca="false">MAX(0,L124-E124)*F124</f>
        <v>0</v>
      </c>
      <c r="P124" s="0" t="n">
        <f aca="false">SUMIFS(Quantites!$C$2:$C$1166,Quantites!$A$2:$A$1166,A124,Quantites!$B$2:$B$1166,"&lt;="&amp;Dates!$A$4)</f>
        <v>0</v>
      </c>
      <c r="Q124" s="0" t="n">
        <f aca="false">MIN(P124,E124)*F124</f>
        <v>0</v>
      </c>
      <c r="R124" s="0" t="n">
        <f aca="false">IF(P124&gt;=E124-0.000001,1,0)</f>
        <v>0</v>
      </c>
      <c r="S124" s="0" t="n">
        <f aca="false">MAX(0,P124-E124)*F124</f>
        <v>0</v>
      </c>
    </row>
    <row r="125" customFormat="false" ht="15" hidden="false" customHeight="false" outlineLevel="0" collapsed="false">
      <c r="A125" s="0" t="s">
        <v>401</v>
      </c>
      <c r="B125" s="0" t="s">
        <v>402</v>
      </c>
      <c r="C125" s="0" t="s">
        <v>186</v>
      </c>
      <c r="D125" s="0" t="s">
        <v>403</v>
      </c>
      <c r="E125" s="0" t="n">
        <v>8640</v>
      </c>
      <c r="F125" s="0" t="n">
        <v>3500</v>
      </c>
      <c r="G125" s="0" t="n">
        <f aca="false">E125*F125</f>
        <v>30240000</v>
      </c>
      <c r="H125" s="0" t="n">
        <f aca="false">SUMIFS(Quantites!$C$2:$C$1166,Quantites!$A$2:$A$1166,A125,Quantites!$B$2:$B$1166,"&lt;="&amp;Dates!$A$2)</f>
        <v>0</v>
      </c>
      <c r="I125" s="0" t="n">
        <f aca="false">MIN(H125,E125)*F125</f>
        <v>0</v>
      </c>
      <c r="J125" s="0" t="n">
        <f aca="false">IF(H125&gt;=E125-0.000001,1,0)</f>
        <v>0</v>
      </c>
      <c r="K125" s="0" t="n">
        <f aca="false">MAX(0,H125-E125)*F125</f>
        <v>0</v>
      </c>
      <c r="L125" s="0" t="n">
        <f aca="false">SUMIFS(Quantites!$C$2:$C$1166,Quantites!$A$2:$A$1166,A125,Quantites!$B$2:$B$1166,"&lt;="&amp;Dates!$A$3)</f>
        <v>0</v>
      </c>
      <c r="M125" s="0" t="n">
        <f aca="false">MIN(L125,E125)*F125</f>
        <v>0</v>
      </c>
      <c r="N125" s="0" t="n">
        <f aca="false">IF(L125&gt;=E125-0.000001,1,0)</f>
        <v>0</v>
      </c>
      <c r="O125" s="0" t="n">
        <f aca="false">MAX(0,L125-E125)*F125</f>
        <v>0</v>
      </c>
      <c r="P125" s="0" t="n">
        <f aca="false">SUMIFS(Quantites!$C$2:$C$1166,Quantites!$A$2:$A$1166,A125,Quantites!$B$2:$B$1166,"&lt;="&amp;Dates!$A$4)</f>
        <v>0</v>
      </c>
      <c r="Q125" s="0" t="n">
        <f aca="false">MIN(P125,E125)*F125</f>
        <v>0</v>
      </c>
      <c r="R125" s="0" t="n">
        <f aca="false">IF(P125&gt;=E125-0.000001,1,0)</f>
        <v>0</v>
      </c>
      <c r="S125" s="0" t="n">
        <f aca="false">MAX(0,P125-E125)*F125</f>
        <v>0</v>
      </c>
    </row>
    <row r="126" customFormat="false" ht="15" hidden="false" customHeight="false" outlineLevel="0" collapsed="false">
      <c r="A126" s="0" t="s">
        <v>404</v>
      </c>
      <c r="B126" s="0" t="s">
        <v>405</v>
      </c>
      <c r="C126" s="0" t="s">
        <v>186</v>
      </c>
      <c r="D126" s="0" t="s">
        <v>406</v>
      </c>
      <c r="E126" s="0" t="n">
        <v>2960</v>
      </c>
      <c r="F126" s="0" t="n">
        <v>4800</v>
      </c>
      <c r="G126" s="0" t="n">
        <f aca="false">E126*F126</f>
        <v>14208000</v>
      </c>
      <c r="H126" s="0" t="n">
        <f aca="false">SUMIFS(Quantites!$C$2:$C$1166,Quantites!$A$2:$A$1166,A126,Quantites!$B$2:$B$1166,"&lt;="&amp;Dates!$A$2)</f>
        <v>0</v>
      </c>
      <c r="I126" s="0" t="n">
        <f aca="false">MIN(H126,E126)*F126</f>
        <v>0</v>
      </c>
      <c r="J126" s="0" t="n">
        <f aca="false">IF(H126&gt;=E126-0.000001,1,0)</f>
        <v>0</v>
      </c>
      <c r="K126" s="0" t="n">
        <f aca="false">MAX(0,H126-E126)*F126</f>
        <v>0</v>
      </c>
      <c r="L126" s="0" t="n">
        <f aca="false">SUMIFS(Quantites!$C$2:$C$1166,Quantites!$A$2:$A$1166,A126,Quantites!$B$2:$B$1166,"&lt;="&amp;Dates!$A$3)</f>
        <v>0</v>
      </c>
      <c r="M126" s="0" t="n">
        <f aca="false">MIN(L126,E126)*F126</f>
        <v>0</v>
      </c>
      <c r="N126" s="0" t="n">
        <f aca="false">IF(L126&gt;=E126-0.000001,1,0)</f>
        <v>0</v>
      </c>
      <c r="O126" s="0" t="n">
        <f aca="false">MAX(0,L126-E126)*F126</f>
        <v>0</v>
      </c>
      <c r="P126" s="0" t="n">
        <f aca="false">SUMIFS(Quantites!$C$2:$C$1166,Quantites!$A$2:$A$1166,A126,Quantites!$B$2:$B$1166,"&lt;="&amp;Dates!$A$4)</f>
        <v>0</v>
      </c>
      <c r="Q126" s="0" t="n">
        <f aca="false">MIN(P126,E126)*F126</f>
        <v>0</v>
      </c>
      <c r="R126" s="0" t="n">
        <f aca="false">IF(P126&gt;=E126-0.000001,1,0)</f>
        <v>0</v>
      </c>
      <c r="S126" s="0" t="n">
        <f aca="false">MAX(0,P126-E126)*F126</f>
        <v>0</v>
      </c>
    </row>
    <row r="127" customFormat="false" ht="15" hidden="false" customHeight="false" outlineLevel="0" collapsed="false">
      <c r="A127" s="0" t="s">
        <v>407</v>
      </c>
      <c r="B127" s="0" t="s">
        <v>408</v>
      </c>
      <c r="C127" s="0" t="s">
        <v>186</v>
      </c>
      <c r="D127" s="0" t="s">
        <v>409</v>
      </c>
      <c r="E127" s="0" t="n">
        <v>2240</v>
      </c>
      <c r="F127" s="0" t="n">
        <v>2800</v>
      </c>
      <c r="G127" s="0" t="n">
        <f aca="false">E127*F127</f>
        <v>6272000</v>
      </c>
      <c r="H127" s="0" t="n">
        <f aca="false">SUMIFS(Quantites!$C$2:$C$1166,Quantites!$A$2:$A$1166,A127,Quantites!$B$2:$B$1166,"&lt;="&amp;Dates!$A$2)</f>
        <v>0</v>
      </c>
      <c r="I127" s="0" t="n">
        <f aca="false">MIN(H127,E127)*F127</f>
        <v>0</v>
      </c>
      <c r="J127" s="0" t="n">
        <f aca="false">IF(H127&gt;=E127-0.000001,1,0)</f>
        <v>0</v>
      </c>
      <c r="K127" s="0" t="n">
        <f aca="false">MAX(0,H127-E127)*F127</f>
        <v>0</v>
      </c>
      <c r="L127" s="0" t="n">
        <f aca="false">SUMIFS(Quantites!$C$2:$C$1166,Quantites!$A$2:$A$1166,A127,Quantites!$B$2:$B$1166,"&lt;="&amp;Dates!$A$3)</f>
        <v>0</v>
      </c>
      <c r="M127" s="0" t="n">
        <f aca="false">MIN(L127,E127)*F127</f>
        <v>0</v>
      </c>
      <c r="N127" s="0" t="n">
        <f aca="false">IF(L127&gt;=E127-0.000001,1,0)</f>
        <v>0</v>
      </c>
      <c r="O127" s="0" t="n">
        <f aca="false">MAX(0,L127-E127)*F127</f>
        <v>0</v>
      </c>
      <c r="P127" s="0" t="n">
        <f aca="false">SUMIFS(Quantites!$C$2:$C$1166,Quantites!$A$2:$A$1166,A127,Quantites!$B$2:$B$1166,"&lt;="&amp;Dates!$A$4)</f>
        <v>0</v>
      </c>
      <c r="Q127" s="0" t="n">
        <f aca="false">MIN(P127,E127)*F127</f>
        <v>0</v>
      </c>
      <c r="R127" s="0" t="n">
        <f aca="false">IF(P127&gt;=E127-0.000001,1,0)</f>
        <v>0</v>
      </c>
      <c r="S127" s="0" t="n">
        <f aca="false">MAX(0,P127-E127)*F127</f>
        <v>0</v>
      </c>
    </row>
    <row r="128" customFormat="false" ht="15" hidden="false" customHeight="false" outlineLevel="0" collapsed="false">
      <c r="A128" s="0" t="s">
        <v>410</v>
      </c>
      <c r="B128" s="0" t="s">
        <v>408</v>
      </c>
      <c r="C128" s="0" t="s">
        <v>186</v>
      </c>
      <c r="D128" s="0" t="s">
        <v>411</v>
      </c>
      <c r="E128" s="0" t="n">
        <v>1</v>
      </c>
      <c r="F128" s="0" t="n">
        <v>5200000</v>
      </c>
      <c r="G128" s="0" t="n">
        <f aca="false">E128*F128</f>
        <v>5200000</v>
      </c>
      <c r="H128" s="0" t="n">
        <f aca="false">SUMIFS(Quantites!$C$2:$C$1166,Quantites!$A$2:$A$1166,A128,Quantites!$B$2:$B$1166,"&lt;="&amp;Dates!$A$2)</f>
        <v>0</v>
      </c>
      <c r="I128" s="0" t="n">
        <f aca="false">MIN(H128,E128)*F128</f>
        <v>0</v>
      </c>
      <c r="J128" s="0" t="n">
        <f aca="false">IF(H128&gt;=E128-0.000001,1,0)</f>
        <v>0</v>
      </c>
      <c r="K128" s="0" t="n">
        <f aca="false">MAX(0,H128-E128)*F128</f>
        <v>0</v>
      </c>
      <c r="L128" s="0" t="n">
        <f aca="false">SUMIFS(Quantites!$C$2:$C$1166,Quantites!$A$2:$A$1166,A128,Quantites!$B$2:$B$1166,"&lt;="&amp;Dates!$A$3)</f>
        <v>0</v>
      </c>
      <c r="M128" s="0" t="n">
        <f aca="false">MIN(L128,E128)*F128</f>
        <v>0</v>
      </c>
      <c r="N128" s="0" t="n">
        <f aca="false">IF(L128&gt;=E128-0.000001,1,0)</f>
        <v>0</v>
      </c>
      <c r="O128" s="0" t="n">
        <f aca="false">MAX(0,L128-E128)*F128</f>
        <v>0</v>
      </c>
      <c r="P128" s="0" t="n">
        <f aca="false">SUMIFS(Quantites!$C$2:$C$1166,Quantites!$A$2:$A$1166,A128,Quantites!$B$2:$B$1166,"&lt;="&amp;Dates!$A$4)</f>
        <v>0</v>
      </c>
      <c r="Q128" s="0" t="n">
        <f aca="false">MIN(P128,E128)*F128</f>
        <v>0</v>
      </c>
      <c r="R128" s="0" t="n">
        <f aca="false">IF(P128&gt;=E128-0.000001,1,0)</f>
        <v>0</v>
      </c>
      <c r="S128" s="0" t="n">
        <f aca="false">MAX(0,P128-E128)*F128</f>
        <v>0</v>
      </c>
    </row>
    <row r="129" customFormat="false" ht="15" hidden="false" customHeight="false" outlineLevel="0" collapsed="false">
      <c r="A129" s="0" t="s">
        <v>412</v>
      </c>
      <c r="B129" s="0" t="s">
        <v>413</v>
      </c>
      <c r="C129" s="0" t="s">
        <v>186</v>
      </c>
      <c r="D129" s="0" t="s">
        <v>414</v>
      </c>
      <c r="E129" s="0" t="n">
        <v>286</v>
      </c>
      <c r="F129" s="0" t="n">
        <v>22000</v>
      </c>
      <c r="G129" s="0" t="n">
        <f aca="false">E129*F129</f>
        <v>6292000</v>
      </c>
      <c r="H129" s="0" t="n">
        <f aca="false">SUMIFS(Quantites!$C$2:$C$1166,Quantites!$A$2:$A$1166,A129,Quantites!$B$2:$B$1166,"&lt;="&amp;Dates!$A$2)</f>
        <v>0</v>
      </c>
      <c r="I129" s="0" t="n">
        <f aca="false">MIN(H129,E129)*F129</f>
        <v>0</v>
      </c>
      <c r="J129" s="0" t="n">
        <f aca="false">IF(H129&gt;=E129-0.000001,1,0)</f>
        <v>0</v>
      </c>
      <c r="K129" s="0" t="n">
        <f aca="false">MAX(0,H129-E129)*F129</f>
        <v>0</v>
      </c>
      <c r="L129" s="0" t="n">
        <f aca="false">SUMIFS(Quantites!$C$2:$C$1166,Quantites!$A$2:$A$1166,A129,Quantites!$B$2:$B$1166,"&lt;="&amp;Dates!$A$3)</f>
        <v>0</v>
      </c>
      <c r="M129" s="0" t="n">
        <f aca="false">MIN(L129,E129)*F129</f>
        <v>0</v>
      </c>
      <c r="N129" s="0" t="n">
        <f aca="false">IF(L129&gt;=E129-0.000001,1,0)</f>
        <v>0</v>
      </c>
      <c r="O129" s="0" t="n">
        <f aca="false">MAX(0,L129-E129)*F129</f>
        <v>0</v>
      </c>
      <c r="P129" s="0" t="n">
        <f aca="false">SUMIFS(Quantites!$C$2:$C$1166,Quantites!$A$2:$A$1166,A129,Quantites!$B$2:$B$1166,"&lt;="&amp;Dates!$A$4)</f>
        <v>0</v>
      </c>
      <c r="Q129" s="0" t="n">
        <f aca="false">MIN(P129,E129)*F129</f>
        <v>0</v>
      </c>
      <c r="R129" s="0" t="n">
        <f aca="false">IF(P129&gt;=E129-0.000001,1,0)</f>
        <v>0</v>
      </c>
      <c r="S129" s="0" t="n">
        <f aca="false">MAX(0,P129-E129)*F129</f>
        <v>0</v>
      </c>
    </row>
    <row r="130" customFormat="false" ht="15" hidden="false" customHeight="false" outlineLevel="0" collapsed="false">
      <c r="A130" s="0" t="s">
        <v>415</v>
      </c>
      <c r="B130" s="0" t="s">
        <v>413</v>
      </c>
      <c r="C130" s="0" t="s">
        <v>186</v>
      </c>
      <c r="D130" s="0" t="s">
        <v>416</v>
      </c>
      <c r="E130" s="0" t="n">
        <v>980</v>
      </c>
      <c r="F130" s="0" t="n">
        <v>32000</v>
      </c>
      <c r="G130" s="0" t="n">
        <f aca="false">E130*F130</f>
        <v>31360000</v>
      </c>
      <c r="H130" s="0" t="n">
        <f aca="false">SUMIFS(Quantites!$C$2:$C$1166,Quantites!$A$2:$A$1166,A130,Quantites!$B$2:$B$1166,"&lt;="&amp;Dates!$A$2)</f>
        <v>0</v>
      </c>
      <c r="I130" s="0" t="n">
        <f aca="false">MIN(H130,E130)*F130</f>
        <v>0</v>
      </c>
      <c r="J130" s="0" t="n">
        <f aca="false">IF(H130&gt;=E130-0.000001,1,0)</f>
        <v>0</v>
      </c>
      <c r="K130" s="0" t="n">
        <f aca="false">MAX(0,H130-E130)*F130</f>
        <v>0</v>
      </c>
      <c r="L130" s="0" t="n">
        <f aca="false">SUMIFS(Quantites!$C$2:$C$1166,Quantites!$A$2:$A$1166,A130,Quantites!$B$2:$B$1166,"&lt;="&amp;Dates!$A$3)</f>
        <v>0</v>
      </c>
      <c r="M130" s="0" t="n">
        <f aca="false">MIN(L130,E130)*F130</f>
        <v>0</v>
      </c>
      <c r="N130" s="0" t="n">
        <f aca="false">IF(L130&gt;=E130-0.000001,1,0)</f>
        <v>0</v>
      </c>
      <c r="O130" s="0" t="n">
        <f aca="false">MAX(0,L130-E130)*F130</f>
        <v>0</v>
      </c>
      <c r="P130" s="0" t="n">
        <f aca="false">SUMIFS(Quantites!$C$2:$C$1166,Quantites!$A$2:$A$1166,A130,Quantites!$B$2:$B$1166,"&lt;="&amp;Dates!$A$4)</f>
        <v>0</v>
      </c>
      <c r="Q130" s="0" t="n">
        <f aca="false">MIN(P130,E130)*F130</f>
        <v>0</v>
      </c>
      <c r="R130" s="0" t="n">
        <f aca="false">IF(P130&gt;=E130-0.000001,1,0)</f>
        <v>0</v>
      </c>
      <c r="S130" s="0" t="n">
        <f aca="false">MAX(0,P130-E130)*F130</f>
        <v>0</v>
      </c>
    </row>
    <row r="131" customFormat="false" ht="15" hidden="false" customHeight="false" outlineLevel="0" collapsed="false">
      <c r="A131" s="0" t="s">
        <v>417</v>
      </c>
      <c r="B131" s="0" t="s">
        <v>418</v>
      </c>
      <c r="C131" s="0" t="s">
        <v>186</v>
      </c>
      <c r="D131" s="0" t="s">
        <v>419</v>
      </c>
      <c r="E131" s="0" t="n">
        <v>640</v>
      </c>
      <c r="F131" s="0" t="n">
        <v>8500</v>
      </c>
      <c r="G131" s="0" t="n">
        <f aca="false">E131*F131</f>
        <v>5440000</v>
      </c>
      <c r="H131" s="0" t="n">
        <f aca="false">SUMIFS(Quantites!$C$2:$C$1166,Quantites!$A$2:$A$1166,A131,Quantites!$B$2:$B$1166,"&lt;="&amp;Dates!$A$2)</f>
        <v>0</v>
      </c>
      <c r="I131" s="0" t="n">
        <f aca="false">MIN(H131,E131)*F131</f>
        <v>0</v>
      </c>
      <c r="J131" s="0" t="n">
        <f aca="false">IF(H131&gt;=E131-0.000001,1,0)</f>
        <v>0</v>
      </c>
      <c r="K131" s="0" t="n">
        <f aca="false">MAX(0,H131-E131)*F131</f>
        <v>0</v>
      </c>
      <c r="L131" s="0" t="n">
        <f aca="false">SUMIFS(Quantites!$C$2:$C$1166,Quantites!$A$2:$A$1166,A131,Quantites!$B$2:$B$1166,"&lt;="&amp;Dates!$A$3)</f>
        <v>0</v>
      </c>
      <c r="M131" s="0" t="n">
        <f aca="false">MIN(L131,E131)*F131</f>
        <v>0</v>
      </c>
      <c r="N131" s="0" t="n">
        <f aca="false">IF(L131&gt;=E131-0.000001,1,0)</f>
        <v>0</v>
      </c>
      <c r="O131" s="0" t="n">
        <f aca="false">MAX(0,L131-E131)*F131</f>
        <v>0</v>
      </c>
      <c r="P131" s="0" t="n">
        <f aca="false">SUMIFS(Quantites!$C$2:$C$1166,Quantites!$A$2:$A$1166,A131,Quantites!$B$2:$B$1166,"&lt;="&amp;Dates!$A$4)</f>
        <v>0</v>
      </c>
      <c r="Q131" s="0" t="n">
        <f aca="false">MIN(P131,E131)*F131</f>
        <v>0</v>
      </c>
      <c r="R131" s="0" t="n">
        <f aca="false">IF(P131&gt;=E131-0.000001,1,0)</f>
        <v>0</v>
      </c>
      <c r="S131" s="0" t="n">
        <f aca="false">MAX(0,P131-E131)*F131</f>
        <v>0</v>
      </c>
    </row>
    <row r="132" customFormat="false" ht="15" hidden="false" customHeight="false" outlineLevel="0" collapsed="false">
      <c r="A132" s="0" t="s">
        <v>420</v>
      </c>
      <c r="B132" s="0" t="s">
        <v>418</v>
      </c>
      <c r="C132" s="0" t="s">
        <v>186</v>
      </c>
      <c r="D132" s="0" t="s">
        <v>421</v>
      </c>
      <c r="E132" s="0" t="n">
        <v>68</v>
      </c>
      <c r="F132" s="0" t="n">
        <v>32000</v>
      </c>
      <c r="G132" s="0" t="n">
        <f aca="false">E132*F132</f>
        <v>2176000</v>
      </c>
      <c r="H132" s="0" t="n">
        <f aca="false">SUMIFS(Quantites!$C$2:$C$1166,Quantites!$A$2:$A$1166,A132,Quantites!$B$2:$B$1166,"&lt;="&amp;Dates!$A$2)</f>
        <v>0</v>
      </c>
      <c r="I132" s="0" t="n">
        <f aca="false">MIN(H132,E132)*F132</f>
        <v>0</v>
      </c>
      <c r="J132" s="0" t="n">
        <f aca="false">IF(H132&gt;=E132-0.000001,1,0)</f>
        <v>0</v>
      </c>
      <c r="K132" s="0" t="n">
        <f aca="false">MAX(0,H132-E132)*F132</f>
        <v>0</v>
      </c>
      <c r="L132" s="0" t="n">
        <f aca="false">SUMIFS(Quantites!$C$2:$C$1166,Quantites!$A$2:$A$1166,A132,Quantites!$B$2:$B$1166,"&lt;="&amp;Dates!$A$3)</f>
        <v>0</v>
      </c>
      <c r="M132" s="0" t="n">
        <f aca="false">MIN(L132,E132)*F132</f>
        <v>0</v>
      </c>
      <c r="N132" s="0" t="n">
        <f aca="false">IF(L132&gt;=E132-0.000001,1,0)</f>
        <v>0</v>
      </c>
      <c r="O132" s="0" t="n">
        <f aca="false">MAX(0,L132-E132)*F132</f>
        <v>0</v>
      </c>
      <c r="P132" s="0" t="n">
        <f aca="false">SUMIFS(Quantites!$C$2:$C$1166,Quantites!$A$2:$A$1166,A132,Quantites!$B$2:$B$1166,"&lt;="&amp;Dates!$A$4)</f>
        <v>0</v>
      </c>
      <c r="Q132" s="0" t="n">
        <f aca="false">MIN(P132,E132)*F132</f>
        <v>0</v>
      </c>
      <c r="R132" s="0" t="n">
        <f aca="false">IF(P132&gt;=E132-0.000001,1,0)</f>
        <v>0</v>
      </c>
      <c r="S132" s="0" t="n">
        <f aca="false">MAX(0,P132-E132)*F132</f>
        <v>0</v>
      </c>
    </row>
    <row r="133" customFormat="false" ht="15" hidden="false" customHeight="false" outlineLevel="0" collapsed="false">
      <c r="A133" s="0" t="s">
        <v>422</v>
      </c>
      <c r="B133" s="0" t="s">
        <v>423</v>
      </c>
      <c r="C133" s="0" t="s">
        <v>186</v>
      </c>
      <c r="D133" s="0" t="s">
        <v>424</v>
      </c>
      <c r="E133" s="0" t="n">
        <v>248</v>
      </c>
      <c r="F133" s="0" t="n">
        <v>65000</v>
      </c>
      <c r="G133" s="0" t="n">
        <f aca="false">E133*F133</f>
        <v>16120000</v>
      </c>
      <c r="H133" s="0" t="n">
        <f aca="false">SUMIFS(Quantites!$C$2:$C$1166,Quantites!$A$2:$A$1166,A133,Quantites!$B$2:$B$1166,"&lt;="&amp;Dates!$A$2)</f>
        <v>0</v>
      </c>
      <c r="I133" s="0" t="n">
        <f aca="false">MIN(H133,E133)*F133</f>
        <v>0</v>
      </c>
      <c r="J133" s="0" t="n">
        <f aca="false">IF(H133&gt;=E133-0.000001,1,0)</f>
        <v>0</v>
      </c>
      <c r="K133" s="0" t="n">
        <f aca="false">MAX(0,H133-E133)*F133</f>
        <v>0</v>
      </c>
      <c r="L133" s="0" t="n">
        <f aca="false">SUMIFS(Quantites!$C$2:$C$1166,Quantites!$A$2:$A$1166,A133,Quantites!$B$2:$B$1166,"&lt;="&amp;Dates!$A$3)</f>
        <v>0</v>
      </c>
      <c r="M133" s="0" t="n">
        <f aca="false">MIN(L133,E133)*F133</f>
        <v>0</v>
      </c>
      <c r="N133" s="0" t="n">
        <f aca="false">IF(L133&gt;=E133-0.000001,1,0)</f>
        <v>0</v>
      </c>
      <c r="O133" s="0" t="n">
        <f aca="false">MAX(0,L133-E133)*F133</f>
        <v>0</v>
      </c>
      <c r="P133" s="0" t="n">
        <f aca="false">SUMIFS(Quantites!$C$2:$C$1166,Quantites!$A$2:$A$1166,A133,Quantites!$B$2:$B$1166,"&lt;="&amp;Dates!$A$4)</f>
        <v>0</v>
      </c>
      <c r="Q133" s="0" t="n">
        <f aca="false">MIN(P133,E133)*F133</f>
        <v>0</v>
      </c>
      <c r="R133" s="0" t="n">
        <f aca="false">IF(P133&gt;=E133-0.000001,1,0)</f>
        <v>0</v>
      </c>
      <c r="S133" s="0" t="n">
        <f aca="false">MAX(0,P133-E133)*F133</f>
        <v>0</v>
      </c>
    </row>
    <row r="134" customFormat="false" ht="15" hidden="false" customHeight="false" outlineLevel="0" collapsed="false">
      <c r="A134" s="0" t="s">
        <v>425</v>
      </c>
      <c r="B134" s="0" t="s">
        <v>423</v>
      </c>
      <c r="C134" s="0" t="s">
        <v>186</v>
      </c>
      <c r="D134" s="0" t="s">
        <v>426</v>
      </c>
      <c r="E134" s="0" t="n">
        <v>1</v>
      </c>
      <c r="F134" s="0" t="n">
        <v>4200000</v>
      </c>
      <c r="G134" s="0" t="n">
        <f aca="false">E134*F134</f>
        <v>4200000</v>
      </c>
      <c r="H134" s="0" t="n">
        <f aca="false">SUMIFS(Quantites!$C$2:$C$1166,Quantites!$A$2:$A$1166,A134,Quantites!$B$2:$B$1166,"&lt;="&amp;Dates!$A$2)</f>
        <v>0</v>
      </c>
      <c r="I134" s="0" t="n">
        <f aca="false">MIN(H134,E134)*F134</f>
        <v>0</v>
      </c>
      <c r="J134" s="0" t="n">
        <f aca="false">IF(H134&gt;=E134-0.000001,1,0)</f>
        <v>0</v>
      </c>
      <c r="K134" s="0" t="n">
        <f aca="false">MAX(0,H134-E134)*F134</f>
        <v>0</v>
      </c>
      <c r="L134" s="0" t="n">
        <f aca="false">SUMIFS(Quantites!$C$2:$C$1166,Quantites!$A$2:$A$1166,A134,Quantites!$B$2:$B$1166,"&lt;="&amp;Dates!$A$3)</f>
        <v>0</v>
      </c>
      <c r="M134" s="0" t="n">
        <f aca="false">MIN(L134,E134)*F134</f>
        <v>0</v>
      </c>
      <c r="N134" s="0" t="n">
        <f aca="false">IF(L134&gt;=E134-0.000001,1,0)</f>
        <v>0</v>
      </c>
      <c r="O134" s="0" t="n">
        <f aca="false">MAX(0,L134-E134)*F134</f>
        <v>0</v>
      </c>
      <c r="P134" s="0" t="n">
        <f aca="false">SUMIFS(Quantites!$C$2:$C$1166,Quantites!$A$2:$A$1166,A134,Quantites!$B$2:$B$1166,"&lt;="&amp;Dates!$A$4)</f>
        <v>0</v>
      </c>
      <c r="Q134" s="0" t="n">
        <f aca="false">MIN(P134,E134)*F134</f>
        <v>0</v>
      </c>
      <c r="R134" s="0" t="n">
        <f aca="false">IF(P134&gt;=E134-0.000001,1,0)</f>
        <v>0</v>
      </c>
      <c r="S134" s="0" t="n">
        <f aca="false">MAX(0,P134-E134)*F134</f>
        <v>0</v>
      </c>
    </row>
    <row r="135" customFormat="false" ht="15" hidden="false" customHeight="false" outlineLevel="0" collapsed="false">
      <c r="A135" s="0" t="s">
        <v>427</v>
      </c>
      <c r="B135" s="0" t="s">
        <v>423</v>
      </c>
      <c r="C135" s="0" t="s">
        <v>186</v>
      </c>
      <c r="D135" s="0" t="s">
        <v>428</v>
      </c>
      <c r="E135" s="0" t="n">
        <v>2</v>
      </c>
      <c r="F135" s="0" t="n">
        <v>680000</v>
      </c>
      <c r="G135" s="0" t="n">
        <f aca="false">E135*F135</f>
        <v>1360000</v>
      </c>
      <c r="H135" s="0" t="n">
        <f aca="false">SUMIFS(Quantites!$C$2:$C$1166,Quantites!$A$2:$A$1166,A135,Quantites!$B$2:$B$1166,"&lt;="&amp;Dates!$A$2)</f>
        <v>0</v>
      </c>
      <c r="I135" s="0" t="n">
        <f aca="false">MIN(H135,E135)*F135</f>
        <v>0</v>
      </c>
      <c r="J135" s="0" t="n">
        <f aca="false">IF(H135&gt;=E135-0.000001,1,0)</f>
        <v>0</v>
      </c>
      <c r="K135" s="0" t="n">
        <f aca="false">MAX(0,H135-E135)*F135</f>
        <v>0</v>
      </c>
      <c r="L135" s="0" t="n">
        <f aca="false">SUMIFS(Quantites!$C$2:$C$1166,Quantites!$A$2:$A$1166,A135,Quantites!$B$2:$B$1166,"&lt;="&amp;Dates!$A$3)</f>
        <v>0</v>
      </c>
      <c r="M135" s="0" t="n">
        <f aca="false">MIN(L135,E135)*F135</f>
        <v>0</v>
      </c>
      <c r="N135" s="0" t="n">
        <f aca="false">IF(L135&gt;=E135-0.000001,1,0)</f>
        <v>0</v>
      </c>
      <c r="O135" s="0" t="n">
        <f aca="false">MAX(0,L135-E135)*F135</f>
        <v>0</v>
      </c>
      <c r="P135" s="0" t="n">
        <f aca="false">SUMIFS(Quantites!$C$2:$C$1166,Quantites!$A$2:$A$1166,A135,Quantites!$B$2:$B$1166,"&lt;="&amp;Dates!$A$4)</f>
        <v>0</v>
      </c>
      <c r="Q135" s="0" t="n">
        <f aca="false">MIN(P135,E135)*F135</f>
        <v>0</v>
      </c>
      <c r="R135" s="0" t="n">
        <f aca="false">IF(P135&gt;=E135-0.000001,1,0)</f>
        <v>0</v>
      </c>
      <c r="S135" s="0" t="n">
        <f aca="false">MAX(0,P135-E135)*F135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194</v>
      </c>
      <c r="B1" s="1" t="s">
        <v>171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</row>
    <row r="2" customFormat="false" ht="15" hidden="false" customHeight="false" outlineLevel="0" collapsed="false">
      <c r="A2" s="0" t="s">
        <v>211</v>
      </c>
      <c r="B2" s="0" t="s">
        <v>174</v>
      </c>
      <c r="C2" s="0" t="s">
        <v>447</v>
      </c>
      <c r="D2" s="2" t="n">
        <v>46083</v>
      </c>
      <c r="E2" s="0" t="n">
        <v>10</v>
      </c>
      <c r="F2" s="3" t="n">
        <f aca="false">SUMIFS(Lignes!$G$2:$G$135,Lignes!$B$2:$B$135,A2)</f>
        <v>17940000</v>
      </c>
      <c r="G2" s="3" t="n">
        <f aca="false">ROUND(F2,0)</f>
        <v>17940000</v>
      </c>
      <c r="H2" s="3" t="n">
        <f aca="false">D2-Parametres!$B$9</f>
        <v>0</v>
      </c>
      <c r="I2" s="3" t="n">
        <f aca="false">IF(C2="UNITES_PHYSIQUES",IF(F2&gt;0,SUMIFS(Lignes!$I$2:$I$135,Lignes!$B$2:$B$135,A2)/F2,0),IF(C2="JALONS_PONDERES",IF(F2&gt;0,SUMIFS(Lignes!$G$2:$G$135,Lignes!$B$2:$B$135,A2,Lignes!$J$2:$J$135,1)/F2,0),IF(C2="ZERO_CENT",IF(AND(COUNTIFS(Lignes!$B$2:$B$135,A2)&gt;0,COUNTIFS(Lignes!$B$2:$B$135,A2,Lignes!$J$2:$J$135,0)=0),1,0),K2)))</f>
        <v>1</v>
      </c>
      <c r="J2" s="3" t="n">
        <f aca="false">ROUND(MIN(1,MAX(0,I2))*F2,0)</f>
        <v>17940000</v>
      </c>
      <c r="K2" s="3" t="n">
        <f aca="false">IF(Dates!$B$2&lt;H2,0,IF(E2&lt;=0,1,MIN(1,(Dates!$B$2-H2+1)/E2)))</f>
        <v>1</v>
      </c>
      <c r="L2" s="3" t="n">
        <f aca="false">K2*G2</f>
        <v>17940000</v>
      </c>
      <c r="M2" s="3" t="n">
        <f aca="false">IF(C2="UNITES_PHYSIQUES",IF(F2&gt;0,SUMIFS(Lignes!$M$2:$M$135,Lignes!$B$2:$B$135,A2)/F2,0),IF(C2="JALONS_PONDERES",IF(F2&gt;0,SUMIFS(Lignes!$G$2:$G$135,Lignes!$B$2:$B$135,A2,Lignes!$N$2:$N$135,1)/F2,0),IF(C2="ZERO_CENT",IF(AND(COUNTIFS(Lignes!$B$2:$B$135,A2)&gt;0,COUNTIFS(Lignes!$B$2:$B$135,A2,Lignes!$N$2:$N$135,0)=0),1,0),O2)))</f>
        <v>1</v>
      </c>
      <c r="N2" s="3" t="n">
        <f aca="false">ROUND(MIN(1,MAX(0,M2))*F2,0)</f>
        <v>17940000</v>
      </c>
      <c r="O2" s="3" t="n">
        <f aca="false">IF(Dates!$B$3&lt;H2,0,IF(E2&lt;=0,1,MIN(1,(Dates!$B$3-H2+1)/E2)))</f>
        <v>1</v>
      </c>
      <c r="P2" s="3" t="n">
        <f aca="false">O2*G2</f>
        <v>17940000</v>
      </c>
      <c r="Q2" s="3" t="n">
        <f aca="false">IF(C2="UNITES_PHYSIQUES",IF(F2&gt;0,SUMIFS(Lignes!$Q$2:$Q$135,Lignes!$B$2:$B$135,A2)/F2,0),IF(C2="JALONS_PONDERES",IF(F2&gt;0,SUMIFS(Lignes!$G$2:$G$135,Lignes!$B$2:$B$135,A2,Lignes!$R$2:$R$135,1)/F2,0),IF(C2="ZERO_CENT",IF(AND(COUNTIFS(Lignes!$B$2:$B$135,A2)&gt;0,COUNTIFS(Lignes!$B$2:$B$135,A2,Lignes!$R$2:$R$135,0)=0),1,0),S2)))</f>
        <v>1</v>
      </c>
      <c r="R2" s="3" t="n">
        <f aca="false">ROUND(MIN(1,MAX(0,Q2))*F2,0)</f>
        <v>17940000</v>
      </c>
      <c r="S2" s="3" t="n">
        <f aca="false">IF(Dates!$B$4&lt;H2,0,IF(E2&lt;=0,1,MIN(1,(Dates!$B$4-H2+1)/E2)))</f>
        <v>1</v>
      </c>
      <c r="T2" s="3" t="n">
        <f aca="false">S2*G2</f>
        <v>17940000</v>
      </c>
    </row>
    <row r="3" customFormat="false" ht="15" hidden="false" customHeight="false" outlineLevel="0" collapsed="false">
      <c r="A3" s="0" t="s">
        <v>215</v>
      </c>
      <c r="B3" s="0" t="s">
        <v>174</v>
      </c>
      <c r="C3" s="0" t="s">
        <v>448</v>
      </c>
      <c r="D3" s="2" t="n">
        <v>46093</v>
      </c>
      <c r="E3" s="0" t="n">
        <v>12</v>
      </c>
      <c r="F3" s="3" t="n">
        <f aca="false">SUMIFS(Lignes!$G$2:$G$135,Lignes!$B$2:$B$135,A3)</f>
        <v>15560000</v>
      </c>
      <c r="G3" s="3" t="n">
        <f aca="false">ROUND(F3,0)</f>
        <v>15560000</v>
      </c>
      <c r="H3" s="3" t="n">
        <f aca="false">D3-Parametres!$B$9</f>
        <v>10</v>
      </c>
      <c r="I3" s="3" t="n">
        <f aca="false">IF(C3="UNITES_PHYSIQUES",IF(F3&gt;0,SUMIFS(Lignes!$I$2:$I$135,Lignes!$B$2:$B$135,A3)/F3,0),IF(C3="JALONS_PONDERES",IF(F3&gt;0,SUMIFS(Lignes!$G$2:$G$135,Lignes!$B$2:$B$135,A3,Lignes!$J$2:$J$135,1)/F3,0),IF(C3="ZERO_CENT",IF(AND(COUNTIFS(Lignes!$B$2:$B$135,A3)&gt;0,COUNTIFS(Lignes!$B$2:$B$135,A3,Lignes!$J$2:$J$135,0)=0),1,0),K3)))</f>
        <v>1</v>
      </c>
      <c r="J3" s="3" t="n">
        <f aca="false">ROUND(MIN(1,MAX(0,I3))*F3,0)</f>
        <v>15560000</v>
      </c>
      <c r="K3" s="3" t="n">
        <f aca="false">IF(Dates!$B$2&lt;H3,0,IF(E3&lt;=0,1,MIN(1,(Dates!$B$2-H3+1)/E3)))</f>
        <v>1</v>
      </c>
      <c r="L3" s="3" t="n">
        <f aca="false">K3*G3</f>
        <v>15560000</v>
      </c>
      <c r="M3" s="3" t="n">
        <f aca="false">IF(C3="UNITES_PHYSIQUES",IF(F3&gt;0,SUMIFS(Lignes!$M$2:$M$135,Lignes!$B$2:$B$135,A3)/F3,0),IF(C3="JALONS_PONDERES",IF(F3&gt;0,SUMIFS(Lignes!$G$2:$G$135,Lignes!$B$2:$B$135,A3,Lignes!$N$2:$N$135,1)/F3,0),IF(C3="ZERO_CENT",IF(AND(COUNTIFS(Lignes!$B$2:$B$135,A3)&gt;0,COUNTIFS(Lignes!$B$2:$B$135,A3,Lignes!$N$2:$N$135,0)=0),1,0),O3)))</f>
        <v>1</v>
      </c>
      <c r="N3" s="3" t="n">
        <f aca="false">ROUND(MIN(1,MAX(0,M3))*F3,0)</f>
        <v>15560000</v>
      </c>
      <c r="O3" s="3" t="n">
        <f aca="false">IF(Dates!$B$3&lt;H3,0,IF(E3&lt;=0,1,MIN(1,(Dates!$B$3-H3+1)/E3)))</f>
        <v>1</v>
      </c>
      <c r="P3" s="3" t="n">
        <f aca="false">O3*G3</f>
        <v>15560000</v>
      </c>
      <c r="Q3" s="3" t="n">
        <f aca="false">IF(C3="UNITES_PHYSIQUES",IF(F3&gt;0,SUMIFS(Lignes!$Q$2:$Q$135,Lignes!$B$2:$B$135,A3)/F3,0),IF(C3="JALONS_PONDERES",IF(F3&gt;0,SUMIFS(Lignes!$G$2:$G$135,Lignes!$B$2:$B$135,A3,Lignes!$R$2:$R$135,1)/F3,0),IF(C3="ZERO_CENT",IF(AND(COUNTIFS(Lignes!$B$2:$B$135,A3)&gt;0,COUNTIFS(Lignes!$B$2:$B$135,A3,Lignes!$R$2:$R$135,0)=0),1,0),S3)))</f>
        <v>1</v>
      </c>
      <c r="R3" s="3" t="n">
        <f aca="false">ROUND(MIN(1,MAX(0,Q3))*F3,0)</f>
        <v>15560000</v>
      </c>
      <c r="S3" s="3" t="n">
        <f aca="false">IF(Dates!$B$4&lt;H3,0,IF(E3&lt;=0,1,MIN(1,(Dates!$B$4-H3+1)/E3)))</f>
        <v>1</v>
      </c>
      <c r="T3" s="3" t="n">
        <f aca="false">S3*G3</f>
        <v>15560000</v>
      </c>
    </row>
    <row r="4" customFormat="false" ht="15" hidden="false" customHeight="false" outlineLevel="0" collapsed="false">
      <c r="A4" s="0" t="s">
        <v>219</v>
      </c>
      <c r="B4" s="0" t="s">
        <v>174</v>
      </c>
      <c r="C4" s="0" t="s">
        <v>447</v>
      </c>
      <c r="D4" s="2" t="n">
        <v>46105</v>
      </c>
      <c r="E4" s="0" t="n">
        <v>8</v>
      </c>
      <c r="F4" s="3" t="n">
        <f aca="false">SUMIFS(Lignes!$G$2:$G$135,Lignes!$B$2:$B$135,A4)</f>
        <v>6500000</v>
      </c>
      <c r="G4" s="3" t="n">
        <f aca="false">ROUND(F4,0)</f>
        <v>6500000</v>
      </c>
      <c r="H4" s="3" t="n">
        <f aca="false">D4-Parametres!$B$9</f>
        <v>22</v>
      </c>
      <c r="I4" s="3" t="n">
        <f aca="false">IF(C4="UNITES_PHYSIQUES",IF(F4&gt;0,SUMIFS(Lignes!$I$2:$I$135,Lignes!$B$2:$B$135,A4)/F4,0),IF(C4="JALONS_PONDERES",IF(F4&gt;0,SUMIFS(Lignes!$G$2:$G$135,Lignes!$B$2:$B$135,A4,Lignes!$J$2:$J$135,1)/F4,0),IF(C4="ZERO_CENT",IF(AND(COUNTIFS(Lignes!$B$2:$B$135,A4)&gt;0,COUNTIFS(Lignes!$B$2:$B$135,A4,Lignes!$J$2:$J$135,0)=0),1,0),K4)))</f>
        <v>1</v>
      </c>
      <c r="J4" s="3" t="n">
        <f aca="false">ROUND(MIN(1,MAX(0,I4))*F4,0)</f>
        <v>6500000</v>
      </c>
      <c r="K4" s="3" t="n">
        <f aca="false">IF(Dates!$B$2&lt;H4,0,IF(E4&lt;=0,1,MIN(1,(Dates!$B$2-H4+1)/E4)))</f>
        <v>1</v>
      </c>
      <c r="L4" s="3" t="n">
        <f aca="false">K4*G4</f>
        <v>6500000</v>
      </c>
      <c r="M4" s="3" t="n">
        <f aca="false">IF(C4="UNITES_PHYSIQUES",IF(F4&gt;0,SUMIFS(Lignes!$M$2:$M$135,Lignes!$B$2:$B$135,A4)/F4,0),IF(C4="JALONS_PONDERES",IF(F4&gt;0,SUMIFS(Lignes!$G$2:$G$135,Lignes!$B$2:$B$135,A4,Lignes!$N$2:$N$135,1)/F4,0),IF(C4="ZERO_CENT",IF(AND(COUNTIFS(Lignes!$B$2:$B$135,A4)&gt;0,COUNTIFS(Lignes!$B$2:$B$135,A4,Lignes!$N$2:$N$135,0)=0),1,0),O4)))</f>
        <v>1</v>
      </c>
      <c r="N4" s="3" t="n">
        <f aca="false">ROUND(MIN(1,MAX(0,M4))*F4,0)</f>
        <v>6500000</v>
      </c>
      <c r="O4" s="3" t="n">
        <f aca="false">IF(Dates!$B$3&lt;H4,0,IF(E4&lt;=0,1,MIN(1,(Dates!$B$3-H4+1)/E4)))</f>
        <v>1</v>
      </c>
      <c r="P4" s="3" t="n">
        <f aca="false">O4*G4</f>
        <v>6500000</v>
      </c>
      <c r="Q4" s="3" t="n">
        <f aca="false">IF(C4="UNITES_PHYSIQUES",IF(F4&gt;0,SUMIFS(Lignes!$Q$2:$Q$135,Lignes!$B$2:$B$135,A4)/F4,0),IF(C4="JALONS_PONDERES",IF(F4&gt;0,SUMIFS(Lignes!$G$2:$G$135,Lignes!$B$2:$B$135,A4,Lignes!$R$2:$R$135,1)/F4,0),IF(C4="ZERO_CENT",IF(AND(COUNTIFS(Lignes!$B$2:$B$135,A4)&gt;0,COUNTIFS(Lignes!$B$2:$B$135,A4,Lignes!$R$2:$R$135,0)=0),1,0),S4)))</f>
        <v>1</v>
      </c>
      <c r="R4" s="3" t="n">
        <f aca="false">ROUND(MIN(1,MAX(0,Q4))*F4,0)</f>
        <v>6500000</v>
      </c>
      <c r="S4" s="3" t="n">
        <f aca="false">IF(Dates!$B$4&lt;H4,0,IF(E4&lt;=0,1,MIN(1,(Dates!$B$4-H4+1)/E4)))</f>
        <v>1</v>
      </c>
      <c r="T4" s="3" t="n">
        <f aca="false">S4*G4</f>
        <v>6500000</v>
      </c>
    </row>
    <row r="5" customFormat="false" ht="15" hidden="false" customHeight="false" outlineLevel="0" collapsed="false">
      <c r="A5" s="0" t="s">
        <v>222</v>
      </c>
      <c r="B5" s="0" t="s">
        <v>174</v>
      </c>
      <c r="C5" s="0" t="s">
        <v>449</v>
      </c>
      <c r="D5" s="2" t="n">
        <v>46105</v>
      </c>
      <c r="E5" s="0" t="n">
        <v>6</v>
      </c>
      <c r="F5" s="3" t="n">
        <f aca="false">SUMIFS(Lignes!$G$2:$G$135,Lignes!$B$2:$B$135,A5)</f>
        <v>15890000</v>
      </c>
      <c r="G5" s="3" t="n">
        <f aca="false">ROUND(F5,0)</f>
        <v>15890000</v>
      </c>
      <c r="H5" s="3" t="n">
        <f aca="false">D5-Parametres!$B$9</f>
        <v>22</v>
      </c>
      <c r="I5" s="3" t="n">
        <f aca="false">IF(C5="UNITES_PHYSIQUES",IF(F5&gt;0,SUMIFS(Lignes!$I$2:$I$135,Lignes!$B$2:$B$135,A5)/F5,0),IF(C5="JALONS_PONDERES",IF(F5&gt;0,SUMIFS(Lignes!$G$2:$G$135,Lignes!$B$2:$B$135,A5,Lignes!$J$2:$J$135,1)/F5,0),IF(C5="ZERO_CENT",IF(AND(COUNTIFS(Lignes!$B$2:$B$135,A5)&gt;0,COUNTIFS(Lignes!$B$2:$B$135,A5,Lignes!$J$2:$J$135,0)=0),1,0),K5)))</f>
        <v>1</v>
      </c>
      <c r="J5" s="3" t="n">
        <f aca="false">ROUND(MIN(1,MAX(0,I5))*F5,0)</f>
        <v>15890000</v>
      </c>
      <c r="K5" s="3" t="n">
        <f aca="false">IF(Dates!$B$2&lt;H5,0,IF(E5&lt;=0,1,MIN(1,(Dates!$B$2-H5+1)/E5)))</f>
        <v>1</v>
      </c>
      <c r="L5" s="3" t="n">
        <f aca="false">K5*G5</f>
        <v>15890000</v>
      </c>
      <c r="M5" s="3" t="n">
        <f aca="false">IF(C5="UNITES_PHYSIQUES",IF(F5&gt;0,SUMIFS(Lignes!$M$2:$M$135,Lignes!$B$2:$B$135,A5)/F5,0),IF(C5="JALONS_PONDERES",IF(F5&gt;0,SUMIFS(Lignes!$G$2:$G$135,Lignes!$B$2:$B$135,A5,Lignes!$N$2:$N$135,1)/F5,0),IF(C5="ZERO_CENT",IF(AND(COUNTIFS(Lignes!$B$2:$B$135,A5)&gt;0,COUNTIFS(Lignes!$B$2:$B$135,A5,Lignes!$N$2:$N$135,0)=0),1,0),O5)))</f>
        <v>1</v>
      </c>
      <c r="N5" s="3" t="n">
        <f aca="false">ROUND(MIN(1,MAX(0,M5))*F5,0)</f>
        <v>15890000</v>
      </c>
      <c r="O5" s="3" t="n">
        <f aca="false">IF(Dates!$B$3&lt;H5,0,IF(E5&lt;=0,1,MIN(1,(Dates!$B$3-H5+1)/E5)))</f>
        <v>1</v>
      </c>
      <c r="P5" s="3" t="n">
        <f aca="false">O5*G5</f>
        <v>15890000</v>
      </c>
      <c r="Q5" s="3" t="n">
        <f aca="false">IF(C5="UNITES_PHYSIQUES",IF(F5&gt;0,SUMIFS(Lignes!$Q$2:$Q$135,Lignes!$B$2:$B$135,A5)/F5,0),IF(C5="JALONS_PONDERES",IF(F5&gt;0,SUMIFS(Lignes!$G$2:$G$135,Lignes!$B$2:$B$135,A5,Lignes!$R$2:$R$135,1)/F5,0),IF(C5="ZERO_CENT",IF(AND(COUNTIFS(Lignes!$B$2:$B$135,A5)&gt;0,COUNTIFS(Lignes!$B$2:$B$135,A5,Lignes!$R$2:$R$135,0)=0),1,0),S5)))</f>
        <v>1</v>
      </c>
      <c r="R5" s="3" t="n">
        <f aca="false">ROUND(MIN(1,MAX(0,Q5))*F5,0)</f>
        <v>15890000</v>
      </c>
      <c r="S5" s="3" t="n">
        <f aca="false">IF(Dates!$B$4&lt;H5,0,IF(E5&lt;=0,1,MIN(1,(Dates!$B$4-H5+1)/E5)))</f>
        <v>1</v>
      </c>
      <c r="T5" s="3" t="n">
        <f aca="false">S5*G5</f>
        <v>15890000</v>
      </c>
    </row>
    <row r="6" customFormat="false" ht="15" hidden="false" customHeight="false" outlineLevel="0" collapsed="false">
      <c r="A6" s="0" t="s">
        <v>226</v>
      </c>
      <c r="B6" s="0" t="s">
        <v>174</v>
      </c>
      <c r="C6" s="0" t="s">
        <v>449</v>
      </c>
      <c r="D6" s="2" t="n">
        <v>46485</v>
      </c>
      <c r="E6" s="0" t="n">
        <v>10</v>
      </c>
      <c r="F6" s="3" t="n">
        <f aca="false">SUMIFS(Lignes!$G$2:$G$135,Lignes!$B$2:$B$135,A6)</f>
        <v>9920000</v>
      </c>
      <c r="G6" s="3" t="n">
        <f aca="false">ROUND(F6,0)</f>
        <v>9920000</v>
      </c>
      <c r="H6" s="3" t="n">
        <f aca="false">D6-Parametres!$B$9</f>
        <v>402</v>
      </c>
      <c r="I6" s="3" t="n">
        <f aca="false">IF(C6="UNITES_PHYSIQUES",IF(F6&gt;0,SUMIFS(Lignes!$I$2:$I$135,Lignes!$B$2:$B$135,A6)/F6,0),IF(C6="JALONS_PONDERES",IF(F6&gt;0,SUMIFS(Lignes!$G$2:$G$135,Lignes!$B$2:$B$135,A6,Lignes!$J$2:$J$135,1)/F6,0),IF(C6="ZERO_CENT",IF(AND(COUNTIFS(Lignes!$B$2:$B$135,A6)&gt;0,COUNTIFS(Lignes!$B$2:$B$135,A6,Lignes!$J$2:$J$135,0)=0),1,0),K6)))</f>
        <v>0</v>
      </c>
      <c r="J6" s="3" t="n">
        <f aca="false">ROUND(MIN(1,MAX(0,I6))*F6,0)</f>
        <v>0</v>
      </c>
      <c r="K6" s="3" t="n">
        <f aca="false">IF(Dates!$B$2&lt;H6,0,IF(E6&lt;=0,1,MIN(1,(Dates!$B$2-H6+1)/E6)))</f>
        <v>0</v>
      </c>
      <c r="L6" s="3" t="n">
        <f aca="false">K6*G6</f>
        <v>0</v>
      </c>
      <c r="M6" s="3" t="n">
        <f aca="false">IF(C6="UNITES_PHYSIQUES",IF(F6&gt;0,SUMIFS(Lignes!$M$2:$M$135,Lignes!$B$2:$B$135,A6)/F6,0),IF(C6="JALONS_PONDERES",IF(F6&gt;0,SUMIFS(Lignes!$G$2:$G$135,Lignes!$B$2:$B$135,A6,Lignes!$N$2:$N$135,1)/F6,0),IF(C6="ZERO_CENT",IF(AND(COUNTIFS(Lignes!$B$2:$B$135,A6)&gt;0,COUNTIFS(Lignes!$B$2:$B$135,A6,Lignes!$N$2:$N$135,0)=0),1,0),O6)))</f>
        <v>0</v>
      </c>
      <c r="N6" s="3" t="n">
        <f aca="false">ROUND(MIN(1,MAX(0,M6))*F6,0)</f>
        <v>0</v>
      </c>
      <c r="O6" s="3" t="n">
        <f aca="false">IF(Dates!$B$3&lt;H6,0,IF(E6&lt;=0,1,MIN(1,(Dates!$B$3-H6+1)/E6)))</f>
        <v>0</v>
      </c>
      <c r="P6" s="3" t="n">
        <f aca="false">O6*G6</f>
        <v>0</v>
      </c>
      <c r="Q6" s="3" t="n">
        <f aca="false">IF(C6="UNITES_PHYSIQUES",IF(F6&gt;0,SUMIFS(Lignes!$Q$2:$Q$135,Lignes!$B$2:$B$135,A6)/F6,0),IF(C6="JALONS_PONDERES",IF(F6&gt;0,SUMIFS(Lignes!$G$2:$G$135,Lignes!$B$2:$B$135,A6,Lignes!$R$2:$R$135,1)/F6,0),IF(C6="ZERO_CENT",IF(AND(COUNTIFS(Lignes!$B$2:$B$135,A6)&gt;0,COUNTIFS(Lignes!$B$2:$B$135,A6,Lignes!$R$2:$R$135,0)=0),1,0),S6)))</f>
        <v>0</v>
      </c>
      <c r="R6" s="3" t="n">
        <f aca="false">ROUND(MIN(1,MAX(0,Q6))*F6,0)</f>
        <v>0</v>
      </c>
      <c r="S6" s="3" t="n">
        <f aca="false">IF(Dates!$B$4&lt;H6,0,IF(E6&lt;=0,1,MIN(1,(Dates!$B$4-H6+1)/E6)))</f>
        <v>0</v>
      </c>
      <c r="T6" s="3" t="n">
        <f aca="false">S6*G6</f>
        <v>0</v>
      </c>
    </row>
    <row r="7" customFormat="false" ht="15" hidden="false" customHeight="false" outlineLevel="0" collapsed="false">
      <c r="A7" s="0" t="s">
        <v>230</v>
      </c>
      <c r="B7" s="0" t="s">
        <v>175</v>
      </c>
      <c r="C7" s="0" t="s">
        <v>447</v>
      </c>
      <c r="D7" s="2" t="n">
        <v>46093</v>
      </c>
      <c r="E7" s="0" t="n">
        <v>8</v>
      </c>
      <c r="F7" s="3" t="n">
        <f aca="false">SUMIFS(Lignes!$G$2:$G$135,Lignes!$B$2:$B$135,A7)</f>
        <v>8256000</v>
      </c>
      <c r="G7" s="3" t="n">
        <f aca="false">ROUND(F7,0)</f>
        <v>8256000</v>
      </c>
      <c r="H7" s="3" t="n">
        <f aca="false">D7-Parametres!$B$9</f>
        <v>10</v>
      </c>
      <c r="I7" s="3" t="n">
        <f aca="false">IF(C7="UNITES_PHYSIQUES",IF(F7&gt;0,SUMIFS(Lignes!$I$2:$I$135,Lignes!$B$2:$B$135,A7)/F7,0),IF(C7="JALONS_PONDERES",IF(F7&gt;0,SUMIFS(Lignes!$G$2:$G$135,Lignes!$B$2:$B$135,A7,Lignes!$J$2:$J$135,1)/F7,0),IF(C7="ZERO_CENT",IF(AND(COUNTIFS(Lignes!$B$2:$B$135,A7)&gt;0,COUNTIFS(Lignes!$B$2:$B$135,A7,Lignes!$J$2:$J$135,0)=0),1,0),K7)))</f>
        <v>1</v>
      </c>
      <c r="J7" s="3" t="n">
        <f aca="false">ROUND(MIN(1,MAX(0,I7))*F7,0)</f>
        <v>8256000</v>
      </c>
      <c r="K7" s="3" t="n">
        <f aca="false">IF(Dates!$B$2&lt;H7,0,IF(E7&lt;=0,1,MIN(1,(Dates!$B$2-H7+1)/E7)))</f>
        <v>1</v>
      </c>
      <c r="L7" s="3" t="n">
        <f aca="false">K7*G7</f>
        <v>8256000</v>
      </c>
      <c r="M7" s="3" t="n">
        <f aca="false">IF(C7="UNITES_PHYSIQUES",IF(F7&gt;0,SUMIFS(Lignes!$M$2:$M$135,Lignes!$B$2:$B$135,A7)/F7,0),IF(C7="JALONS_PONDERES",IF(F7&gt;0,SUMIFS(Lignes!$G$2:$G$135,Lignes!$B$2:$B$135,A7,Lignes!$N$2:$N$135,1)/F7,0),IF(C7="ZERO_CENT",IF(AND(COUNTIFS(Lignes!$B$2:$B$135,A7)&gt;0,COUNTIFS(Lignes!$B$2:$B$135,A7,Lignes!$N$2:$N$135,0)=0),1,0),O7)))</f>
        <v>1</v>
      </c>
      <c r="N7" s="3" t="n">
        <f aca="false">ROUND(MIN(1,MAX(0,M7))*F7,0)</f>
        <v>8256000</v>
      </c>
      <c r="O7" s="3" t="n">
        <f aca="false">IF(Dates!$B$3&lt;H7,0,IF(E7&lt;=0,1,MIN(1,(Dates!$B$3-H7+1)/E7)))</f>
        <v>1</v>
      </c>
      <c r="P7" s="3" t="n">
        <f aca="false">O7*G7</f>
        <v>8256000</v>
      </c>
      <c r="Q7" s="3" t="n">
        <f aca="false">IF(C7="UNITES_PHYSIQUES",IF(F7&gt;0,SUMIFS(Lignes!$Q$2:$Q$135,Lignes!$B$2:$B$135,A7)/F7,0),IF(C7="JALONS_PONDERES",IF(F7&gt;0,SUMIFS(Lignes!$G$2:$G$135,Lignes!$B$2:$B$135,A7,Lignes!$R$2:$R$135,1)/F7,0),IF(C7="ZERO_CENT",IF(AND(COUNTIFS(Lignes!$B$2:$B$135,A7)&gt;0,COUNTIFS(Lignes!$B$2:$B$135,A7,Lignes!$R$2:$R$135,0)=0),1,0),S7)))</f>
        <v>1</v>
      </c>
      <c r="R7" s="3" t="n">
        <f aca="false">ROUND(MIN(1,MAX(0,Q7))*F7,0)</f>
        <v>8256000</v>
      </c>
      <c r="S7" s="3" t="n">
        <f aca="false">IF(Dates!$B$4&lt;H7,0,IF(E7&lt;=0,1,MIN(1,(Dates!$B$4-H7+1)/E7)))</f>
        <v>1</v>
      </c>
      <c r="T7" s="3" t="n">
        <f aca="false">S7*G7</f>
        <v>8256000</v>
      </c>
    </row>
    <row r="8" customFormat="false" ht="15" hidden="false" customHeight="false" outlineLevel="0" collapsed="false">
      <c r="A8" s="0" t="s">
        <v>233</v>
      </c>
      <c r="B8" s="0" t="s">
        <v>175</v>
      </c>
      <c r="C8" s="0" t="s">
        <v>447</v>
      </c>
      <c r="D8" s="2" t="n">
        <v>46101</v>
      </c>
      <c r="E8" s="0" t="n">
        <v>18</v>
      </c>
      <c r="F8" s="3" t="n">
        <f aca="false">SUMIFS(Lignes!$G$2:$G$135,Lignes!$B$2:$B$135,A8)</f>
        <v>31620000</v>
      </c>
      <c r="G8" s="3" t="n">
        <f aca="false">ROUND(F8,0)</f>
        <v>31620000</v>
      </c>
      <c r="H8" s="3" t="n">
        <f aca="false">D8-Parametres!$B$9</f>
        <v>18</v>
      </c>
      <c r="I8" s="3" t="n">
        <f aca="false">IF(C8="UNITES_PHYSIQUES",IF(F8&gt;0,SUMIFS(Lignes!$I$2:$I$135,Lignes!$B$2:$B$135,A8)/F8,0),IF(C8="JALONS_PONDERES",IF(F8&gt;0,SUMIFS(Lignes!$G$2:$G$135,Lignes!$B$2:$B$135,A8,Lignes!$J$2:$J$135,1)/F8,0),IF(C8="ZERO_CENT",IF(AND(COUNTIFS(Lignes!$B$2:$B$135,A8)&gt;0,COUNTIFS(Lignes!$B$2:$B$135,A8,Lignes!$J$2:$J$135,0)=0),1,0),K8)))</f>
        <v>1</v>
      </c>
      <c r="J8" s="3" t="n">
        <f aca="false">ROUND(MIN(1,MAX(0,I8))*F8,0)</f>
        <v>31620000</v>
      </c>
      <c r="K8" s="3" t="n">
        <f aca="false">IF(Dates!$B$2&lt;H8,0,IF(E8&lt;=0,1,MIN(1,(Dates!$B$2-H8+1)/E8)))</f>
        <v>1</v>
      </c>
      <c r="L8" s="3" t="n">
        <f aca="false">K8*G8</f>
        <v>31620000</v>
      </c>
      <c r="M8" s="3" t="n">
        <f aca="false">IF(C8="UNITES_PHYSIQUES",IF(F8&gt;0,SUMIFS(Lignes!$M$2:$M$135,Lignes!$B$2:$B$135,A8)/F8,0),IF(C8="JALONS_PONDERES",IF(F8&gt;0,SUMIFS(Lignes!$G$2:$G$135,Lignes!$B$2:$B$135,A8,Lignes!$N$2:$N$135,1)/F8,0),IF(C8="ZERO_CENT",IF(AND(COUNTIFS(Lignes!$B$2:$B$135,A8)&gt;0,COUNTIFS(Lignes!$B$2:$B$135,A8,Lignes!$N$2:$N$135,0)=0),1,0),O8)))</f>
        <v>1</v>
      </c>
      <c r="N8" s="3" t="n">
        <f aca="false">ROUND(MIN(1,MAX(0,M8))*F8,0)</f>
        <v>31620000</v>
      </c>
      <c r="O8" s="3" t="n">
        <f aca="false">IF(Dates!$B$3&lt;H8,0,IF(E8&lt;=0,1,MIN(1,(Dates!$B$3-H8+1)/E8)))</f>
        <v>1</v>
      </c>
      <c r="P8" s="3" t="n">
        <f aca="false">O8*G8</f>
        <v>31620000</v>
      </c>
      <c r="Q8" s="3" t="n">
        <f aca="false">IF(C8="UNITES_PHYSIQUES",IF(F8&gt;0,SUMIFS(Lignes!$Q$2:$Q$135,Lignes!$B$2:$B$135,A8)/F8,0),IF(C8="JALONS_PONDERES",IF(F8&gt;0,SUMIFS(Lignes!$G$2:$G$135,Lignes!$B$2:$B$135,A8,Lignes!$R$2:$R$135,1)/F8,0),IF(C8="ZERO_CENT",IF(AND(COUNTIFS(Lignes!$B$2:$B$135,A8)&gt;0,COUNTIFS(Lignes!$B$2:$B$135,A8,Lignes!$R$2:$R$135,0)=0),1,0),S8)))</f>
        <v>1</v>
      </c>
      <c r="R8" s="3" t="n">
        <f aca="false">ROUND(MIN(1,MAX(0,Q8))*F8,0)</f>
        <v>31620000</v>
      </c>
      <c r="S8" s="3" t="n">
        <f aca="false">IF(Dates!$B$4&lt;H8,0,IF(E8&lt;=0,1,MIN(1,(Dates!$B$4-H8+1)/E8)))</f>
        <v>1</v>
      </c>
      <c r="T8" s="3" t="n">
        <f aca="false">S8*G8</f>
        <v>31620000</v>
      </c>
    </row>
    <row r="9" customFormat="false" ht="15" hidden="false" customHeight="false" outlineLevel="0" collapsed="false">
      <c r="A9" s="0" t="s">
        <v>236</v>
      </c>
      <c r="B9" s="0" t="s">
        <v>175</v>
      </c>
      <c r="C9" s="0" t="s">
        <v>447</v>
      </c>
      <c r="D9" s="2" t="n">
        <v>46119</v>
      </c>
      <c r="E9" s="0" t="n">
        <v>14</v>
      </c>
      <c r="F9" s="3" t="n">
        <f aca="false">SUMIFS(Lignes!$G$2:$G$135,Lignes!$B$2:$B$135,A9)</f>
        <v>4607400</v>
      </c>
      <c r="G9" s="3" t="n">
        <f aca="false">ROUND(F9,0)</f>
        <v>4607400</v>
      </c>
      <c r="H9" s="3" t="n">
        <f aca="false">D9-Parametres!$B$9</f>
        <v>36</v>
      </c>
      <c r="I9" s="3" t="n">
        <f aca="false">IF(C9="UNITES_PHYSIQUES",IF(F9&gt;0,SUMIFS(Lignes!$I$2:$I$135,Lignes!$B$2:$B$135,A9)/F9,0),IF(C9="JALONS_PONDERES",IF(F9&gt;0,SUMIFS(Lignes!$G$2:$G$135,Lignes!$B$2:$B$135,A9,Lignes!$J$2:$J$135,1)/F9,0),IF(C9="ZERO_CENT",IF(AND(COUNTIFS(Lignes!$B$2:$B$135,A9)&gt;0,COUNTIFS(Lignes!$B$2:$B$135,A9,Lignes!$J$2:$J$135,0)=0),1,0),K9)))</f>
        <v>1</v>
      </c>
      <c r="J9" s="3" t="n">
        <f aca="false">ROUND(MIN(1,MAX(0,I9))*F9,0)</f>
        <v>4607400</v>
      </c>
      <c r="K9" s="3" t="n">
        <f aca="false">IF(Dates!$B$2&lt;H9,0,IF(E9&lt;=0,1,MIN(1,(Dates!$B$2-H9+1)/E9)))</f>
        <v>1</v>
      </c>
      <c r="L9" s="3" t="n">
        <f aca="false">K9*G9</f>
        <v>4607400</v>
      </c>
      <c r="M9" s="3" t="n">
        <f aca="false">IF(C9="UNITES_PHYSIQUES",IF(F9&gt;0,SUMIFS(Lignes!$M$2:$M$135,Lignes!$B$2:$B$135,A9)/F9,0),IF(C9="JALONS_PONDERES",IF(F9&gt;0,SUMIFS(Lignes!$G$2:$G$135,Lignes!$B$2:$B$135,A9,Lignes!$N$2:$N$135,1)/F9,0),IF(C9="ZERO_CENT",IF(AND(COUNTIFS(Lignes!$B$2:$B$135,A9)&gt;0,COUNTIFS(Lignes!$B$2:$B$135,A9,Lignes!$N$2:$N$135,0)=0),1,0),O9)))</f>
        <v>1</v>
      </c>
      <c r="N9" s="3" t="n">
        <f aca="false">ROUND(MIN(1,MAX(0,M9))*F9,0)</f>
        <v>4607400</v>
      </c>
      <c r="O9" s="3" t="n">
        <f aca="false">IF(Dates!$B$3&lt;H9,0,IF(E9&lt;=0,1,MIN(1,(Dates!$B$3-H9+1)/E9)))</f>
        <v>1</v>
      </c>
      <c r="P9" s="3" t="n">
        <f aca="false">O9*G9</f>
        <v>4607400</v>
      </c>
      <c r="Q9" s="3" t="n">
        <f aca="false">IF(C9="UNITES_PHYSIQUES",IF(F9&gt;0,SUMIFS(Lignes!$Q$2:$Q$135,Lignes!$B$2:$B$135,A9)/F9,0),IF(C9="JALONS_PONDERES",IF(F9&gt;0,SUMIFS(Lignes!$G$2:$G$135,Lignes!$B$2:$B$135,A9,Lignes!$R$2:$R$135,1)/F9,0),IF(C9="ZERO_CENT",IF(AND(COUNTIFS(Lignes!$B$2:$B$135,A9)&gt;0,COUNTIFS(Lignes!$B$2:$B$135,A9,Lignes!$R$2:$R$135,0)=0),1,0),S9)))</f>
        <v>1</v>
      </c>
      <c r="R9" s="3" t="n">
        <f aca="false">ROUND(MIN(1,MAX(0,Q9))*F9,0)</f>
        <v>4607400</v>
      </c>
      <c r="S9" s="3" t="n">
        <f aca="false">IF(Dates!$B$4&lt;H9,0,IF(E9&lt;=0,1,MIN(1,(Dates!$B$4-H9+1)/E9)))</f>
        <v>1</v>
      </c>
      <c r="T9" s="3" t="n">
        <f aca="false">S9*G9</f>
        <v>4607400</v>
      </c>
    </row>
    <row r="10" customFormat="false" ht="15" hidden="false" customHeight="false" outlineLevel="0" collapsed="false">
      <c r="A10" s="0" t="s">
        <v>239</v>
      </c>
      <c r="B10" s="0" t="s">
        <v>175</v>
      </c>
      <c r="C10" s="0" t="s">
        <v>447</v>
      </c>
      <c r="D10" s="2" t="n">
        <v>46181</v>
      </c>
      <c r="E10" s="0" t="n">
        <v>12</v>
      </c>
      <c r="F10" s="3" t="n">
        <f aca="false">SUMIFS(Lignes!$G$2:$G$135,Lignes!$B$2:$B$135,A10)</f>
        <v>11580000</v>
      </c>
      <c r="G10" s="3" t="n">
        <f aca="false">ROUND(F10,0)</f>
        <v>11580000</v>
      </c>
      <c r="H10" s="3" t="n">
        <f aca="false">D10-Parametres!$B$9</f>
        <v>98</v>
      </c>
      <c r="I10" s="3" t="n">
        <f aca="false">IF(C10="UNITES_PHYSIQUES",IF(F10&gt;0,SUMIFS(Lignes!$I$2:$I$135,Lignes!$B$2:$B$135,A10)/F10,0),IF(C10="JALONS_PONDERES",IF(F10&gt;0,SUMIFS(Lignes!$G$2:$G$135,Lignes!$B$2:$B$135,A10,Lignes!$J$2:$J$135,1)/F10,0),IF(C10="ZERO_CENT",IF(AND(COUNTIFS(Lignes!$B$2:$B$135,A10)&gt;0,COUNTIFS(Lignes!$B$2:$B$135,A10,Lignes!$J$2:$J$135,0)=0),1,0),K10)))</f>
        <v>0</v>
      </c>
      <c r="J10" s="3" t="n">
        <f aca="false">ROUND(MIN(1,MAX(0,I10))*F10,0)</f>
        <v>0</v>
      </c>
      <c r="K10" s="3" t="n">
        <f aca="false">IF(Dates!$B$2&lt;H10,0,IF(E10&lt;=0,1,MIN(1,(Dates!$B$2-H10+1)/E10)))</f>
        <v>0</v>
      </c>
      <c r="L10" s="3" t="n">
        <f aca="false">K10*G10</f>
        <v>0</v>
      </c>
      <c r="M10" s="3" t="n">
        <f aca="false">IF(C10="UNITES_PHYSIQUES",IF(F10&gt;0,SUMIFS(Lignes!$M$2:$M$135,Lignes!$B$2:$B$135,A10)/F10,0),IF(C10="JALONS_PONDERES",IF(F10&gt;0,SUMIFS(Lignes!$G$2:$G$135,Lignes!$B$2:$B$135,A10,Lignes!$N$2:$N$135,1)/F10,0),IF(C10="ZERO_CENT",IF(AND(COUNTIFS(Lignes!$B$2:$B$135,A10)&gt;0,COUNTIFS(Lignes!$B$2:$B$135,A10,Lignes!$N$2:$N$135,0)=0),1,0),O10)))</f>
        <v>1</v>
      </c>
      <c r="N10" s="3" t="n">
        <f aca="false">ROUND(MIN(1,MAX(0,M10))*F10,0)</f>
        <v>11580000</v>
      </c>
      <c r="O10" s="3" t="n">
        <f aca="false">IF(Dates!$B$3&lt;H10,0,IF(E10&lt;=0,1,MIN(1,(Dates!$B$3-H10+1)/E10)))</f>
        <v>1</v>
      </c>
      <c r="P10" s="3" t="n">
        <f aca="false">O10*G10</f>
        <v>11580000</v>
      </c>
      <c r="Q10" s="3" t="n">
        <f aca="false">IF(C10="UNITES_PHYSIQUES",IF(F10&gt;0,SUMIFS(Lignes!$Q$2:$Q$135,Lignes!$B$2:$B$135,A10)/F10,0),IF(C10="JALONS_PONDERES",IF(F10&gt;0,SUMIFS(Lignes!$G$2:$G$135,Lignes!$B$2:$B$135,A10,Lignes!$R$2:$R$135,1)/F10,0),IF(C10="ZERO_CENT",IF(AND(COUNTIFS(Lignes!$B$2:$B$135,A10)&gt;0,COUNTIFS(Lignes!$B$2:$B$135,A10,Lignes!$R$2:$R$135,0)=0),1,0),S10)))</f>
        <v>1</v>
      </c>
      <c r="R10" s="3" t="n">
        <f aca="false">ROUND(MIN(1,MAX(0,Q10))*F10,0)</f>
        <v>11580000</v>
      </c>
      <c r="S10" s="3" t="n">
        <f aca="false">IF(Dates!$B$4&lt;H10,0,IF(E10&lt;=0,1,MIN(1,(Dates!$B$4-H10+1)/E10)))</f>
        <v>1</v>
      </c>
      <c r="T10" s="3" t="n">
        <f aca="false">S10*G10</f>
        <v>11580000</v>
      </c>
    </row>
    <row r="11" customFormat="false" ht="15" hidden="false" customHeight="false" outlineLevel="0" collapsed="false">
      <c r="A11" s="0" t="s">
        <v>242</v>
      </c>
      <c r="B11" s="0" t="s">
        <v>175</v>
      </c>
      <c r="C11" s="0" t="s">
        <v>447</v>
      </c>
      <c r="D11" s="2" t="n">
        <v>46193</v>
      </c>
      <c r="E11" s="0" t="n">
        <v>15</v>
      </c>
      <c r="F11" s="3" t="n">
        <f aca="false">SUMIFS(Lignes!$G$2:$G$135,Lignes!$B$2:$B$135,A11)</f>
        <v>13083000</v>
      </c>
      <c r="G11" s="3" t="n">
        <f aca="false">ROUND(F11,0)</f>
        <v>13083000</v>
      </c>
      <c r="H11" s="3" t="n">
        <f aca="false">D11-Parametres!$B$9</f>
        <v>110</v>
      </c>
      <c r="I11" s="3" t="n">
        <f aca="false">IF(C11="UNITES_PHYSIQUES",IF(F11&gt;0,SUMIFS(Lignes!$I$2:$I$135,Lignes!$B$2:$B$135,A11)/F11,0),IF(C11="JALONS_PONDERES",IF(F11&gt;0,SUMIFS(Lignes!$G$2:$G$135,Lignes!$B$2:$B$135,A11,Lignes!$J$2:$J$135,1)/F11,0),IF(C11="ZERO_CENT",IF(AND(COUNTIFS(Lignes!$B$2:$B$135,A11)&gt;0,COUNTIFS(Lignes!$B$2:$B$135,A11,Lignes!$J$2:$J$135,0)=0),1,0),K11)))</f>
        <v>0</v>
      </c>
      <c r="J11" s="3" t="n">
        <f aca="false">ROUND(MIN(1,MAX(0,I11))*F11,0)</f>
        <v>0</v>
      </c>
      <c r="K11" s="3" t="n">
        <f aca="false">IF(Dates!$B$2&lt;H11,0,IF(E11&lt;=0,1,MIN(1,(Dates!$B$2-H11+1)/E11)))</f>
        <v>0</v>
      </c>
      <c r="L11" s="3" t="n">
        <f aca="false">K11*G11</f>
        <v>0</v>
      </c>
      <c r="M11" s="3" t="n">
        <f aca="false">IF(C11="UNITES_PHYSIQUES",IF(F11&gt;0,SUMIFS(Lignes!$M$2:$M$135,Lignes!$B$2:$B$135,A11)/F11,0),IF(C11="JALONS_PONDERES",IF(F11&gt;0,SUMIFS(Lignes!$G$2:$G$135,Lignes!$B$2:$B$135,A11,Lignes!$N$2:$N$135,1)/F11,0),IF(C11="ZERO_CENT",IF(AND(COUNTIFS(Lignes!$B$2:$B$135,A11)&gt;0,COUNTIFS(Lignes!$B$2:$B$135,A11,Lignes!$N$2:$N$135,0)=0),1,0),O11)))</f>
        <v>1</v>
      </c>
      <c r="N11" s="3" t="n">
        <f aca="false">ROUND(MIN(1,MAX(0,M11))*F11,0)</f>
        <v>13083000</v>
      </c>
      <c r="O11" s="3" t="n">
        <f aca="false">IF(Dates!$B$3&lt;H11,0,IF(E11&lt;=0,1,MIN(1,(Dates!$B$3-H11+1)/E11)))</f>
        <v>1</v>
      </c>
      <c r="P11" s="3" t="n">
        <f aca="false">O11*G11</f>
        <v>13083000</v>
      </c>
      <c r="Q11" s="3" t="n">
        <f aca="false">IF(C11="UNITES_PHYSIQUES",IF(F11&gt;0,SUMIFS(Lignes!$Q$2:$Q$135,Lignes!$B$2:$B$135,A11)/F11,0),IF(C11="JALONS_PONDERES",IF(F11&gt;0,SUMIFS(Lignes!$G$2:$G$135,Lignes!$B$2:$B$135,A11,Lignes!$R$2:$R$135,1)/F11,0),IF(C11="ZERO_CENT",IF(AND(COUNTIFS(Lignes!$B$2:$B$135,A11)&gt;0,COUNTIFS(Lignes!$B$2:$B$135,A11,Lignes!$R$2:$R$135,0)=0),1,0),S11)))</f>
        <v>1</v>
      </c>
      <c r="R11" s="3" t="n">
        <f aca="false">ROUND(MIN(1,MAX(0,Q11))*F11,0)</f>
        <v>13083000</v>
      </c>
      <c r="S11" s="3" t="n">
        <f aca="false">IF(Dates!$B$4&lt;H11,0,IF(E11&lt;=0,1,MIN(1,(Dates!$B$4-H11+1)/E11)))</f>
        <v>1</v>
      </c>
      <c r="T11" s="3" t="n">
        <f aca="false">S11*G11</f>
        <v>13083000</v>
      </c>
    </row>
    <row r="12" customFormat="false" ht="15" hidden="false" customHeight="false" outlineLevel="0" collapsed="false">
      <c r="A12" s="0" t="s">
        <v>246</v>
      </c>
      <c r="B12" s="0" t="s">
        <v>175</v>
      </c>
      <c r="C12" s="0" t="s">
        <v>447</v>
      </c>
      <c r="D12" s="2" t="n">
        <v>46208</v>
      </c>
      <c r="E12" s="0" t="n">
        <v>12</v>
      </c>
      <c r="F12" s="3" t="n">
        <f aca="false">SUMIFS(Lignes!$G$2:$G$135,Lignes!$B$2:$B$135,A12)</f>
        <v>11124000</v>
      </c>
      <c r="G12" s="3" t="n">
        <f aca="false">ROUND(F12,0)</f>
        <v>11124000</v>
      </c>
      <c r="H12" s="3" t="n">
        <f aca="false">D12-Parametres!$B$9</f>
        <v>125</v>
      </c>
      <c r="I12" s="3" t="n">
        <f aca="false">IF(C12="UNITES_PHYSIQUES",IF(F12&gt;0,SUMIFS(Lignes!$I$2:$I$135,Lignes!$B$2:$B$135,A12)/F12,0),IF(C12="JALONS_PONDERES",IF(F12&gt;0,SUMIFS(Lignes!$G$2:$G$135,Lignes!$B$2:$B$135,A12,Lignes!$J$2:$J$135,1)/F12,0),IF(C12="ZERO_CENT",IF(AND(COUNTIFS(Lignes!$B$2:$B$135,A12)&gt;0,COUNTIFS(Lignes!$B$2:$B$135,A12,Lignes!$J$2:$J$135,0)=0),1,0),K12)))</f>
        <v>0</v>
      </c>
      <c r="J12" s="3" t="n">
        <f aca="false">ROUND(MIN(1,MAX(0,I12))*F12,0)</f>
        <v>0</v>
      </c>
      <c r="K12" s="3" t="n">
        <f aca="false">IF(Dates!$B$2&lt;H12,0,IF(E12&lt;=0,1,MIN(1,(Dates!$B$2-H12+1)/E12)))</f>
        <v>0</v>
      </c>
      <c r="L12" s="3" t="n">
        <f aca="false">K12*G12</f>
        <v>0</v>
      </c>
      <c r="M12" s="3" t="n">
        <f aca="false">IF(C12="UNITES_PHYSIQUES",IF(F12&gt;0,SUMIFS(Lignes!$M$2:$M$135,Lignes!$B$2:$B$135,A12)/F12,0),IF(C12="JALONS_PONDERES",IF(F12&gt;0,SUMIFS(Lignes!$G$2:$G$135,Lignes!$B$2:$B$135,A12,Lignes!$N$2:$N$135,1)/F12,0),IF(C12="ZERO_CENT",IF(AND(COUNTIFS(Lignes!$B$2:$B$135,A12)&gt;0,COUNTIFS(Lignes!$B$2:$B$135,A12,Lignes!$N$2:$N$135,0)=0),1,0),O12)))</f>
        <v>0.9305</v>
      </c>
      <c r="N12" s="3" t="n">
        <f aca="false">ROUND(MIN(1,MAX(0,M12))*F12,0)</f>
        <v>10350882</v>
      </c>
      <c r="O12" s="3" t="n">
        <f aca="false">IF(Dates!$B$3&lt;H12,0,IF(E12&lt;=0,1,MIN(1,(Dates!$B$3-H12+1)/E12)))</f>
        <v>1</v>
      </c>
      <c r="P12" s="3" t="n">
        <f aca="false">O12*G12</f>
        <v>11124000</v>
      </c>
      <c r="Q12" s="3" t="n">
        <f aca="false">IF(C12="UNITES_PHYSIQUES",IF(F12&gt;0,SUMIFS(Lignes!$Q$2:$Q$135,Lignes!$B$2:$B$135,A12)/F12,0),IF(C12="JALONS_PONDERES",IF(F12&gt;0,SUMIFS(Lignes!$G$2:$G$135,Lignes!$B$2:$B$135,A12,Lignes!$R$2:$R$135,1)/F12,0),IF(C12="ZERO_CENT",IF(AND(COUNTIFS(Lignes!$B$2:$B$135,A12)&gt;0,COUNTIFS(Lignes!$B$2:$B$135,A12,Lignes!$R$2:$R$135,0)=0),1,0),S12)))</f>
        <v>1</v>
      </c>
      <c r="R12" s="3" t="n">
        <f aca="false">ROUND(MIN(1,MAX(0,Q12))*F12,0)</f>
        <v>11124000</v>
      </c>
      <c r="S12" s="3" t="n">
        <f aca="false">IF(Dates!$B$4&lt;H12,0,IF(E12&lt;=0,1,MIN(1,(Dates!$B$4-H12+1)/E12)))</f>
        <v>1</v>
      </c>
      <c r="T12" s="3" t="n">
        <f aca="false">S12*G12</f>
        <v>11124000</v>
      </c>
    </row>
    <row r="13" customFormat="false" ht="15" hidden="false" customHeight="false" outlineLevel="0" collapsed="false">
      <c r="A13" s="0" t="s">
        <v>249</v>
      </c>
      <c r="B13" s="0" t="s">
        <v>175</v>
      </c>
      <c r="C13" s="0" t="s">
        <v>447</v>
      </c>
      <c r="D13" s="2" t="n">
        <v>46203</v>
      </c>
      <c r="E13" s="0" t="n">
        <v>10</v>
      </c>
      <c r="F13" s="3" t="n">
        <f aca="false">SUMIFS(Lignes!$G$2:$G$135,Lignes!$B$2:$B$135,A13)</f>
        <v>3936000</v>
      </c>
      <c r="G13" s="3" t="n">
        <f aca="false">ROUND(F13,0)</f>
        <v>3936000</v>
      </c>
      <c r="H13" s="3" t="n">
        <f aca="false">D13-Parametres!$B$9</f>
        <v>120</v>
      </c>
      <c r="I13" s="3" t="n">
        <f aca="false">IF(C13="UNITES_PHYSIQUES",IF(F13&gt;0,SUMIFS(Lignes!$I$2:$I$135,Lignes!$B$2:$B$135,A13)/F13,0),IF(C13="JALONS_PONDERES",IF(F13&gt;0,SUMIFS(Lignes!$G$2:$G$135,Lignes!$B$2:$B$135,A13,Lignes!$J$2:$J$135,1)/F13,0),IF(C13="ZERO_CENT",IF(AND(COUNTIFS(Lignes!$B$2:$B$135,A13)&gt;0,COUNTIFS(Lignes!$B$2:$B$135,A13,Lignes!$J$2:$J$135,0)=0),1,0),K13)))</f>
        <v>0</v>
      </c>
      <c r="J13" s="3" t="n">
        <f aca="false">ROUND(MIN(1,MAX(0,I13))*F13,0)</f>
        <v>0</v>
      </c>
      <c r="K13" s="3" t="n">
        <f aca="false">IF(Dates!$B$2&lt;H13,0,IF(E13&lt;=0,1,MIN(1,(Dates!$B$2-H13+1)/E13)))</f>
        <v>0</v>
      </c>
      <c r="L13" s="3" t="n">
        <f aca="false">K13*G13</f>
        <v>0</v>
      </c>
      <c r="M13" s="3" t="n">
        <f aca="false">IF(C13="UNITES_PHYSIQUES",IF(F13&gt;0,SUMIFS(Lignes!$M$2:$M$135,Lignes!$B$2:$B$135,A13)/F13,0),IF(C13="JALONS_PONDERES",IF(F13&gt;0,SUMIFS(Lignes!$G$2:$G$135,Lignes!$B$2:$B$135,A13,Lignes!$N$2:$N$135,1)/F13,0),IF(C13="ZERO_CENT",IF(AND(COUNTIFS(Lignes!$B$2:$B$135,A13)&gt;0,COUNTIFS(Lignes!$B$2:$B$135,A13,Lignes!$N$2:$N$135,0)=0),1,0),O13)))</f>
        <v>1</v>
      </c>
      <c r="N13" s="3" t="n">
        <f aca="false">ROUND(MIN(1,MAX(0,M13))*F13,0)</f>
        <v>3936000</v>
      </c>
      <c r="O13" s="3" t="n">
        <f aca="false">IF(Dates!$B$3&lt;H13,0,IF(E13&lt;=0,1,MIN(1,(Dates!$B$3-H13+1)/E13)))</f>
        <v>1</v>
      </c>
      <c r="P13" s="3" t="n">
        <f aca="false">O13*G13</f>
        <v>3936000</v>
      </c>
      <c r="Q13" s="3" t="n">
        <f aca="false">IF(C13="UNITES_PHYSIQUES",IF(F13&gt;0,SUMIFS(Lignes!$Q$2:$Q$135,Lignes!$B$2:$B$135,A13)/F13,0),IF(C13="JALONS_PONDERES",IF(F13&gt;0,SUMIFS(Lignes!$G$2:$G$135,Lignes!$B$2:$B$135,A13,Lignes!$R$2:$R$135,1)/F13,0),IF(C13="ZERO_CENT",IF(AND(COUNTIFS(Lignes!$B$2:$B$135,A13)&gt;0,COUNTIFS(Lignes!$B$2:$B$135,A13,Lignes!$R$2:$R$135,0)=0),1,0),S13)))</f>
        <v>1</v>
      </c>
      <c r="R13" s="3" t="n">
        <f aca="false">ROUND(MIN(1,MAX(0,Q13))*F13,0)</f>
        <v>3936000</v>
      </c>
      <c r="S13" s="3" t="n">
        <f aca="false">IF(Dates!$B$4&lt;H13,0,IF(E13&lt;=0,1,MIN(1,(Dates!$B$4-H13+1)/E13)))</f>
        <v>1</v>
      </c>
      <c r="T13" s="3" t="n">
        <f aca="false">S13*G13</f>
        <v>3936000</v>
      </c>
    </row>
    <row r="14" customFormat="false" ht="15" hidden="false" customHeight="false" outlineLevel="0" collapsed="false">
      <c r="A14" s="0" t="s">
        <v>252</v>
      </c>
      <c r="B14" s="0" t="s">
        <v>175</v>
      </c>
      <c r="C14" s="0" t="s">
        <v>447</v>
      </c>
      <c r="D14" s="2" t="n">
        <v>46220</v>
      </c>
      <c r="E14" s="0" t="n">
        <v>10</v>
      </c>
      <c r="F14" s="3" t="n">
        <f aca="false">SUMIFS(Lignes!$G$2:$G$135,Lignes!$B$2:$B$135,A14)</f>
        <v>2754000</v>
      </c>
      <c r="G14" s="3" t="n">
        <f aca="false">ROUND(F14,0)</f>
        <v>2754000</v>
      </c>
      <c r="H14" s="3" t="n">
        <f aca="false">D14-Parametres!$B$9</f>
        <v>137</v>
      </c>
      <c r="I14" s="3" t="n">
        <f aca="false">IF(C14="UNITES_PHYSIQUES",IF(F14&gt;0,SUMIFS(Lignes!$I$2:$I$135,Lignes!$B$2:$B$135,A14)/F14,0),IF(C14="JALONS_PONDERES",IF(F14&gt;0,SUMIFS(Lignes!$G$2:$G$135,Lignes!$B$2:$B$135,A14,Lignes!$J$2:$J$135,1)/F14,0),IF(C14="ZERO_CENT",IF(AND(COUNTIFS(Lignes!$B$2:$B$135,A14)&gt;0,COUNTIFS(Lignes!$B$2:$B$135,A14,Lignes!$J$2:$J$135,0)=0),1,0),K14)))</f>
        <v>0</v>
      </c>
      <c r="J14" s="3" t="n">
        <f aca="false">ROUND(MIN(1,MAX(0,I14))*F14,0)</f>
        <v>0</v>
      </c>
      <c r="K14" s="3" t="n">
        <f aca="false">IF(Dates!$B$2&lt;H14,0,IF(E14&lt;=0,1,MIN(1,(Dates!$B$2-H14+1)/E14)))</f>
        <v>0</v>
      </c>
      <c r="L14" s="3" t="n">
        <f aca="false">K14*G14</f>
        <v>0</v>
      </c>
      <c r="M14" s="3" t="n">
        <f aca="false">IF(C14="UNITES_PHYSIQUES",IF(F14&gt;0,SUMIFS(Lignes!$M$2:$M$135,Lignes!$B$2:$B$135,A14)/F14,0),IF(C14="JALONS_PONDERES",IF(F14&gt;0,SUMIFS(Lignes!$G$2:$G$135,Lignes!$B$2:$B$135,A14,Lignes!$N$2:$N$135,1)/F14,0),IF(C14="ZERO_CENT",IF(AND(COUNTIFS(Lignes!$B$2:$B$135,A14)&gt;0,COUNTIFS(Lignes!$B$2:$B$135,A14,Lignes!$N$2:$N$135,0)=0),1,0),O14)))</f>
        <v>0</v>
      </c>
      <c r="N14" s="3" t="n">
        <f aca="false">ROUND(MIN(1,MAX(0,M14))*F14,0)</f>
        <v>0</v>
      </c>
      <c r="O14" s="3" t="n">
        <f aca="false">IF(Dates!$B$3&lt;H14,0,IF(E14&lt;=0,1,MIN(1,(Dates!$B$3-H14+1)/E14)))</f>
        <v>1</v>
      </c>
      <c r="P14" s="3" t="n">
        <f aca="false">O14*G14</f>
        <v>2754000</v>
      </c>
      <c r="Q14" s="3" t="n">
        <f aca="false">IF(C14="UNITES_PHYSIQUES",IF(F14&gt;0,SUMIFS(Lignes!$Q$2:$Q$135,Lignes!$B$2:$B$135,A14)/F14,0),IF(C14="JALONS_PONDERES",IF(F14&gt;0,SUMIFS(Lignes!$G$2:$G$135,Lignes!$B$2:$B$135,A14,Lignes!$R$2:$R$135,1)/F14,0),IF(C14="ZERO_CENT",IF(AND(COUNTIFS(Lignes!$B$2:$B$135,A14)&gt;0,COUNTIFS(Lignes!$B$2:$B$135,A14,Lignes!$R$2:$R$135,0)=0),1,0),S14)))</f>
        <v>1</v>
      </c>
      <c r="R14" s="3" t="n">
        <f aca="false">ROUND(MIN(1,MAX(0,Q14))*F14,0)</f>
        <v>2754000</v>
      </c>
      <c r="S14" s="3" t="n">
        <f aca="false">IF(Dates!$B$4&lt;H14,0,IF(E14&lt;=0,1,MIN(1,(Dates!$B$4-H14+1)/E14)))</f>
        <v>1</v>
      </c>
      <c r="T14" s="3" t="n">
        <f aca="false">S14*G14</f>
        <v>2754000</v>
      </c>
    </row>
    <row r="15" customFormat="false" ht="15" hidden="false" customHeight="false" outlineLevel="0" collapsed="false">
      <c r="A15" s="0" t="s">
        <v>255</v>
      </c>
      <c r="B15" s="0" t="s">
        <v>176</v>
      </c>
      <c r="C15" s="0" t="s">
        <v>447</v>
      </c>
      <c r="D15" s="2" t="n">
        <v>46133</v>
      </c>
      <c r="E15" s="0" t="n">
        <v>6</v>
      </c>
      <c r="F15" s="3" t="n">
        <f aca="false">SUMIFS(Lignes!$G$2:$G$135,Lignes!$B$2:$B$135,A15)</f>
        <v>4350000</v>
      </c>
      <c r="G15" s="3" t="n">
        <f aca="false">ROUND(F15,0)</f>
        <v>4350000</v>
      </c>
      <c r="H15" s="3" t="n">
        <f aca="false">D15-Parametres!$B$9</f>
        <v>50</v>
      </c>
      <c r="I15" s="3" t="n">
        <f aca="false">IF(C15="UNITES_PHYSIQUES",IF(F15&gt;0,SUMIFS(Lignes!$I$2:$I$135,Lignes!$B$2:$B$135,A15)/F15,0),IF(C15="JALONS_PONDERES",IF(F15&gt;0,SUMIFS(Lignes!$G$2:$G$135,Lignes!$B$2:$B$135,A15,Lignes!$J$2:$J$135,1)/F15,0),IF(C15="ZERO_CENT",IF(AND(COUNTIFS(Lignes!$B$2:$B$135,A15)&gt;0,COUNTIFS(Lignes!$B$2:$B$135,A15,Lignes!$J$2:$J$135,0)=0),1,0),K15)))</f>
        <v>1</v>
      </c>
      <c r="J15" s="3" t="n">
        <f aca="false">ROUND(MIN(1,MAX(0,I15))*F15,0)</f>
        <v>4350000</v>
      </c>
      <c r="K15" s="3" t="n">
        <f aca="false">IF(Dates!$B$2&lt;H15,0,IF(E15&lt;=0,1,MIN(1,(Dates!$B$2-H15+1)/E15)))</f>
        <v>1</v>
      </c>
      <c r="L15" s="3" t="n">
        <f aca="false">K15*G15</f>
        <v>4350000</v>
      </c>
      <c r="M15" s="3" t="n">
        <f aca="false">IF(C15="UNITES_PHYSIQUES",IF(F15&gt;0,SUMIFS(Lignes!$M$2:$M$135,Lignes!$B$2:$B$135,A15)/F15,0),IF(C15="JALONS_PONDERES",IF(F15&gt;0,SUMIFS(Lignes!$G$2:$G$135,Lignes!$B$2:$B$135,A15,Lignes!$N$2:$N$135,1)/F15,0),IF(C15="ZERO_CENT",IF(AND(COUNTIFS(Lignes!$B$2:$B$135,A15)&gt;0,COUNTIFS(Lignes!$B$2:$B$135,A15,Lignes!$N$2:$N$135,0)=0),1,0),O15)))</f>
        <v>1</v>
      </c>
      <c r="N15" s="3" t="n">
        <f aca="false">ROUND(MIN(1,MAX(0,M15))*F15,0)</f>
        <v>4350000</v>
      </c>
      <c r="O15" s="3" t="n">
        <f aca="false">IF(Dates!$B$3&lt;H15,0,IF(E15&lt;=0,1,MIN(1,(Dates!$B$3-H15+1)/E15)))</f>
        <v>1</v>
      </c>
      <c r="P15" s="3" t="n">
        <f aca="false">O15*G15</f>
        <v>4350000</v>
      </c>
      <c r="Q15" s="3" t="n">
        <f aca="false">IF(C15="UNITES_PHYSIQUES",IF(F15&gt;0,SUMIFS(Lignes!$Q$2:$Q$135,Lignes!$B$2:$B$135,A15)/F15,0),IF(C15="JALONS_PONDERES",IF(F15&gt;0,SUMIFS(Lignes!$G$2:$G$135,Lignes!$B$2:$B$135,A15,Lignes!$R$2:$R$135,1)/F15,0),IF(C15="ZERO_CENT",IF(AND(COUNTIFS(Lignes!$B$2:$B$135,A15)&gt;0,COUNTIFS(Lignes!$B$2:$B$135,A15,Lignes!$R$2:$R$135,0)=0),1,0),S15)))</f>
        <v>1</v>
      </c>
      <c r="R15" s="3" t="n">
        <f aca="false">ROUND(MIN(1,MAX(0,Q15))*F15,0)</f>
        <v>4350000</v>
      </c>
      <c r="S15" s="3" t="n">
        <f aca="false">IF(Dates!$B$4&lt;H15,0,IF(E15&lt;=0,1,MIN(1,(Dates!$B$4-H15+1)/E15)))</f>
        <v>1</v>
      </c>
      <c r="T15" s="3" t="n">
        <f aca="false">S15*G15</f>
        <v>4350000</v>
      </c>
    </row>
    <row r="16" customFormat="false" ht="15" hidden="false" customHeight="false" outlineLevel="0" collapsed="false">
      <c r="A16" s="0" t="s">
        <v>257</v>
      </c>
      <c r="B16" s="0" t="s">
        <v>176</v>
      </c>
      <c r="C16" s="0" t="s">
        <v>447</v>
      </c>
      <c r="D16" s="2" t="n">
        <v>46139</v>
      </c>
      <c r="E16" s="0" t="n">
        <v>20</v>
      </c>
      <c r="F16" s="3" t="n">
        <f aca="false">SUMIFS(Lignes!$G$2:$G$135,Lignes!$B$2:$B$135,A16)</f>
        <v>34896000</v>
      </c>
      <c r="G16" s="3" t="n">
        <f aca="false">ROUND(F16,0)</f>
        <v>34896000</v>
      </c>
      <c r="H16" s="3" t="n">
        <f aca="false">D16-Parametres!$B$9</f>
        <v>56</v>
      </c>
      <c r="I16" s="3" t="n">
        <f aca="false">IF(C16="UNITES_PHYSIQUES",IF(F16&gt;0,SUMIFS(Lignes!$I$2:$I$135,Lignes!$B$2:$B$135,A16)/F16,0),IF(C16="JALONS_PONDERES",IF(F16&gt;0,SUMIFS(Lignes!$G$2:$G$135,Lignes!$B$2:$B$135,A16,Lignes!$J$2:$J$135,1)/F16,0),IF(C16="ZERO_CENT",IF(AND(COUNTIFS(Lignes!$B$2:$B$135,A16)&gt;0,COUNTIFS(Lignes!$B$2:$B$135,A16,Lignes!$J$2:$J$135,0)=0),1,0),K16)))</f>
        <v>0.742584442342962</v>
      </c>
      <c r="J16" s="3" t="n">
        <f aca="false">ROUND(MIN(1,MAX(0,I16))*F16,0)</f>
        <v>25913227</v>
      </c>
      <c r="K16" s="3" t="n">
        <f aca="false">IF(Dates!$B$2&lt;H16,0,IF(E16&lt;=0,1,MIN(1,(Dates!$B$2-H16+1)/E16)))</f>
        <v>0.95</v>
      </c>
      <c r="L16" s="3" t="n">
        <f aca="false">K16*G16</f>
        <v>33151200</v>
      </c>
      <c r="M16" s="3" t="n">
        <f aca="false">IF(C16="UNITES_PHYSIQUES",IF(F16&gt;0,SUMIFS(Lignes!$M$2:$M$135,Lignes!$B$2:$B$135,A16)/F16,0),IF(C16="JALONS_PONDERES",IF(F16&gt;0,SUMIFS(Lignes!$G$2:$G$135,Lignes!$B$2:$B$135,A16,Lignes!$N$2:$N$135,1)/F16,0),IF(C16="ZERO_CENT",IF(AND(COUNTIFS(Lignes!$B$2:$B$135,A16)&gt;0,COUNTIFS(Lignes!$B$2:$B$135,A16,Lignes!$N$2:$N$135,0)=0),1,0),O16)))</f>
        <v>1</v>
      </c>
      <c r="N16" s="3" t="n">
        <f aca="false">ROUND(MIN(1,MAX(0,M16))*F16,0)</f>
        <v>34896000</v>
      </c>
      <c r="O16" s="3" t="n">
        <f aca="false">IF(Dates!$B$3&lt;H16,0,IF(E16&lt;=0,1,MIN(1,(Dates!$B$3-H16+1)/E16)))</f>
        <v>1</v>
      </c>
      <c r="P16" s="3" t="n">
        <f aca="false">O16*G16</f>
        <v>34896000</v>
      </c>
      <c r="Q16" s="3" t="n">
        <f aca="false">IF(C16="UNITES_PHYSIQUES",IF(F16&gt;0,SUMIFS(Lignes!$Q$2:$Q$135,Lignes!$B$2:$B$135,A16)/F16,0),IF(C16="JALONS_PONDERES",IF(F16&gt;0,SUMIFS(Lignes!$G$2:$G$135,Lignes!$B$2:$B$135,A16,Lignes!$R$2:$R$135,1)/F16,0),IF(C16="ZERO_CENT",IF(AND(COUNTIFS(Lignes!$B$2:$B$135,A16)&gt;0,COUNTIFS(Lignes!$B$2:$B$135,A16,Lignes!$R$2:$R$135,0)=0),1,0),S16)))</f>
        <v>1</v>
      </c>
      <c r="R16" s="3" t="n">
        <f aca="false">ROUND(MIN(1,MAX(0,Q16))*F16,0)</f>
        <v>34896000</v>
      </c>
      <c r="S16" s="3" t="n">
        <f aca="false">IF(Dates!$B$4&lt;H16,0,IF(E16&lt;=0,1,MIN(1,(Dates!$B$4-H16+1)/E16)))</f>
        <v>1</v>
      </c>
      <c r="T16" s="3" t="n">
        <f aca="false">S16*G16</f>
        <v>34896000</v>
      </c>
    </row>
    <row r="17" customFormat="false" ht="15" hidden="false" customHeight="false" outlineLevel="0" collapsed="false">
      <c r="A17" s="0" t="s">
        <v>261</v>
      </c>
      <c r="B17" s="0" t="s">
        <v>176</v>
      </c>
      <c r="C17" s="0" t="s">
        <v>447</v>
      </c>
      <c r="D17" s="2" t="n">
        <v>46147</v>
      </c>
      <c r="E17" s="0" t="n">
        <v>16</v>
      </c>
      <c r="F17" s="3" t="n">
        <f aca="false">SUMIFS(Lignes!$G$2:$G$135,Lignes!$B$2:$B$135,A17)</f>
        <v>26258000</v>
      </c>
      <c r="G17" s="3" t="n">
        <f aca="false">ROUND(F17,0)</f>
        <v>26258000</v>
      </c>
      <c r="H17" s="3" t="n">
        <f aca="false">D17-Parametres!$B$9</f>
        <v>64</v>
      </c>
      <c r="I17" s="3" t="n">
        <f aca="false">IF(C17="UNITES_PHYSIQUES",IF(F17&gt;0,SUMIFS(Lignes!$I$2:$I$135,Lignes!$B$2:$B$135,A17)/F17,0),IF(C17="JALONS_PONDERES",IF(F17&gt;0,SUMIFS(Lignes!$G$2:$G$135,Lignes!$B$2:$B$135,A17,Lignes!$J$2:$J$135,1)/F17,0),IF(C17="ZERO_CENT",IF(AND(COUNTIFS(Lignes!$B$2:$B$135,A17)&gt;0,COUNTIFS(Lignes!$B$2:$B$135,A17,Lignes!$J$2:$J$135,0)=0),1,0),K17)))</f>
        <v>0.447789283266052</v>
      </c>
      <c r="J17" s="3" t="n">
        <f aca="false">ROUND(MIN(1,MAX(0,I17))*F17,0)</f>
        <v>11758051</v>
      </c>
      <c r="K17" s="3" t="n">
        <f aca="false">IF(Dates!$B$2&lt;H17,0,IF(E17&lt;=0,1,MIN(1,(Dates!$B$2-H17+1)/E17)))</f>
        <v>0.6875</v>
      </c>
      <c r="L17" s="3" t="n">
        <f aca="false">K17*G17</f>
        <v>18052375</v>
      </c>
      <c r="M17" s="3" t="n">
        <f aca="false">IF(C17="UNITES_PHYSIQUES",IF(F17&gt;0,SUMIFS(Lignes!$M$2:$M$135,Lignes!$B$2:$B$135,A17)/F17,0),IF(C17="JALONS_PONDERES",IF(F17&gt;0,SUMIFS(Lignes!$G$2:$G$135,Lignes!$B$2:$B$135,A17,Lignes!$N$2:$N$135,1)/F17,0),IF(C17="ZERO_CENT",IF(AND(COUNTIFS(Lignes!$B$2:$B$135,A17)&gt;0,COUNTIFS(Lignes!$B$2:$B$135,A17,Lignes!$N$2:$N$135,0)=0),1,0),O17)))</f>
        <v>1</v>
      </c>
      <c r="N17" s="3" t="n">
        <f aca="false">ROUND(MIN(1,MAX(0,M17))*F17,0)</f>
        <v>26258000</v>
      </c>
      <c r="O17" s="3" t="n">
        <f aca="false">IF(Dates!$B$3&lt;H17,0,IF(E17&lt;=0,1,MIN(1,(Dates!$B$3-H17+1)/E17)))</f>
        <v>1</v>
      </c>
      <c r="P17" s="3" t="n">
        <f aca="false">O17*G17</f>
        <v>26258000</v>
      </c>
      <c r="Q17" s="3" t="n">
        <f aca="false">IF(C17="UNITES_PHYSIQUES",IF(F17&gt;0,SUMIFS(Lignes!$Q$2:$Q$135,Lignes!$B$2:$B$135,A17)/F17,0),IF(C17="JALONS_PONDERES",IF(F17&gt;0,SUMIFS(Lignes!$G$2:$G$135,Lignes!$B$2:$B$135,A17,Lignes!$R$2:$R$135,1)/F17,0),IF(C17="ZERO_CENT",IF(AND(COUNTIFS(Lignes!$B$2:$B$135,A17)&gt;0,COUNTIFS(Lignes!$B$2:$B$135,A17,Lignes!$R$2:$R$135,0)=0),1,0),S17)))</f>
        <v>1</v>
      </c>
      <c r="R17" s="3" t="n">
        <f aca="false">ROUND(MIN(1,MAX(0,Q17))*F17,0)</f>
        <v>26258000</v>
      </c>
      <c r="S17" s="3" t="n">
        <f aca="false">IF(Dates!$B$4&lt;H17,0,IF(E17&lt;=0,1,MIN(1,(Dates!$B$4-H17+1)/E17)))</f>
        <v>1</v>
      </c>
      <c r="T17" s="3" t="n">
        <f aca="false">S17*G17</f>
        <v>26258000</v>
      </c>
    </row>
    <row r="18" customFormat="false" ht="15" hidden="false" customHeight="false" outlineLevel="0" collapsed="false">
      <c r="A18" s="0" t="s">
        <v>264</v>
      </c>
      <c r="B18" s="0" t="s">
        <v>176</v>
      </c>
      <c r="C18" s="0" t="s">
        <v>447</v>
      </c>
      <c r="D18" s="2" t="n">
        <v>46163</v>
      </c>
      <c r="E18" s="0" t="n">
        <v>18</v>
      </c>
      <c r="F18" s="3" t="n">
        <f aca="false">SUMIFS(Lignes!$G$2:$G$135,Lignes!$B$2:$B$135,A18)</f>
        <v>25788000</v>
      </c>
      <c r="G18" s="3" t="n">
        <f aca="false">ROUND(F18,0)</f>
        <v>25788000</v>
      </c>
      <c r="H18" s="3" t="n">
        <f aca="false">D18-Parametres!$B$9</f>
        <v>80</v>
      </c>
      <c r="I18" s="3" t="n">
        <f aca="false">IF(C18="UNITES_PHYSIQUES",IF(F18&gt;0,SUMIFS(Lignes!$I$2:$I$135,Lignes!$B$2:$B$135,A18)/F18,0),IF(C18="JALONS_PONDERES",IF(F18&gt;0,SUMIFS(Lignes!$G$2:$G$135,Lignes!$B$2:$B$135,A18,Lignes!$J$2:$J$135,1)/F18,0),IF(C18="ZERO_CENT",IF(AND(COUNTIFS(Lignes!$B$2:$B$135,A18)&gt;0,COUNTIFS(Lignes!$B$2:$B$135,A18,Lignes!$J$2:$J$135,0)=0),1,0),K18)))</f>
        <v>0</v>
      </c>
      <c r="J18" s="3" t="n">
        <f aca="false">ROUND(MIN(1,MAX(0,I18))*F18,0)</f>
        <v>0</v>
      </c>
      <c r="K18" s="3" t="n">
        <f aca="false">IF(Dates!$B$2&lt;H18,0,IF(E18&lt;=0,1,MIN(1,(Dates!$B$2-H18+1)/E18)))</f>
        <v>0</v>
      </c>
      <c r="L18" s="3" t="n">
        <f aca="false">K18*G18</f>
        <v>0</v>
      </c>
      <c r="M18" s="3" t="n">
        <f aca="false">IF(C18="UNITES_PHYSIQUES",IF(F18&gt;0,SUMIFS(Lignes!$M$2:$M$135,Lignes!$B$2:$B$135,A18)/F18,0),IF(C18="JALONS_PONDERES",IF(F18&gt;0,SUMIFS(Lignes!$G$2:$G$135,Lignes!$B$2:$B$135,A18,Lignes!$N$2:$N$135,1)/F18,0),IF(C18="ZERO_CENT",IF(AND(COUNTIFS(Lignes!$B$2:$B$135,A18)&gt;0,COUNTIFS(Lignes!$B$2:$B$135,A18,Lignes!$N$2:$N$135,0)=0),1,0),O18)))</f>
        <v>1</v>
      </c>
      <c r="N18" s="3" t="n">
        <f aca="false">ROUND(MIN(1,MAX(0,M18))*F18,0)</f>
        <v>25788000</v>
      </c>
      <c r="O18" s="3" t="n">
        <f aca="false">IF(Dates!$B$3&lt;H18,0,IF(E18&lt;=0,1,MIN(1,(Dates!$B$3-H18+1)/E18)))</f>
        <v>1</v>
      </c>
      <c r="P18" s="3" t="n">
        <f aca="false">O18*G18</f>
        <v>25788000</v>
      </c>
      <c r="Q18" s="3" t="n">
        <f aca="false">IF(C18="UNITES_PHYSIQUES",IF(F18&gt;0,SUMIFS(Lignes!$Q$2:$Q$135,Lignes!$B$2:$B$135,A18)/F18,0),IF(C18="JALONS_PONDERES",IF(F18&gt;0,SUMIFS(Lignes!$G$2:$G$135,Lignes!$B$2:$B$135,A18,Lignes!$R$2:$R$135,1)/F18,0),IF(C18="ZERO_CENT",IF(AND(COUNTIFS(Lignes!$B$2:$B$135,A18)&gt;0,COUNTIFS(Lignes!$B$2:$B$135,A18,Lignes!$R$2:$R$135,0)=0),1,0),S18)))</f>
        <v>1</v>
      </c>
      <c r="R18" s="3" t="n">
        <f aca="false">ROUND(MIN(1,MAX(0,Q18))*F18,0)</f>
        <v>25788000</v>
      </c>
      <c r="S18" s="3" t="n">
        <f aca="false">IF(Dates!$B$4&lt;H18,0,IF(E18&lt;=0,1,MIN(1,(Dates!$B$4-H18+1)/E18)))</f>
        <v>1</v>
      </c>
      <c r="T18" s="3" t="n">
        <f aca="false">S18*G18</f>
        <v>25788000</v>
      </c>
    </row>
    <row r="19" customFormat="false" ht="15" hidden="false" customHeight="false" outlineLevel="0" collapsed="false">
      <c r="A19" s="0" t="s">
        <v>267</v>
      </c>
      <c r="B19" s="0" t="s">
        <v>176</v>
      </c>
      <c r="C19" s="0" t="s">
        <v>447</v>
      </c>
      <c r="D19" s="2" t="n">
        <v>46193</v>
      </c>
      <c r="E19" s="0" t="n">
        <v>14</v>
      </c>
      <c r="F19" s="3" t="n">
        <f aca="false">SUMIFS(Lignes!$G$2:$G$135,Lignes!$B$2:$B$135,A19)</f>
        <v>19824000</v>
      </c>
      <c r="G19" s="3" t="n">
        <f aca="false">ROUND(F19,0)</f>
        <v>19824000</v>
      </c>
      <c r="H19" s="3" t="n">
        <f aca="false">D19-Parametres!$B$9</f>
        <v>110</v>
      </c>
      <c r="I19" s="3" t="n">
        <f aca="false">IF(C19="UNITES_PHYSIQUES",IF(F19&gt;0,SUMIFS(Lignes!$I$2:$I$135,Lignes!$B$2:$B$135,A19)/F19,0),IF(C19="JALONS_PONDERES",IF(F19&gt;0,SUMIFS(Lignes!$G$2:$G$135,Lignes!$B$2:$B$135,A19,Lignes!$J$2:$J$135,1)/F19,0),IF(C19="ZERO_CENT",IF(AND(COUNTIFS(Lignes!$B$2:$B$135,A19)&gt;0,COUNTIFS(Lignes!$B$2:$B$135,A19,Lignes!$J$2:$J$135,0)=0),1,0),K19)))</f>
        <v>0</v>
      </c>
      <c r="J19" s="3" t="n">
        <f aca="false">ROUND(MIN(1,MAX(0,I19))*F19,0)</f>
        <v>0</v>
      </c>
      <c r="K19" s="3" t="n">
        <f aca="false">IF(Dates!$B$2&lt;H19,0,IF(E19&lt;=0,1,MIN(1,(Dates!$B$2-H19+1)/E19)))</f>
        <v>0</v>
      </c>
      <c r="L19" s="3" t="n">
        <f aca="false">K19*G19</f>
        <v>0</v>
      </c>
      <c r="M19" s="3" t="n">
        <f aca="false">IF(C19="UNITES_PHYSIQUES",IF(F19&gt;0,SUMIFS(Lignes!$M$2:$M$135,Lignes!$B$2:$B$135,A19)/F19,0),IF(C19="JALONS_PONDERES",IF(F19&gt;0,SUMIFS(Lignes!$G$2:$G$135,Lignes!$B$2:$B$135,A19,Lignes!$N$2:$N$135,1)/F19,0),IF(C19="ZERO_CENT",IF(AND(COUNTIFS(Lignes!$B$2:$B$135,A19)&gt;0,COUNTIFS(Lignes!$B$2:$B$135,A19,Lignes!$N$2:$N$135,0)=0),1,0),O19)))</f>
        <v>1</v>
      </c>
      <c r="N19" s="3" t="n">
        <f aca="false">ROUND(MIN(1,MAX(0,M19))*F19,0)</f>
        <v>19824000</v>
      </c>
      <c r="O19" s="3" t="n">
        <f aca="false">IF(Dates!$B$3&lt;H19,0,IF(E19&lt;=0,1,MIN(1,(Dates!$B$3-H19+1)/E19)))</f>
        <v>1</v>
      </c>
      <c r="P19" s="3" t="n">
        <f aca="false">O19*G19</f>
        <v>19824000</v>
      </c>
      <c r="Q19" s="3" t="n">
        <f aca="false">IF(C19="UNITES_PHYSIQUES",IF(F19&gt;0,SUMIFS(Lignes!$Q$2:$Q$135,Lignes!$B$2:$B$135,A19)/F19,0),IF(C19="JALONS_PONDERES",IF(F19&gt;0,SUMIFS(Lignes!$G$2:$G$135,Lignes!$B$2:$B$135,A19,Lignes!$R$2:$R$135,1)/F19,0),IF(C19="ZERO_CENT",IF(AND(COUNTIFS(Lignes!$B$2:$B$135,A19)&gt;0,COUNTIFS(Lignes!$B$2:$B$135,A19,Lignes!$R$2:$R$135,0)=0),1,0),S19)))</f>
        <v>1</v>
      </c>
      <c r="R19" s="3" t="n">
        <f aca="false">ROUND(MIN(1,MAX(0,Q19))*F19,0)</f>
        <v>19824000</v>
      </c>
      <c r="S19" s="3" t="n">
        <f aca="false">IF(Dates!$B$4&lt;H19,0,IF(E19&lt;=0,1,MIN(1,(Dates!$B$4-H19+1)/E19)))</f>
        <v>1</v>
      </c>
      <c r="T19" s="3" t="n">
        <f aca="false">S19*G19</f>
        <v>19824000</v>
      </c>
    </row>
    <row r="20" customFormat="false" ht="15" hidden="false" customHeight="false" outlineLevel="0" collapsed="false">
      <c r="A20" s="0" t="s">
        <v>270</v>
      </c>
      <c r="B20" s="0" t="s">
        <v>177</v>
      </c>
      <c r="C20" s="0" t="s">
        <v>447</v>
      </c>
      <c r="D20" s="2" t="n">
        <v>46181</v>
      </c>
      <c r="E20" s="0" t="n">
        <v>12</v>
      </c>
      <c r="F20" s="3" t="n">
        <f aca="false">SUMIFS(Lignes!$G$2:$G$135,Lignes!$B$2:$B$135,A20)</f>
        <v>14348000</v>
      </c>
      <c r="G20" s="3" t="n">
        <f aca="false">ROUND(F20,0)</f>
        <v>14348000</v>
      </c>
      <c r="H20" s="3" t="n">
        <f aca="false">D20-Parametres!$B$9</f>
        <v>98</v>
      </c>
      <c r="I20" s="3" t="n">
        <f aca="false">IF(C20="UNITES_PHYSIQUES",IF(F20&gt;0,SUMIFS(Lignes!$I$2:$I$135,Lignes!$B$2:$B$135,A20)/F20,0),IF(C20="JALONS_PONDERES",IF(F20&gt;0,SUMIFS(Lignes!$G$2:$G$135,Lignes!$B$2:$B$135,A20,Lignes!$J$2:$J$135,1)/F20,0),IF(C20="ZERO_CENT",IF(AND(COUNTIFS(Lignes!$B$2:$B$135,A20)&gt;0,COUNTIFS(Lignes!$B$2:$B$135,A20,Lignes!$J$2:$J$135,0)=0),1,0),K20)))</f>
        <v>0</v>
      </c>
      <c r="J20" s="3" t="n">
        <f aca="false">ROUND(MIN(1,MAX(0,I20))*F20,0)</f>
        <v>0</v>
      </c>
      <c r="K20" s="3" t="n">
        <f aca="false">IF(Dates!$B$2&lt;H20,0,IF(E20&lt;=0,1,MIN(1,(Dates!$B$2-H20+1)/E20)))</f>
        <v>0</v>
      </c>
      <c r="L20" s="3" t="n">
        <f aca="false">K20*G20</f>
        <v>0</v>
      </c>
      <c r="M20" s="3" t="n">
        <f aca="false">IF(C20="UNITES_PHYSIQUES",IF(F20&gt;0,SUMIFS(Lignes!$M$2:$M$135,Lignes!$B$2:$B$135,A20)/F20,0),IF(C20="JALONS_PONDERES",IF(F20&gt;0,SUMIFS(Lignes!$G$2:$G$135,Lignes!$B$2:$B$135,A20,Lignes!$N$2:$N$135,1)/F20,0),IF(C20="ZERO_CENT",IF(AND(COUNTIFS(Lignes!$B$2:$B$135,A20)&gt;0,COUNTIFS(Lignes!$B$2:$B$135,A20,Lignes!$N$2:$N$135,0)=0),1,0),O20)))</f>
        <v>1</v>
      </c>
      <c r="N20" s="3" t="n">
        <f aca="false">ROUND(MIN(1,MAX(0,M20))*F20,0)</f>
        <v>14348000</v>
      </c>
      <c r="O20" s="3" t="n">
        <f aca="false">IF(Dates!$B$3&lt;H20,0,IF(E20&lt;=0,1,MIN(1,(Dates!$B$3-H20+1)/E20)))</f>
        <v>1</v>
      </c>
      <c r="P20" s="3" t="n">
        <f aca="false">O20*G20</f>
        <v>14348000</v>
      </c>
      <c r="Q20" s="3" t="n">
        <f aca="false">IF(C20="UNITES_PHYSIQUES",IF(F20&gt;0,SUMIFS(Lignes!$Q$2:$Q$135,Lignes!$B$2:$B$135,A20)/F20,0),IF(C20="JALONS_PONDERES",IF(F20&gt;0,SUMIFS(Lignes!$G$2:$G$135,Lignes!$B$2:$B$135,A20,Lignes!$R$2:$R$135,1)/F20,0),IF(C20="ZERO_CENT",IF(AND(COUNTIFS(Lignes!$B$2:$B$135,A20)&gt;0,COUNTIFS(Lignes!$B$2:$B$135,A20,Lignes!$R$2:$R$135,0)=0),1,0),S20)))</f>
        <v>1</v>
      </c>
      <c r="R20" s="3" t="n">
        <f aca="false">ROUND(MIN(1,MAX(0,Q20))*F20,0)</f>
        <v>14348000</v>
      </c>
      <c r="S20" s="3" t="n">
        <f aca="false">IF(Dates!$B$4&lt;H20,0,IF(E20&lt;=0,1,MIN(1,(Dates!$B$4-H20+1)/E20)))</f>
        <v>1</v>
      </c>
      <c r="T20" s="3" t="n">
        <f aca="false">S20*G20</f>
        <v>14348000</v>
      </c>
    </row>
    <row r="21" customFormat="false" ht="15" hidden="false" customHeight="false" outlineLevel="0" collapsed="false">
      <c r="A21" s="0" t="s">
        <v>273</v>
      </c>
      <c r="B21" s="0" t="s">
        <v>177</v>
      </c>
      <c r="C21" s="0" t="s">
        <v>447</v>
      </c>
      <c r="D21" s="2" t="n">
        <v>46185</v>
      </c>
      <c r="E21" s="0" t="n">
        <v>14</v>
      </c>
      <c r="F21" s="3" t="n">
        <f aca="false">SUMIFS(Lignes!$G$2:$G$135,Lignes!$B$2:$B$135,A21)</f>
        <v>18304000</v>
      </c>
      <c r="G21" s="3" t="n">
        <f aca="false">ROUND(F21,0)</f>
        <v>18304000</v>
      </c>
      <c r="H21" s="3" t="n">
        <f aca="false">D21-Parametres!$B$9</f>
        <v>102</v>
      </c>
      <c r="I21" s="3" t="n">
        <f aca="false">IF(C21="UNITES_PHYSIQUES",IF(F21&gt;0,SUMIFS(Lignes!$I$2:$I$135,Lignes!$B$2:$B$135,A21)/F21,0),IF(C21="JALONS_PONDERES",IF(F21&gt;0,SUMIFS(Lignes!$G$2:$G$135,Lignes!$B$2:$B$135,A21,Lignes!$J$2:$J$135,1)/F21,0),IF(C21="ZERO_CENT",IF(AND(COUNTIFS(Lignes!$B$2:$B$135,A21)&gt;0,COUNTIFS(Lignes!$B$2:$B$135,A21,Lignes!$J$2:$J$135,0)=0),1,0),K21)))</f>
        <v>0</v>
      </c>
      <c r="J21" s="3" t="n">
        <f aca="false">ROUND(MIN(1,MAX(0,I21))*F21,0)</f>
        <v>0</v>
      </c>
      <c r="K21" s="3" t="n">
        <f aca="false">IF(Dates!$B$2&lt;H21,0,IF(E21&lt;=0,1,MIN(1,(Dates!$B$2-H21+1)/E21)))</f>
        <v>0</v>
      </c>
      <c r="L21" s="3" t="n">
        <f aca="false">K21*G21</f>
        <v>0</v>
      </c>
      <c r="M21" s="3" t="n">
        <f aca="false">IF(C21="UNITES_PHYSIQUES",IF(F21&gt;0,SUMIFS(Lignes!$M$2:$M$135,Lignes!$B$2:$B$135,A21)/F21,0),IF(C21="JALONS_PONDERES",IF(F21&gt;0,SUMIFS(Lignes!$G$2:$G$135,Lignes!$B$2:$B$135,A21,Lignes!$N$2:$N$135,1)/F21,0),IF(C21="ZERO_CENT",IF(AND(COUNTIFS(Lignes!$B$2:$B$135,A21)&gt;0,COUNTIFS(Lignes!$B$2:$B$135,A21,Lignes!$N$2:$N$135,0)=0),1,0),O21)))</f>
        <v>1</v>
      </c>
      <c r="N21" s="3" t="n">
        <f aca="false">ROUND(MIN(1,MAX(0,M21))*F21,0)</f>
        <v>18304000</v>
      </c>
      <c r="O21" s="3" t="n">
        <f aca="false">IF(Dates!$B$3&lt;H21,0,IF(E21&lt;=0,1,MIN(1,(Dates!$B$3-H21+1)/E21)))</f>
        <v>1</v>
      </c>
      <c r="P21" s="3" t="n">
        <f aca="false">O21*G21</f>
        <v>18304000</v>
      </c>
      <c r="Q21" s="3" t="n">
        <f aca="false">IF(C21="UNITES_PHYSIQUES",IF(F21&gt;0,SUMIFS(Lignes!$Q$2:$Q$135,Lignes!$B$2:$B$135,A21)/F21,0),IF(C21="JALONS_PONDERES",IF(F21&gt;0,SUMIFS(Lignes!$G$2:$G$135,Lignes!$B$2:$B$135,A21,Lignes!$R$2:$R$135,1)/F21,0),IF(C21="ZERO_CENT",IF(AND(COUNTIFS(Lignes!$B$2:$B$135,A21)&gt;0,COUNTIFS(Lignes!$B$2:$B$135,A21,Lignes!$R$2:$R$135,0)=0),1,0),S21)))</f>
        <v>1</v>
      </c>
      <c r="R21" s="3" t="n">
        <f aca="false">ROUND(MIN(1,MAX(0,Q21))*F21,0)</f>
        <v>18304000</v>
      </c>
      <c r="S21" s="3" t="n">
        <f aca="false">IF(Dates!$B$4&lt;H21,0,IF(E21&lt;=0,1,MIN(1,(Dates!$B$4-H21+1)/E21)))</f>
        <v>1</v>
      </c>
      <c r="T21" s="3" t="n">
        <f aca="false">S21*G21</f>
        <v>18304000</v>
      </c>
    </row>
    <row r="22" customFormat="false" ht="15" hidden="false" customHeight="false" outlineLevel="0" collapsed="false">
      <c r="A22" s="0" t="s">
        <v>276</v>
      </c>
      <c r="B22" s="0" t="s">
        <v>177</v>
      </c>
      <c r="C22" s="0" t="s">
        <v>447</v>
      </c>
      <c r="D22" s="2" t="n">
        <v>46199</v>
      </c>
      <c r="E22" s="0" t="n">
        <v>18</v>
      </c>
      <c r="F22" s="3" t="n">
        <f aca="false">SUMIFS(Lignes!$G$2:$G$135,Lignes!$B$2:$B$135,A22)</f>
        <v>29047000</v>
      </c>
      <c r="G22" s="3" t="n">
        <f aca="false">ROUND(F22,0)</f>
        <v>29047000</v>
      </c>
      <c r="H22" s="3" t="n">
        <f aca="false">D22-Parametres!$B$9</f>
        <v>116</v>
      </c>
      <c r="I22" s="3" t="n">
        <f aca="false">IF(C22="UNITES_PHYSIQUES",IF(F22&gt;0,SUMIFS(Lignes!$I$2:$I$135,Lignes!$B$2:$B$135,A22)/F22,0),IF(C22="JALONS_PONDERES",IF(F22&gt;0,SUMIFS(Lignes!$G$2:$G$135,Lignes!$B$2:$B$135,A22,Lignes!$J$2:$J$135,1)/F22,0),IF(C22="ZERO_CENT",IF(AND(COUNTIFS(Lignes!$B$2:$B$135,A22)&gt;0,COUNTIFS(Lignes!$B$2:$B$135,A22,Lignes!$J$2:$J$135,0)=0),1,0),K22)))</f>
        <v>0</v>
      </c>
      <c r="J22" s="3" t="n">
        <f aca="false">ROUND(MIN(1,MAX(0,I22))*F22,0)</f>
        <v>0</v>
      </c>
      <c r="K22" s="3" t="n">
        <f aca="false">IF(Dates!$B$2&lt;H22,0,IF(E22&lt;=0,1,MIN(1,(Dates!$B$2-H22+1)/E22)))</f>
        <v>0</v>
      </c>
      <c r="L22" s="3" t="n">
        <f aca="false">K22*G22</f>
        <v>0</v>
      </c>
      <c r="M22" s="3" t="n">
        <f aca="false">IF(C22="UNITES_PHYSIQUES",IF(F22&gt;0,SUMIFS(Lignes!$M$2:$M$135,Lignes!$B$2:$B$135,A22)/F22,0),IF(C22="JALONS_PONDERES",IF(F22&gt;0,SUMIFS(Lignes!$G$2:$G$135,Lignes!$B$2:$B$135,A22,Lignes!$N$2:$N$135,1)/F22,0),IF(C22="ZERO_CENT",IF(AND(COUNTIFS(Lignes!$B$2:$B$135,A22)&gt;0,COUNTIFS(Lignes!$B$2:$B$135,A22,Lignes!$N$2:$N$135,0)=0),1,0),O22)))</f>
        <v>1</v>
      </c>
      <c r="N22" s="3" t="n">
        <f aca="false">ROUND(MIN(1,MAX(0,M22))*F22,0)</f>
        <v>29047000</v>
      </c>
      <c r="O22" s="3" t="n">
        <f aca="false">IF(Dates!$B$3&lt;H22,0,IF(E22&lt;=0,1,MIN(1,(Dates!$B$3-H22+1)/E22)))</f>
        <v>1</v>
      </c>
      <c r="P22" s="3" t="n">
        <f aca="false">O22*G22</f>
        <v>29047000</v>
      </c>
      <c r="Q22" s="3" t="n">
        <f aca="false">IF(C22="UNITES_PHYSIQUES",IF(F22&gt;0,SUMIFS(Lignes!$Q$2:$Q$135,Lignes!$B$2:$B$135,A22)/F22,0),IF(C22="JALONS_PONDERES",IF(F22&gt;0,SUMIFS(Lignes!$G$2:$G$135,Lignes!$B$2:$B$135,A22,Lignes!$R$2:$R$135,1)/F22,0),IF(C22="ZERO_CENT",IF(AND(COUNTIFS(Lignes!$B$2:$B$135,A22)&gt;0,COUNTIFS(Lignes!$B$2:$B$135,A22,Lignes!$R$2:$R$135,0)=0),1,0),S22)))</f>
        <v>1</v>
      </c>
      <c r="R22" s="3" t="n">
        <f aca="false">ROUND(MIN(1,MAX(0,Q22))*F22,0)</f>
        <v>29047000</v>
      </c>
      <c r="S22" s="3" t="n">
        <f aca="false">IF(Dates!$B$4&lt;H22,0,IF(E22&lt;=0,1,MIN(1,(Dates!$B$4-H22+1)/E22)))</f>
        <v>1</v>
      </c>
      <c r="T22" s="3" t="n">
        <f aca="false">S22*G22</f>
        <v>29047000</v>
      </c>
    </row>
    <row r="23" customFormat="false" ht="15" hidden="false" customHeight="false" outlineLevel="0" collapsed="false">
      <c r="A23" s="0" t="s">
        <v>279</v>
      </c>
      <c r="B23" s="0" t="s">
        <v>177</v>
      </c>
      <c r="C23" s="0" t="s">
        <v>447</v>
      </c>
      <c r="D23" s="2" t="n">
        <v>46217</v>
      </c>
      <c r="E23" s="0" t="n">
        <v>12</v>
      </c>
      <c r="F23" s="3" t="n">
        <f aca="false">SUMIFS(Lignes!$G$2:$G$135,Lignes!$B$2:$B$135,A23)</f>
        <v>13714000</v>
      </c>
      <c r="G23" s="3" t="n">
        <f aca="false">ROUND(F23,0)</f>
        <v>13714000</v>
      </c>
      <c r="H23" s="3" t="n">
        <f aca="false">D23-Parametres!$B$9</f>
        <v>134</v>
      </c>
      <c r="I23" s="3" t="n">
        <f aca="false">IF(C23="UNITES_PHYSIQUES",IF(F23&gt;0,SUMIFS(Lignes!$I$2:$I$135,Lignes!$B$2:$B$135,A23)/F23,0),IF(C23="JALONS_PONDERES",IF(F23&gt;0,SUMIFS(Lignes!$G$2:$G$135,Lignes!$B$2:$B$135,A23,Lignes!$J$2:$J$135,1)/F23,0),IF(C23="ZERO_CENT",IF(AND(COUNTIFS(Lignes!$B$2:$B$135,A23)&gt;0,COUNTIFS(Lignes!$B$2:$B$135,A23,Lignes!$J$2:$J$135,0)=0),1,0),K23)))</f>
        <v>0</v>
      </c>
      <c r="J23" s="3" t="n">
        <f aca="false">ROUND(MIN(1,MAX(0,I23))*F23,0)</f>
        <v>0</v>
      </c>
      <c r="K23" s="3" t="n">
        <f aca="false">IF(Dates!$B$2&lt;H23,0,IF(E23&lt;=0,1,MIN(1,(Dates!$B$2-H23+1)/E23)))</f>
        <v>0</v>
      </c>
      <c r="L23" s="3" t="n">
        <f aca="false">K23*G23</f>
        <v>0</v>
      </c>
      <c r="M23" s="3" t="n">
        <f aca="false">IF(C23="UNITES_PHYSIQUES",IF(F23&gt;0,SUMIFS(Lignes!$M$2:$M$135,Lignes!$B$2:$B$135,A23)/F23,0),IF(C23="JALONS_PONDERES",IF(F23&gt;0,SUMIFS(Lignes!$G$2:$G$135,Lignes!$B$2:$B$135,A23,Lignes!$N$2:$N$135,1)/F23,0),IF(C23="ZERO_CENT",IF(AND(COUNTIFS(Lignes!$B$2:$B$135,A23)&gt;0,COUNTIFS(Lignes!$B$2:$B$135,A23,Lignes!$N$2:$N$135,0)=0),1,0),O23)))</f>
        <v>0.463160821058772</v>
      </c>
      <c r="N23" s="3" t="n">
        <f aca="false">ROUND(MIN(1,MAX(0,M23))*F23,0)</f>
        <v>6351788</v>
      </c>
      <c r="O23" s="3" t="n">
        <f aca="false">IF(Dates!$B$3&lt;H23,0,IF(E23&lt;=0,1,MIN(1,(Dates!$B$3-H23+1)/E23)))</f>
        <v>1</v>
      </c>
      <c r="P23" s="3" t="n">
        <f aca="false">O23*G23</f>
        <v>13714000</v>
      </c>
      <c r="Q23" s="3" t="n">
        <f aca="false">IF(C23="UNITES_PHYSIQUES",IF(F23&gt;0,SUMIFS(Lignes!$Q$2:$Q$135,Lignes!$B$2:$B$135,A23)/F23,0),IF(C23="JALONS_PONDERES",IF(F23&gt;0,SUMIFS(Lignes!$G$2:$G$135,Lignes!$B$2:$B$135,A23,Lignes!$R$2:$R$135,1)/F23,0),IF(C23="ZERO_CENT",IF(AND(COUNTIFS(Lignes!$B$2:$B$135,A23)&gt;0,COUNTIFS(Lignes!$B$2:$B$135,A23,Lignes!$R$2:$R$135,0)=0),1,0),S23)))</f>
        <v>1</v>
      </c>
      <c r="R23" s="3" t="n">
        <f aca="false">ROUND(MIN(1,MAX(0,Q23))*F23,0)</f>
        <v>13714000</v>
      </c>
      <c r="S23" s="3" t="n">
        <f aca="false">IF(Dates!$B$4&lt;H23,0,IF(E23&lt;=0,1,MIN(1,(Dates!$B$4-H23+1)/E23)))</f>
        <v>1</v>
      </c>
      <c r="T23" s="3" t="n">
        <f aca="false">S23*G23</f>
        <v>13714000</v>
      </c>
    </row>
    <row r="24" customFormat="false" ht="15" hidden="false" customHeight="false" outlineLevel="0" collapsed="false">
      <c r="A24" s="0" t="s">
        <v>280</v>
      </c>
      <c r="B24" s="0" t="s">
        <v>177</v>
      </c>
      <c r="C24" s="0" t="s">
        <v>447</v>
      </c>
      <c r="D24" s="2" t="n">
        <v>46221</v>
      </c>
      <c r="E24" s="0" t="n">
        <v>14</v>
      </c>
      <c r="F24" s="3" t="n">
        <f aca="false">SUMIFS(Lignes!$G$2:$G$135,Lignes!$B$2:$B$135,A24)</f>
        <v>17688000</v>
      </c>
      <c r="G24" s="3" t="n">
        <f aca="false">ROUND(F24,0)</f>
        <v>17688000</v>
      </c>
      <c r="H24" s="3" t="n">
        <f aca="false">D24-Parametres!$B$9</f>
        <v>138</v>
      </c>
      <c r="I24" s="3" t="n">
        <f aca="false">IF(C24="UNITES_PHYSIQUES",IF(F24&gt;0,SUMIFS(Lignes!$I$2:$I$135,Lignes!$B$2:$B$135,A24)/F24,0),IF(C24="JALONS_PONDERES",IF(F24&gt;0,SUMIFS(Lignes!$G$2:$G$135,Lignes!$B$2:$B$135,A24,Lignes!$J$2:$J$135,1)/F24,0),IF(C24="ZERO_CENT",IF(AND(COUNTIFS(Lignes!$B$2:$B$135,A24)&gt;0,COUNTIFS(Lignes!$B$2:$B$135,A24,Lignes!$J$2:$J$135,0)=0),1,0),K24)))</f>
        <v>0</v>
      </c>
      <c r="J24" s="3" t="n">
        <f aca="false">ROUND(MIN(1,MAX(0,I24))*F24,0)</f>
        <v>0</v>
      </c>
      <c r="K24" s="3" t="n">
        <f aca="false">IF(Dates!$B$2&lt;H24,0,IF(E24&lt;=0,1,MIN(1,(Dates!$B$2-H24+1)/E24)))</f>
        <v>0</v>
      </c>
      <c r="L24" s="3" t="n">
        <f aca="false">K24*G24</f>
        <v>0</v>
      </c>
      <c r="M24" s="3" t="n">
        <f aca="false">IF(C24="UNITES_PHYSIQUES",IF(F24&gt;0,SUMIFS(Lignes!$M$2:$M$135,Lignes!$B$2:$B$135,A24)/F24,0),IF(C24="JALONS_PONDERES",IF(F24&gt;0,SUMIFS(Lignes!$G$2:$G$135,Lignes!$B$2:$B$135,A24,Lignes!$N$2:$N$135,1)/F24,0),IF(C24="ZERO_CENT",IF(AND(COUNTIFS(Lignes!$B$2:$B$135,A24)&gt;0,COUNTIFS(Lignes!$B$2:$B$135,A24,Lignes!$N$2:$N$135,0)=0),1,0),O24)))</f>
        <v>0.148316802351877</v>
      </c>
      <c r="N24" s="3" t="n">
        <f aca="false">ROUND(MIN(1,MAX(0,M24))*F24,0)</f>
        <v>2623428</v>
      </c>
      <c r="O24" s="3" t="n">
        <f aca="false">IF(Dates!$B$3&lt;H24,0,IF(E24&lt;=0,1,MIN(1,(Dates!$B$3-H24+1)/E24)))</f>
        <v>1</v>
      </c>
      <c r="P24" s="3" t="n">
        <f aca="false">O24*G24</f>
        <v>17688000</v>
      </c>
      <c r="Q24" s="3" t="n">
        <f aca="false">IF(C24="UNITES_PHYSIQUES",IF(F24&gt;0,SUMIFS(Lignes!$Q$2:$Q$135,Lignes!$B$2:$B$135,A24)/F24,0),IF(C24="JALONS_PONDERES",IF(F24&gt;0,SUMIFS(Lignes!$G$2:$G$135,Lignes!$B$2:$B$135,A24,Lignes!$R$2:$R$135,1)/F24,0),IF(C24="ZERO_CENT",IF(AND(COUNTIFS(Lignes!$B$2:$B$135,A24)&gt;0,COUNTIFS(Lignes!$B$2:$B$135,A24,Lignes!$R$2:$R$135,0)=0),1,0),S24)))</f>
        <v>1</v>
      </c>
      <c r="R24" s="3" t="n">
        <f aca="false">ROUND(MIN(1,MAX(0,Q24))*F24,0)</f>
        <v>17688000</v>
      </c>
      <c r="S24" s="3" t="n">
        <f aca="false">IF(Dates!$B$4&lt;H24,0,IF(E24&lt;=0,1,MIN(1,(Dates!$B$4-H24+1)/E24)))</f>
        <v>1</v>
      </c>
      <c r="T24" s="3" t="n">
        <f aca="false">S24*G24</f>
        <v>17688000</v>
      </c>
    </row>
    <row r="25" customFormat="false" ht="15" hidden="false" customHeight="false" outlineLevel="0" collapsed="false">
      <c r="A25" s="0" t="s">
        <v>281</v>
      </c>
      <c r="B25" s="0" t="s">
        <v>177</v>
      </c>
      <c r="C25" s="0" t="s">
        <v>447</v>
      </c>
      <c r="D25" s="2" t="n">
        <v>46235</v>
      </c>
      <c r="E25" s="0" t="n">
        <v>18</v>
      </c>
      <c r="F25" s="3" t="n">
        <f aca="false">SUMIFS(Lignes!$G$2:$G$135,Lignes!$B$2:$B$135,A25)</f>
        <v>28509000</v>
      </c>
      <c r="G25" s="3" t="n">
        <f aca="false">ROUND(F25,0)</f>
        <v>28509000</v>
      </c>
      <c r="H25" s="3" t="n">
        <f aca="false">D25-Parametres!$B$9</f>
        <v>152</v>
      </c>
      <c r="I25" s="3" t="n">
        <f aca="false">IF(C25="UNITES_PHYSIQUES",IF(F25&gt;0,SUMIFS(Lignes!$I$2:$I$135,Lignes!$B$2:$B$135,A25)/F25,0),IF(C25="JALONS_PONDERES",IF(F25&gt;0,SUMIFS(Lignes!$G$2:$G$135,Lignes!$B$2:$B$135,A25,Lignes!$J$2:$J$135,1)/F25,0),IF(C25="ZERO_CENT",IF(AND(COUNTIFS(Lignes!$B$2:$B$135,A25)&gt;0,COUNTIFS(Lignes!$B$2:$B$135,A25,Lignes!$J$2:$J$135,0)=0),1,0),K25)))</f>
        <v>0</v>
      </c>
      <c r="J25" s="3" t="n">
        <f aca="false">ROUND(MIN(1,MAX(0,I25))*F25,0)</f>
        <v>0</v>
      </c>
      <c r="K25" s="3" t="n">
        <f aca="false">IF(Dates!$B$2&lt;H25,0,IF(E25&lt;=0,1,MIN(1,(Dates!$B$2-H25+1)/E25)))</f>
        <v>0</v>
      </c>
      <c r="L25" s="3" t="n">
        <f aca="false">K25*G25</f>
        <v>0</v>
      </c>
      <c r="M25" s="3" t="n">
        <f aca="false">IF(C25="UNITES_PHYSIQUES",IF(F25&gt;0,SUMIFS(Lignes!$M$2:$M$135,Lignes!$B$2:$B$135,A25)/F25,0),IF(C25="JALONS_PONDERES",IF(F25&gt;0,SUMIFS(Lignes!$G$2:$G$135,Lignes!$B$2:$B$135,A25,Lignes!$N$2:$N$135,1)/F25,0),IF(C25="ZERO_CENT",IF(AND(COUNTIFS(Lignes!$B$2:$B$135,A25)&gt;0,COUNTIFS(Lignes!$B$2:$B$135,A25,Lignes!$N$2:$N$135,0)=0),1,0),O25)))</f>
        <v>0</v>
      </c>
      <c r="N25" s="3" t="n">
        <f aca="false">ROUND(MIN(1,MAX(0,M25))*F25,0)</f>
        <v>0</v>
      </c>
      <c r="O25" s="3" t="n">
        <f aca="false">IF(Dates!$B$3&lt;H25,0,IF(E25&lt;=0,1,MIN(1,(Dates!$B$3-H25+1)/E25)))</f>
        <v>0</v>
      </c>
      <c r="P25" s="3" t="n">
        <f aca="false">O25*G25</f>
        <v>0</v>
      </c>
      <c r="Q25" s="3" t="n">
        <f aca="false">IF(C25="UNITES_PHYSIQUES",IF(F25&gt;0,SUMIFS(Lignes!$Q$2:$Q$135,Lignes!$B$2:$B$135,A25)/F25,0),IF(C25="JALONS_PONDERES",IF(F25&gt;0,SUMIFS(Lignes!$G$2:$G$135,Lignes!$B$2:$B$135,A25,Lignes!$R$2:$R$135,1)/F25,0),IF(C25="ZERO_CENT",IF(AND(COUNTIFS(Lignes!$B$2:$B$135,A25)&gt;0,COUNTIFS(Lignes!$B$2:$B$135,A25,Lignes!$R$2:$R$135,0)=0),1,0),S25)))</f>
        <v>1</v>
      </c>
      <c r="R25" s="3" t="n">
        <f aca="false">ROUND(MIN(1,MAX(0,Q25))*F25,0)</f>
        <v>28509000</v>
      </c>
      <c r="S25" s="3" t="n">
        <f aca="false">IF(Dates!$B$4&lt;H25,0,IF(E25&lt;=0,1,MIN(1,(Dates!$B$4-H25+1)/E25)))</f>
        <v>1</v>
      </c>
      <c r="T25" s="3" t="n">
        <f aca="false">S25*G25</f>
        <v>28509000</v>
      </c>
    </row>
    <row r="26" customFormat="false" ht="15" hidden="false" customHeight="false" outlineLevel="0" collapsed="false">
      <c r="A26" s="0" t="s">
        <v>282</v>
      </c>
      <c r="B26" s="0" t="s">
        <v>177</v>
      </c>
      <c r="C26" s="0" t="s">
        <v>447</v>
      </c>
      <c r="D26" s="2" t="n">
        <v>46253</v>
      </c>
      <c r="E26" s="0" t="n">
        <v>12</v>
      </c>
      <c r="F26" s="3" t="n">
        <f aca="false">SUMIFS(Lignes!$G$2:$G$135,Lignes!$B$2:$B$135,A26)</f>
        <v>13714000</v>
      </c>
      <c r="G26" s="3" t="n">
        <f aca="false">ROUND(F26,0)</f>
        <v>13714000</v>
      </c>
      <c r="H26" s="3" t="n">
        <f aca="false">D26-Parametres!$B$9</f>
        <v>170</v>
      </c>
      <c r="I26" s="3" t="n">
        <f aca="false">IF(C26="UNITES_PHYSIQUES",IF(F26&gt;0,SUMIFS(Lignes!$I$2:$I$135,Lignes!$B$2:$B$135,A26)/F26,0),IF(C26="JALONS_PONDERES",IF(F26&gt;0,SUMIFS(Lignes!$G$2:$G$135,Lignes!$B$2:$B$135,A26,Lignes!$J$2:$J$135,1)/F26,0),IF(C26="ZERO_CENT",IF(AND(COUNTIFS(Lignes!$B$2:$B$135,A26)&gt;0,COUNTIFS(Lignes!$B$2:$B$135,A26,Lignes!$J$2:$J$135,0)=0),1,0),K26)))</f>
        <v>0</v>
      </c>
      <c r="J26" s="3" t="n">
        <f aca="false">ROUND(MIN(1,MAX(0,I26))*F26,0)</f>
        <v>0</v>
      </c>
      <c r="K26" s="3" t="n">
        <f aca="false">IF(Dates!$B$2&lt;H26,0,IF(E26&lt;=0,1,MIN(1,(Dates!$B$2-H26+1)/E26)))</f>
        <v>0</v>
      </c>
      <c r="L26" s="3" t="n">
        <f aca="false">K26*G26</f>
        <v>0</v>
      </c>
      <c r="M26" s="3" t="n">
        <f aca="false">IF(C26="UNITES_PHYSIQUES",IF(F26&gt;0,SUMIFS(Lignes!$M$2:$M$135,Lignes!$B$2:$B$135,A26)/F26,0),IF(C26="JALONS_PONDERES",IF(F26&gt;0,SUMIFS(Lignes!$G$2:$G$135,Lignes!$B$2:$B$135,A26,Lignes!$N$2:$N$135,1)/F26,0),IF(C26="ZERO_CENT",IF(AND(COUNTIFS(Lignes!$B$2:$B$135,A26)&gt;0,COUNTIFS(Lignes!$B$2:$B$135,A26,Lignes!$N$2:$N$135,0)=0),1,0),O26)))</f>
        <v>0</v>
      </c>
      <c r="N26" s="3" t="n">
        <f aca="false">ROUND(MIN(1,MAX(0,M26))*F26,0)</f>
        <v>0</v>
      </c>
      <c r="O26" s="3" t="n">
        <f aca="false">IF(Dates!$B$3&lt;H26,0,IF(E26&lt;=0,1,MIN(1,(Dates!$B$3-H26+1)/E26)))</f>
        <v>0</v>
      </c>
      <c r="P26" s="3" t="n">
        <f aca="false">O26*G26</f>
        <v>0</v>
      </c>
      <c r="Q26" s="3" t="n">
        <f aca="false">IF(C26="UNITES_PHYSIQUES",IF(F26&gt;0,SUMIFS(Lignes!$Q$2:$Q$135,Lignes!$B$2:$B$135,A26)/F26,0),IF(C26="JALONS_PONDERES",IF(F26&gt;0,SUMIFS(Lignes!$G$2:$G$135,Lignes!$B$2:$B$135,A26,Lignes!$R$2:$R$135,1)/F26,0),IF(C26="ZERO_CENT",IF(AND(COUNTIFS(Lignes!$B$2:$B$135,A26)&gt;0,COUNTIFS(Lignes!$B$2:$B$135,A26,Lignes!$R$2:$R$135,0)=0),1,0),S26)))</f>
        <v>1</v>
      </c>
      <c r="R26" s="3" t="n">
        <f aca="false">ROUND(MIN(1,MAX(0,Q26))*F26,0)</f>
        <v>13714000</v>
      </c>
      <c r="S26" s="3" t="n">
        <f aca="false">IF(Dates!$B$4&lt;H26,0,IF(E26&lt;=0,1,MIN(1,(Dates!$B$4-H26+1)/E26)))</f>
        <v>1</v>
      </c>
      <c r="T26" s="3" t="n">
        <f aca="false">S26*G26</f>
        <v>13714000</v>
      </c>
    </row>
    <row r="27" customFormat="false" ht="15" hidden="false" customHeight="false" outlineLevel="0" collapsed="false">
      <c r="A27" s="0" t="s">
        <v>283</v>
      </c>
      <c r="B27" s="0" t="s">
        <v>177</v>
      </c>
      <c r="C27" s="0" t="s">
        <v>447</v>
      </c>
      <c r="D27" s="2" t="n">
        <v>46257</v>
      </c>
      <c r="E27" s="0" t="n">
        <v>14</v>
      </c>
      <c r="F27" s="3" t="n">
        <f aca="false">SUMIFS(Lignes!$G$2:$G$135,Lignes!$B$2:$B$135,A27)</f>
        <v>17688000</v>
      </c>
      <c r="G27" s="3" t="n">
        <f aca="false">ROUND(F27,0)</f>
        <v>17688000</v>
      </c>
      <c r="H27" s="3" t="n">
        <f aca="false">D27-Parametres!$B$9</f>
        <v>174</v>
      </c>
      <c r="I27" s="3" t="n">
        <f aca="false">IF(C27="UNITES_PHYSIQUES",IF(F27&gt;0,SUMIFS(Lignes!$I$2:$I$135,Lignes!$B$2:$B$135,A27)/F27,0),IF(C27="JALONS_PONDERES",IF(F27&gt;0,SUMIFS(Lignes!$G$2:$G$135,Lignes!$B$2:$B$135,A27,Lignes!$J$2:$J$135,1)/F27,0),IF(C27="ZERO_CENT",IF(AND(COUNTIFS(Lignes!$B$2:$B$135,A27)&gt;0,COUNTIFS(Lignes!$B$2:$B$135,A27,Lignes!$J$2:$J$135,0)=0),1,0),K27)))</f>
        <v>0</v>
      </c>
      <c r="J27" s="3" t="n">
        <f aca="false">ROUND(MIN(1,MAX(0,I27))*F27,0)</f>
        <v>0</v>
      </c>
      <c r="K27" s="3" t="n">
        <f aca="false">IF(Dates!$B$2&lt;H27,0,IF(E27&lt;=0,1,MIN(1,(Dates!$B$2-H27+1)/E27)))</f>
        <v>0</v>
      </c>
      <c r="L27" s="3" t="n">
        <f aca="false">K27*G27</f>
        <v>0</v>
      </c>
      <c r="M27" s="3" t="n">
        <f aca="false">IF(C27="UNITES_PHYSIQUES",IF(F27&gt;0,SUMIFS(Lignes!$M$2:$M$135,Lignes!$B$2:$B$135,A27)/F27,0),IF(C27="JALONS_PONDERES",IF(F27&gt;0,SUMIFS(Lignes!$G$2:$G$135,Lignes!$B$2:$B$135,A27,Lignes!$N$2:$N$135,1)/F27,0),IF(C27="ZERO_CENT",IF(AND(COUNTIFS(Lignes!$B$2:$B$135,A27)&gt;0,COUNTIFS(Lignes!$B$2:$B$135,A27,Lignes!$N$2:$N$135,0)=0),1,0),O27)))</f>
        <v>0</v>
      </c>
      <c r="N27" s="3" t="n">
        <f aca="false">ROUND(MIN(1,MAX(0,M27))*F27,0)</f>
        <v>0</v>
      </c>
      <c r="O27" s="3" t="n">
        <f aca="false">IF(Dates!$B$3&lt;H27,0,IF(E27&lt;=0,1,MIN(1,(Dates!$B$3-H27+1)/E27)))</f>
        <v>0</v>
      </c>
      <c r="P27" s="3" t="n">
        <f aca="false">O27*G27</f>
        <v>0</v>
      </c>
      <c r="Q27" s="3" t="n">
        <f aca="false">IF(C27="UNITES_PHYSIQUES",IF(F27&gt;0,SUMIFS(Lignes!$Q$2:$Q$135,Lignes!$B$2:$B$135,A27)/F27,0),IF(C27="JALONS_PONDERES",IF(F27&gt;0,SUMIFS(Lignes!$G$2:$G$135,Lignes!$B$2:$B$135,A27,Lignes!$R$2:$R$135,1)/F27,0),IF(C27="ZERO_CENT",IF(AND(COUNTIFS(Lignes!$B$2:$B$135,A27)&gt;0,COUNTIFS(Lignes!$B$2:$B$135,A27,Lignes!$R$2:$R$135,0)=0),1,0),S27)))</f>
        <v>1</v>
      </c>
      <c r="R27" s="3" t="n">
        <f aca="false">ROUND(MIN(1,MAX(0,Q27))*F27,0)</f>
        <v>17688000</v>
      </c>
      <c r="S27" s="3" t="n">
        <f aca="false">IF(Dates!$B$4&lt;H27,0,IF(E27&lt;=0,1,MIN(1,(Dates!$B$4-H27+1)/E27)))</f>
        <v>1</v>
      </c>
      <c r="T27" s="3" t="n">
        <f aca="false">S27*G27</f>
        <v>17688000</v>
      </c>
    </row>
    <row r="28" customFormat="false" ht="15" hidden="false" customHeight="false" outlineLevel="0" collapsed="false">
      <c r="A28" s="0" t="s">
        <v>284</v>
      </c>
      <c r="B28" s="0" t="s">
        <v>177</v>
      </c>
      <c r="C28" s="0" t="s">
        <v>447</v>
      </c>
      <c r="D28" s="2" t="n">
        <v>46271</v>
      </c>
      <c r="E28" s="0" t="n">
        <v>18</v>
      </c>
      <c r="F28" s="3" t="n">
        <f aca="false">SUMIFS(Lignes!$G$2:$G$135,Lignes!$B$2:$B$135,A28)</f>
        <v>28509000</v>
      </c>
      <c r="G28" s="3" t="n">
        <f aca="false">ROUND(F28,0)</f>
        <v>28509000</v>
      </c>
      <c r="H28" s="3" t="n">
        <f aca="false">D28-Parametres!$B$9</f>
        <v>188</v>
      </c>
      <c r="I28" s="3" t="n">
        <f aca="false">IF(C28="UNITES_PHYSIQUES",IF(F28&gt;0,SUMIFS(Lignes!$I$2:$I$135,Lignes!$B$2:$B$135,A28)/F28,0),IF(C28="JALONS_PONDERES",IF(F28&gt;0,SUMIFS(Lignes!$G$2:$G$135,Lignes!$B$2:$B$135,A28,Lignes!$J$2:$J$135,1)/F28,0),IF(C28="ZERO_CENT",IF(AND(COUNTIFS(Lignes!$B$2:$B$135,A28)&gt;0,COUNTIFS(Lignes!$B$2:$B$135,A28,Lignes!$J$2:$J$135,0)=0),1,0),K28)))</f>
        <v>0</v>
      </c>
      <c r="J28" s="3" t="n">
        <f aca="false">ROUND(MIN(1,MAX(0,I28))*F28,0)</f>
        <v>0</v>
      </c>
      <c r="K28" s="3" t="n">
        <f aca="false">IF(Dates!$B$2&lt;H28,0,IF(E28&lt;=0,1,MIN(1,(Dates!$B$2-H28+1)/E28)))</f>
        <v>0</v>
      </c>
      <c r="L28" s="3" t="n">
        <f aca="false">K28*G28</f>
        <v>0</v>
      </c>
      <c r="M28" s="3" t="n">
        <f aca="false">IF(C28="UNITES_PHYSIQUES",IF(F28&gt;0,SUMIFS(Lignes!$M$2:$M$135,Lignes!$B$2:$B$135,A28)/F28,0),IF(C28="JALONS_PONDERES",IF(F28&gt;0,SUMIFS(Lignes!$G$2:$G$135,Lignes!$B$2:$B$135,A28,Lignes!$N$2:$N$135,1)/F28,0),IF(C28="ZERO_CENT",IF(AND(COUNTIFS(Lignes!$B$2:$B$135,A28)&gt;0,COUNTIFS(Lignes!$B$2:$B$135,A28,Lignes!$N$2:$N$135,0)=0),1,0),O28)))</f>
        <v>0</v>
      </c>
      <c r="N28" s="3" t="n">
        <f aca="false">ROUND(MIN(1,MAX(0,M28))*F28,0)</f>
        <v>0</v>
      </c>
      <c r="O28" s="3" t="n">
        <f aca="false">IF(Dates!$B$3&lt;H28,0,IF(E28&lt;=0,1,MIN(1,(Dates!$B$3-H28+1)/E28)))</f>
        <v>0</v>
      </c>
      <c r="P28" s="3" t="n">
        <f aca="false">O28*G28</f>
        <v>0</v>
      </c>
      <c r="Q28" s="3" t="n">
        <f aca="false">IF(C28="UNITES_PHYSIQUES",IF(F28&gt;0,SUMIFS(Lignes!$Q$2:$Q$135,Lignes!$B$2:$B$135,A28)/F28,0),IF(C28="JALONS_PONDERES",IF(F28&gt;0,SUMIFS(Lignes!$G$2:$G$135,Lignes!$B$2:$B$135,A28,Lignes!$R$2:$R$135,1)/F28,0),IF(C28="ZERO_CENT",IF(AND(COUNTIFS(Lignes!$B$2:$B$135,A28)&gt;0,COUNTIFS(Lignes!$B$2:$B$135,A28,Lignes!$R$2:$R$135,0)=0),1,0),S28)))</f>
        <v>0.434984257602862</v>
      </c>
      <c r="R28" s="3" t="n">
        <f aca="false">ROUND(MIN(1,MAX(0,Q28))*F28,0)</f>
        <v>12400966</v>
      </c>
      <c r="S28" s="3" t="n">
        <f aca="false">IF(Dates!$B$4&lt;H28,0,IF(E28&lt;=0,1,MIN(1,(Dates!$B$4-H28+1)/E28)))</f>
        <v>1</v>
      </c>
      <c r="T28" s="3" t="n">
        <f aca="false">S28*G28</f>
        <v>28509000</v>
      </c>
    </row>
    <row r="29" customFormat="false" ht="15" hidden="false" customHeight="false" outlineLevel="0" collapsed="false">
      <c r="A29" s="0" t="s">
        <v>286</v>
      </c>
      <c r="B29" s="0" t="s">
        <v>177</v>
      </c>
      <c r="C29" s="0" t="s">
        <v>447</v>
      </c>
      <c r="D29" s="2" t="n">
        <v>46289</v>
      </c>
      <c r="E29" s="0" t="n">
        <v>12</v>
      </c>
      <c r="F29" s="3" t="n">
        <f aca="false">SUMIFS(Lignes!$G$2:$G$135,Lignes!$B$2:$B$135,A29)</f>
        <v>13062000</v>
      </c>
      <c r="G29" s="3" t="n">
        <f aca="false">ROUND(F29,0)</f>
        <v>13062000</v>
      </c>
      <c r="H29" s="3" t="n">
        <f aca="false">D29-Parametres!$B$9</f>
        <v>206</v>
      </c>
      <c r="I29" s="3" t="n">
        <f aca="false">IF(C29="UNITES_PHYSIQUES",IF(F29&gt;0,SUMIFS(Lignes!$I$2:$I$135,Lignes!$B$2:$B$135,A29)/F29,0),IF(C29="JALONS_PONDERES",IF(F29&gt;0,SUMIFS(Lignes!$G$2:$G$135,Lignes!$B$2:$B$135,A29,Lignes!$J$2:$J$135,1)/F29,0),IF(C29="ZERO_CENT",IF(AND(COUNTIFS(Lignes!$B$2:$B$135,A29)&gt;0,COUNTIFS(Lignes!$B$2:$B$135,A29,Lignes!$J$2:$J$135,0)=0),1,0),K29)))</f>
        <v>0</v>
      </c>
      <c r="J29" s="3" t="n">
        <f aca="false">ROUND(MIN(1,MAX(0,I29))*F29,0)</f>
        <v>0</v>
      </c>
      <c r="K29" s="3" t="n">
        <f aca="false">IF(Dates!$B$2&lt;H29,0,IF(E29&lt;=0,1,MIN(1,(Dates!$B$2-H29+1)/E29)))</f>
        <v>0</v>
      </c>
      <c r="L29" s="3" t="n">
        <f aca="false">K29*G29</f>
        <v>0</v>
      </c>
      <c r="M29" s="3" t="n">
        <f aca="false">IF(C29="UNITES_PHYSIQUES",IF(F29&gt;0,SUMIFS(Lignes!$M$2:$M$135,Lignes!$B$2:$B$135,A29)/F29,0),IF(C29="JALONS_PONDERES",IF(F29&gt;0,SUMIFS(Lignes!$G$2:$G$135,Lignes!$B$2:$B$135,A29,Lignes!$N$2:$N$135,1)/F29,0),IF(C29="ZERO_CENT",IF(AND(COUNTIFS(Lignes!$B$2:$B$135,A29)&gt;0,COUNTIFS(Lignes!$B$2:$B$135,A29,Lignes!$N$2:$N$135,0)=0),1,0),O29)))</f>
        <v>0</v>
      </c>
      <c r="N29" s="3" t="n">
        <f aca="false">ROUND(MIN(1,MAX(0,M29))*F29,0)</f>
        <v>0</v>
      </c>
      <c r="O29" s="3" t="n">
        <f aca="false">IF(Dates!$B$3&lt;H29,0,IF(E29&lt;=0,1,MIN(1,(Dates!$B$3-H29+1)/E29)))</f>
        <v>0</v>
      </c>
      <c r="P29" s="3" t="n">
        <f aca="false">O29*G29</f>
        <v>0</v>
      </c>
      <c r="Q29" s="3" t="n">
        <f aca="false">IF(C29="UNITES_PHYSIQUES",IF(F29&gt;0,SUMIFS(Lignes!$Q$2:$Q$135,Lignes!$B$2:$B$135,A29)/F29,0),IF(C29="JALONS_PONDERES",IF(F29&gt;0,SUMIFS(Lignes!$G$2:$G$135,Lignes!$B$2:$B$135,A29,Lignes!$R$2:$R$135,1)/F29,0),IF(C29="ZERO_CENT",IF(AND(COUNTIFS(Lignes!$B$2:$B$135,A29)&gt;0,COUNTIFS(Lignes!$B$2:$B$135,A29,Lignes!$R$2:$R$135,0)=0),1,0),S29)))</f>
        <v>0</v>
      </c>
      <c r="R29" s="3" t="n">
        <f aca="false">ROUND(MIN(1,MAX(0,Q29))*F29,0)</f>
        <v>0</v>
      </c>
      <c r="S29" s="3" t="n">
        <f aca="false">IF(Dates!$B$4&lt;H29,0,IF(E29&lt;=0,1,MIN(1,(Dates!$B$4-H29+1)/E29)))</f>
        <v>0.333333333333333</v>
      </c>
      <c r="T29" s="3" t="n">
        <f aca="false">S29*G29</f>
        <v>4354000</v>
      </c>
    </row>
    <row r="30" customFormat="false" ht="15" hidden="false" customHeight="false" outlineLevel="0" collapsed="false">
      <c r="A30" s="0" t="s">
        <v>290</v>
      </c>
      <c r="B30" s="0" t="s">
        <v>177</v>
      </c>
      <c r="C30" s="0" t="s">
        <v>447</v>
      </c>
      <c r="D30" s="2" t="n">
        <v>46293</v>
      </c>
      <c r="E30" s="0" t="n">
        <v>14</v>
      </c>
      <c r="F30" s="3" t="n">
        <f aca="false">SUMIFS(Lignes!$G$2:$G$135,Lignes!$B$2:$B$135,A30)</f>
        <v>17036000</v>
      </c>
      <c r="G30" s="3" t="n">
        <f aca="false">ROUND(F30,0)</f>
        <v>17036000</v>
      </c>
      <c r="H30" s="3" t="n">
        <f aca="false">D30-Parametres!$B$9</f>
        <v>210</v>
      </c>
      <c r="I30" s="3" t="n">
        <f aca="false">IF(C30="UNITES_PHYSIQUES",IF(F30&gt;0,SUMIFS(Lignes!$I$2:$I$135,Lignes!$B$2:$B$135,A30)/F30,0),IF(C30="JALONS_PONDERES",IF(F30&gt;0,SUMIFS(Lignes!$G$2:$G$135,Lignes!$B$2:$B$135,A30,Lignes!$J$2:$J$135,1)/F30,0),IF(C30="ZERO_CENT",IF(AND(COUNTIFS(Lignes!$B$2:$B$135,A30)&gt;0,COUNTIFS(Lignes!$B$2:$B$135,A30,Lignes!$J$2:$J$135,0)=0),1,0),K30)))</f>
        <v>0</v>
      </c>
      <c r="J30" s="3" t="n">
        <f aca="false">ROUND(MIN(1,MAX(0,I30))*F30,0)</f>
        <v>0</v>
      </c>
      <c r="K30" s="3" t="n">
        <f aca="false">IF(Dates!$B$2&lt;H30,0,IF(E30&lt;=0,1,MIN(1,(Dates!$B$2-H30+1)/E30)))</f>
        <v>0</v>
      </c>
      <c r="L30" s="3" t="n">
        <f aca="false">K30*G30</f>
        <v>0</v>
      </c>
      <c r="M30" s="3" t="n">
        <f aca="false">IF(C30="UNITES_PHYSIQUES",IF(F30&gt;0,SUMIFS(Lignes!$M$2:$M$135,Lignes!$B$2:$B$135,A30)/F30,0),IF(C30="JALONS_PONDERES",IF(F30&gt;0,SUMIFS(Lignes!$G$2:$G$135,Lignes!$B$2:$B$135,A30,Lignes!$N$2:$N$135,1)/F30,0),IF(C30="ZERO_CENT",IF(AND(COUNTIFS(Lignes!$B$2:$B$135,A30)&gt;0,COUNTIFS(Lignes!$B$2:$B$135,A30,Lignes!$N$2:$N$135,0)=0),1,0),O30)))</f>
        <v>0</v>
      </c>
      <c r="N30" s="3" t="n">
        <f aca="false">ROUND(MIN(1,MAX(0,M30))*F30,0)</f>
        <v>0</v>
      </c>
      <c r="O30" s="3" t="n">
        <f aca="false">IF(Dates!$B$3&lt;H30,0,IF(E30&lt;=0,1,MIN(1,(Dates!$B$3-H30+1)/E30)))</f>
        <v>0</v>
      </c>
      <c r="P30" s="3" t="n">
        <f aca="false">O30*G30</f>
        <v>0</v>
      </c>
      <c r="Q30" s="3" t="n">
        <f aca="false">IF(C30="UNITES_PHYSIQUES",IF(F30&gt;0,SUMIFS(Lignes!$Q$2:$Q$135,Lignes!$B$2:$B$135,A30)/F30,0),IF(C30="JALONS_PONDERES",IF(F30&gt;0,SUMIFS(Lignes!$G$2:$G$135,Lignes!$B$2:$B$135,A30,Lignes!$R$2:$R$135,1)/F30,0),IF(C30="ZERO_CENT",IF(AND(COUNTIFS(Lignes!$B$2:$B$135,A30)&gt;0,COUNTIFS(Lignes!$B$2:$B$135,A30,Lignes!$R$2:$R$135,0)=0),1,0),S30)))</f>
        <v>0</v>
      </c>
      <c r="R30" s="3" t="n">
        <f aca="false">ROUND(MIN(1,MAX(0,Q30))*F30,0)</f>
        <v>0</v>
      </c>
      <c r="S30" s="3" t="n">
        <f aca="false">IF(Dates!$B$4&lt;H30,0,IF(E30&lt;=0,1,MIN(1,(Dates!$B$4-H30+1)/E30)))</f>
        <v>0</v>
      </c>
      <c r="T30" s="3" t="n">
        <f aca="false">S30*G30</f>
        <v>0</v>
      </c>
    </row>
    <row r="31" customFormat="false" ht="15" hidden="false" customHeight="false" outlineLevel="0" collapsed="false">
      <c r="A31" s="0" t="s">
        <v>294</v>
      </c>
      <c r="B31" s="0" t="s">
        <v>177</v>
      </c>
      <c r="C31" s="0" t="s">
        <v>447</v>
      </c>
      <c r="D31" s="2" t="n">
        <v>46307</v>
      </c>
      <c r="E31" s="0" t="n">
        <v>18</v>
      </c>
      <c r="F31" s="3" t="n">
        <f aca="false">SUMIFS(Lignes!$G$2:$G$135,Lignes!$B$2:$B$135,A31)</f>
        <v>27971000</v>
      </c>
      <c r="G31" s="3" t="n">
        <f aca="false">ROUND(F31,0)</f>
        <v>27971000</v>
      </c>
      <c r="H31" s="3" t="n">
        <f aca="false">D31-Parametres!$B$9</f>
        <v>224</v>
      </c>
      <c r="I31" s="3" t="n">
        <f aca="false">IF(C31="UNITES_PHYSIQUES",IF(F31&gt;0,SUMIFS(Lignes!$I$2:$I$135,Lignes!$B$2:$B$135,A31)/F31,0),IF(C31="JALONS_PONDERES",IF(F31&gt;0,SUMIFS(Lignes!$G$2:$G$135,Lignes!$B$2:$B$135,A31,Lignes!$J$2:$J$135,1)/F31,0),IF(C31="ZERO_CENT",IF(AND(COUNTIFS(Lignes!$B$2:$B$135,A31)&gt;0,COUNTIFS(Lignes!$B$2:$B$135,A31,Lignes!$J$2:$J$135,0)=0),1,0),K31)))</f>
        <v>0</v>
      </c>
      <c r="J31" s="3" t="n">
        <f aca="false">ROUND(MIN(1,MAX(0,I31))*F31,0)</f>
        <v>0</v>
      </c>
      <c r="K31" s="3" t="n">
        <f aca="false">IF(Dates!$B$2&lt;H31,0,IF(E31&lt;=0,1,MIN(1,(Dates!$B$2-H31+1)/E31)))</f>
        <v>0</v>
      </c>
      <c r="L31" s="3" t="n">
        <f aca="false">K31*G31</f>
        <v>0</v>
      </c>
      <c r="M31" s="3" t="n">
        <f aca="false">IF(C31="UNITES_PHYSIQUES",IF(F31&gt;0,SUMIFS(Lignes!$M$2:$M$135,Lignes!$B$2:$B$135,A31)/F31,0),IF(C31="JALONS_PONDERES",IF(F31&gt;0,SUMIFS(Lignes!$G$2:$G$135,Lignes!$B$2:$B$135,A31,Lignes!$N$2:$N$135,1)/F31,0),IF(C31="ZERO_CENT",IF(AND(COUNTIFS(Lignes!$B$2:$B$135,A31)&gt;0,COUNTIFS(Lignes!$B$2:$B$135,A31,Lignes!$N$2:$N$135,0)=0),1,0),O31)))</f>
        <v>0</v>
      </c>
      <c r="N31" s="3" t="n">
        <f aca="false">ROUND(MIN(1,MAX(0,M31))*F31,0)</f>
        <v>0</v>
      </c>
      <c r="O31" s="3" t="n">
        <f aca="false">IF(Dates!$B$3&lt;H31,0,IF(E31&lt;=0,1,MIN(1,(Dates!$B$3-H31+1)/E31)))</f>
        <v>0</v>
      </c>
      <c r="P31" s="3" t="n">
        <f aca="false">O31*G31</f>
        <v>0</v>
      </c>
      <c r="Q31" s="3" t="n">
        <f aca="false">IF(C31="UNITES_PHYSIQUES",IF(F31&gt;0,SUMIFS(Lignes!$Q$2:$Q$135,Lignes!$B$2:$B$135,A31)/F31,0),IF(C31="JALONS_PONDERES",IF(F31&gt;0,SUMIFS(Lignes!$G$2:$G$135,Lignes!$B$2:$B$135,A31,Lignes!$R$2:$R$135,1)/F31,0),IF(C31="ZERO_CENT",IF(AND(COUNTIFS(Lignes!$B$2:$B$135,A31)&gt;0,COUNTIFS(Lignes!$B$2:$B$135,A31,Lignes!$R$2:$R$135,0)=0),1,0),S31)))</f>
        <v>0</v>
      </c>
      <c r="R31" s="3" t="n">
        <f aca="false">ROUND(MIN(1,MAX(0,Q31))*F31,0)</f>
        <v>0</v>
      </c>
      <c r="S31" s="3" t="n">
        <f aca="false">IF(Dates!$B$4&lt;H31,0,IF(E31&lt;=0,1,MIN(1,(Dates!$B$4-H31+1)/E31)))</f>
        <v>0</v>
      </c>
      <c r="T31" s="3" t="n">
        <f aca="false">S31*G31</f>
        <v>0</v>
      </c>
    </row>
    <row r="32" customFormat="false" ht="15" hidden="false" customHeight="false" outlineLevel="0" collapsed="false">
      <c r="A32" s="0" t="s">
        <v>297</v>
      </c>
      <c r="B32" s="0" t="s">
        <v>177</v>
      </c>
      <c r="C32" s="0" t="s">
        <v>447</v>
      </c>
      <c r="D32" s="2" t="n">
        <v>46235</v>
      </c>
      <c r="E32" s="0" t="n">
        <v>46</v>
      </c>
      <c r="F32" s="3" t="n">
        <f aca="false">SUMIFS(Lignes!$G$2:$G$135,Lignes!$B$2:$B$135,A32)</f>
        <v>53980000</v>
      </c>
      <c r="G32" s="3" t="n">
        <f aca="false">ROUND(F32,0)</f>
        <v>53980000</v>
      </c>
      <c r="H32" s="3" t="n">
        <f aca="false">D32-Parametres!$B$9</f>
        <v>152</v>
      </c>
      <c r="I32" s="3" t="n">
        <f aca="false">IF(C32="UNITES_PHYSIQUES",IF(F32&gt;0,SUMIFS(Lignes!$I$2:$I$135,Lignes!$B$2:$B$135,A32)/F32,0),IF(C32="JALONS_PONDERES",IF(F32&gt;0,SUMIFS(Lignes!$G$2:$G$135,Lignes!$B$2:$B$135,A32,Lignes!$J$2:$J$135,1)/F32,0),IF(C32="ZERO_CENT",IF(AND(COUNTIFS(Lignes!$B$2:$B$135,A32)&gt;0,COUNTIFS(Lignes!$B$2:$B$135,A32,Lignes!$J$2:$J$135,0)=0),1,0),K32)))</f>
        <v>0</v>
      </c>
      <c r="J32" s="3" t="n">
        <f aca="false">ROUND(MIN(1,MAX(0,I32))*F32,0)</f>
        <v>0</v>
      </c>
      <c r="K32" s="3" t="n">
        <f aca="false">IF(Dates!$B$2&lt;H32,0,IF(E32&lt;=0,1,MIN(1,(Dates!$B$2-H32+1)/E32)))</f>
        <v>0</v>
      </c>
      <c r="L32" s="3" t="n">
        <f aca="false">K32*G32</f>
        <v>0</v>
      </c>
      <c r="M32" s="3" t="n">
        <f aca="false">IF(C32="UNITES_PHYSIQUES",IF(F32&gt;0,SUMIFS(Lignes!$M$2:$M$135,Lignes!$B$2:$B$135,A32)/F32,0),IF(C32="JALONS_PONDERES",IF(F32&gt;0,SUMIFS(Lignes!$G$2:$G$135,Lignes!$B$2:$B$135,A32,Lignes!$N$2:$N$135,1)/F32,0),IF(C32="ZERO_CENT",IF(AND(COUNTIFS(Lignes!$B$2:$B$135,A32)&gt;0,COUNTIFS(Lignes!$B$2:$B$135,A32,Lignes!$N$2:$N$135,0)=0),1,0),O32)))</f>
        <v>0</v>
      </c>
      <c r="N32" s="3" t="n">
        <f aca="false">ROUND(MIN(1,MAX(0,M32))*F32,0)</f>
        <v>0</v>
      </c>
      <c r="O32" s="3" t="n">
        <f aca="false">IF(Dates!$B$3&lt;H32,0,IF(E32&lt;=0,1,MIN(1,(Dates!$B$3-H32+1)/E32)))</f>
        <v>0</v>
      </c>
      <c r="P32" s="3" t="n">
        <f aca="false">O32*G32</f>
        <v>0</v>
      </c>
      <c r="Q32" s="3" t="n">
        <f aca="false">IF(C32="UNITES_PHYSIQUES",IF(F32&gt;0,SUMIFS(Lignes!$Q$2:$Q$135,Lignes!$B$2:$B$135,A32)/F32,0),IF(C32="JALONS_PONDERES",IF(F32&gt;0,SUMIFS(Lignes!$G$2:$G$135,Lignes!$B$2:$B$135,A32,Lignes!$R$2:$R$135,1)/F32,0),IF(C32="ZERO_CENT",IF(AND(COUNTIFS(Lignes!$B$2:$B$135,A32)&gt;0,COUNTIFS(Lignes!$B$2:$B$135,A32,Lignes!$R$2:$R$135,0)=0),1,0),S32)))</f>
        <v>0.956215088921823</v>
      </c>
      <c r="R32" s="3" t="n">
        <f aca="false">ROUND(MIN(1,MAX(0,Q32))*F32,0)</f>
        <v>51616491</v>
      </c>
      <c r="S32" s="3" t="n">
        <f aca="false">IF(Dates!$B$4&lt;H32,0,IF(E32&lt;=0,1,MIN(1,(Dates!$B$4-H32+1)/E32)))</f>
        <v>1</v>
      </c>
      <c r="T32" s="3" t="n">
        <f aca="false">S32*G32</f>
        <v>53980000</v>
      </c>
    </row>
    <row r="33" customFormat="false" ht="15" hidden="false" customHeight="false" outlineLevel="0" collapsed="false">
      <c r="A33" s="0" t="s">
        <v>302</v>
      </c>
      <c r="B33" s="0" t="s">
        <v>177</v>
      </c>
      <c r="C33" s="0" t="s">
        <v>447</v>
      </c>
      <c r="D33" s="2" t="n">
        <v>46325</v>
      </c>
      <c r="E33" s="0" t="n">
        <v>20</v>
      </c>
      <c r="F33" s="3" t="n">
        <f aca="false">SUMIFS(Lignes!$G$2:$G$135,Lignes!$B$2:$B$135,A33)</f>
        <v>13048000</v>
      </c>
      <c r="G33" s="3" t="n">
        <f aca="false">ROUND(F33,0)</f>
        <v>13048000</v>
      </c>
      <c r="H33" s="3" t="n">
        <f aca="false">D33-Parametres!$B$9</f>
        <v>242</v>
      </c>
      <c r="I33" s="3" t="n">
        <f aca="false">IF(C33="UNITES_PHYSIQUES",IF(F33&gt;0,SUMIFS(Lignes!$I$2:$I$135,Lignes!$B$2:$B$135,A33)/F33,0),IF(C33="JALONS_PONDERES",IF(F33&gt;0,SUMIFS(Lignes!$G$2:$G$135,Lignes!$B$2:$B$135,A33,Lignes!$J$2:$J$135,1)/F33,0),IF(C33="ZERO_CENT",IF(AND(COUNTIFS(Lignes!$B$2:$B$135,A33)&gt;0,COUNTIFS(Lignes!$B$2:$B$135,A33,Lignes!$J$2:$J$135,0)=0),1,0),K33)))</f>
        <v>0</v>
      </c>
      <c r="J33" s="3" t="n">
        <f aca="false">ROUND(MIN(1,MAX(0,I33))*F33,0)</f>
        <v>0</v>
      </c>
      <c r="K33" s="3" t="n">
        <f aca="false">IF(Dates!$B$2&lt;H33,0,IF(E33&lt;=0,1,MIN(1,(Dates!$B$2-H33+1)/E33)))</f>
        <v>0</v>
      </c>
      <c r="L33" s="3" t="n">
        <f aca="false">K33*G33</f>
        <v>0</v>
      </c>
      <c r="M33" s="3" t="n">
        <f aca="false">IF(C33="UNITES_PHYSIQUES",IF(F33&gt;0,SUMIFS(Lignes!$M$2:$M$135,Lignes!$B$2:$B$135,A33)/F33,0),IF(C33="JALONS_PONDERES",IF(F33&gt;0,SUMIFS(Lignes!$G$2:$G$135,Lignes!$B$2:$B$135,A33,Lignes!$N$2:$N$135,1)/F33,0),IF(C33="ZERO_CENT",IF(AND(COUNTIFS(Lignes!$B$2:$B$135,A33)&gt;0,COUNTIFS(Lignes!$B$2:$B$135,A33,Lignes!$N$2:$N$135,0)=0),1,0),O33)))</f>
        <v>0</v>
      </c>
      <c r="N33" s="3" t="n">
        <f aca="false">ROUND(MIN(1,MAX(0,M33))*F33,0)</f>
        <v>0</v>
      </c>
      <c r="O33" s="3" t="n">
        <f aca="false">IF(Dates!$B$3&lt;H33,0,IF(E33&lt;=0,1,MIN(1,(Dates!$B$3-H33+1)/E33)))</f>
        <v>0</v>
      </c>
      <c r="P33" s="3" t="n">
        <f aca="false">O33*G33</f>
        <v>0</v>
      </c>
      <c r="Q33" s="3" t="n">
        <f aca="false">IF(C33="UNITES_PHYSIQUES",IF(F33&gt;0,SUMIFS(Lignes!$Q$2:$Q$135,Lignes!$B$2:$B$135,A33)/F33,0),IF(C33="JALONS_PONDERES",IF(F33&gt;0,SUMIFS(Lignes!$G$2:$G$135,Lignes!$B$2:$B$135,A33,Lignes!$R$2:$R$135,1)/F33,0),IF(C33="ZERO_CENT",IF(AND(COUNTIFS(Lignes!$B$2:$B$135,A33)&gt;0,COUNTIFS(Lignes!$B$2:$B$135,A33,Lignes!$R$2:$R$135,0)=0),1,0),S33)))</f>
        <v>0</v>
      </c>
      <c r="R33" s="3" t="n">
        <f aca="false">ROUND(MIN(1,MAX(0,Q33))*F33,0)</f>
        <v>0</v>
      </c>
      <c r="S33" s="3" t="n">
        <f aca="false">IF(Dates!$B$4&lt;H33,0,IF(E33&lt;=0,1,MIN(1,(Dates!$B$4-H33+1)/E33)))</f>
        <v>0</v>
      </c>
      <c r="T33" s="3" t="n">
        <f aca="false">S33*G33</f>
        <v>0</v>
      </c>
    </row>
    <row r="34" customFormat="false" ht="15" hidden="false" customHeight="false" outlineLevel="0" collapsed="false">
      <c r="A34" s="0" t="s">
        <v>307</v>
      </c>
      <c r="B34" s="0" t="s">
        <v>177</v>
      </c>
      <c r="C34" s="0" t="s">
        <v>447</v>
      </c>
      <c r="D34" s="2" t="n">
        <v>46325</v>
      </c>
      <c r="E34" s="0" t="n">
        <v>12</v>
      </c>
      <c r="F34" s="3" t="n">
        <f aca="false">SUMIFS(Lignes!$G$2:$G$135,Lignes!$B$2:$B$135,A34)</f>
        <v>10290000</v>
      </c>
      <c r="G34" s="3" t="n">
        <f aca="false">ROUND(F34,0)</f>
        <v>10290000</v>
      </c>
      <c r="H34" s="3" t="n">
        <f aca="false">D34-Parametres!$B$9</f>
        <v>242</v>
      </c>
      <c r="I34" s="3" t="n">
        <f aca="false">IF(C34="UNITES_PHYSIQUES",IF(F34&gt;0,SUMIFS(Lignes!$I$2:$I$135,Lignes!$B$2:$B$135,A34)/F34,0),IF(C34="JALONS_PONDERES",IF(F34&gt;0,SUMIFS(Lignes!$G$2:$G$135,Lignes!$B$2:$B$135,A34,Lignes!$J$2:$J$135,1)/F34,0),IF(C34="ZERO_CENT",IF(AND(COUNTIFS(Lignes!$B$2:$B$135,A34)&gt;0,COUNTIFS(Lignes!$B$2:$B$135,A34,Lignes!$J$2:$J$135,0)=0),1,0),K34)))</f>
        <v>0</v>
      </c>
      <c r="J34" s="3" t="n">
        <f aca="false">ROUND(MIN(1,MAX(0,I34))*F34,0)</f>
        <v>0</v>
      </c>
      <c r="K34" s="3" t="n">
        <f aca="false">IF(Dates!$B$2&lt;H34,0,IF(E34&lt;=0,1,MIN(1,(Dates!$B$2-H34+1)/E34)))</f>
        <v>0</v>
      </c>
      <c r="L34" s="3" t="n">
        <f aca="false">K34*G34</f>
        <v>0</v>
      </c>
      <c r="M34" s="3" t="n">
        <f aca="false">IF(C34="UNITES_PHYSIQUES",IF(F34&gt;0,SUMIFS(Lignes!$M$2:$M$135,Lignes!$B$2:$B$135,A34)/F34,0),IF(C34="JALONS_PONDERES",IF(F34&gt;0,SUMIFS(Lignes!$G$2:$G$135,Lignes!$B$2:$B$135,A34,Lignes!$N$2:$N$135,1)/F34,0),IF(C34="ZERO_CENT",IF(AND(COUNTIFS(Lignes!$B$2:$B$135,A34)&gt;0,COUNTIFS(Lignes!$B$2:$B$135,A34,Lignes!$N$2:$N$135,0)=0),1,0),O34)))</f>
        <v>0</v>
      </c>
      <c r="N34" s="3" t="n">
        <f aca="false">ROUND(MIN(1,MAX(0,M34))*F34,0)</f>
        <v>0</v>
      </c>
      <c r="O34" s="3" t="n">
        <f aca="false">IF(Dates!$B$3&lt;H34,0,IF(E34&lt;=0,1,MIN(1,(Dates!$B$3-H34+1)/E34)))</f>
        <v>0</v>
      </c>
      <c r="P34" s="3" t="n">
        <f aca="false">O34*G34</f>
        <v>0</v>
      </c>
      <c r="Q34" s="3" t="n">
        <f aca="false">IF(C34="UNITES_PHYSIQUES",IF(F34&gt;0,SUMIFS(Lignes!$Q$2:$Q$135,Lignes!$B$2:$B$135,A34)/F34,0),IF(C34="JALONS_PONDERES",IF(F34&gt;0,SUMIFS(Lignes!$G$2:$G$135,Lignes!$B$2:$B$135,A34,Lignes!$R$2:$R$135,1)/F34,0),IF(C34="ZERO_CENT",IF(AND(COUNTIFS(Lignes!$B$2:$B$135,A34)&gt;0,COUNTIFS(Lignes!$B$2:$B$135,A34,Lignes!$R$2:$R$135,0)=0),1,0),S34)))</f>
        <v>0</v>
      </c>
      <c r="R34" s="3" t="n">
        <f aca="false">ROUND(MIN(1,MAX(0,Q34))*F34,0)</f>
        <v>0</v>
      </c>
      <c r="S34" s="3" t="n">
        <f aca="false">IF(Dates!$B$4&lt;H34,0,IF(E34&lt;=0,1,MIN(1,(Dates!$B$4-H34+1)/E34)))</f>
        <v>0</v>
      </c>
      <c r="T34" s="3" t="n">
        <f aca="false">S34*G34</f>
        <v>0</v>
      </c>
    </row>
    <row r="35" customFormat="false" ht="15" hidden="false" customHeight="false" outlineLevel="0" collapsed="false">
      <c r="A35" s="0" t="s">
        <v>312</v>
      </c>
      <c r="B35" s="0" t="s">
        <v>185</v>
      </c>
      <c r="C35" s="0" t="s">
        <v>447</v>
      </c>
      <c r="D35" s="2" t="n">
        <v>46325</v>
      </c>
      <c r="E35" s="0" t="n">
        <v>20</v>
      </c>
      <c r="F35" s="3" t="n">
        <f aca="false">SUMIFS(Lignes!$G$2:$G$135,Lignes!$B$2:$B$135,A35)</f>
        <v>44952000</v>
      </c>
      <c r="G35" s="3" t="n">
        <f aca="false">ROUND(F35,0)</f>
        <v>44952000</v>
      </c>
      <c r="H35" s="3" t="n">
        <f aca="false">D35-Parametres!$B$9</f>
        <v>242</v>
      </c>
      <c r="I35" s="3" t="n">
        <f aca="false">IF(C35="UNITES_PHYSIQUES",IF(F35&gt;0,SUMIFS(Lignes!$I$2:$I$135,Lignes!$B$2:$B$135,A35)/F35,0),IF(C35="JALONS_PONDERES",IF(F35&gt;0,SUMIFS(Lignes!$G$2:$G$135,Lignes!$B$2:$B$135,A35,Lignes!$J$2:$J$135,1)/F35,0),IF(C35="ZERO_CENT",IF(AND(COUNTIFS(Lignes!$B$2:$B$135,A35)&gt;0,COUNTIFS(Lignes!$B$2:$B$135,A35,Lignes!$J$2:$J$135,0)=0),1,0),K35)))</f>
        <v>0</v>
      </c>
      <c r="J35" s="3" t="n">
        <f aca="false">ROUND(MIN(1,MAX(0,I35))*F35,0)</f>
        <v>0</v>
      </c>
      <c r="K35" s="3" t="n">
        <f aca="false">IF(Dates!$B$2&lt;H35,0,IF(E35&lt;=0,1,MIN(1,(Dates!$B$2-H35+1)/E35)))</f>
        <v>0</v>
      </c>
      <c r="L35" s="3" t="n">
        <f aca="false">K35*G35</f>
        <v>0</v>
      </c>
      <c r="M35" s="3" t="n">
        <f aca="false">IF(C35="UNITES_PHYSIQUES",IF(F35&gt;0,SUMIFS(Lignes!$M$2:$M$135,Lignes!$B$2:$B$135,A35)/F35,0),IF(C35="JALONS_PONDERES",IF(F35&gt;0,SUMIFS(Lignes!$G$2:$G$135,Lignes!$B$2:$B$135,A35,Lignes!$N$2:$N$135,1)/F35,0),IF(C35="ZERO_CENT",IF(AND(COUNTIFS(Lignes!$B$2:$B$135,A35)&gt;0,COUNTIFS(Lignes!$B$2:$B$135,A35,Lignes!$N$2:$N$135,0)=0),1,0),O35)))</f>
        <v>0</v>
      </c>
      <c r="N35" s="3" t="n">
        <f aca="false">ROUND(MIN(1,MAX(0,M35))*F35,0)</f>
        <v>0</v>
      </c>
      <c r="O35" s="3" t="n">
        <f aca="false">IF(Dates!$B$3&lt;H35,0,IF(E35&lt;=0,1,MIN(1,(Dates!$B$3-H35+1)/E35)))</f>
        <v>0</v>
      </c>
      <c r="P35" s="3" t="n">
        <f aca="false">O35*G35</f>
        <v>0</v>
      </c>
      <c r="Q35" s="3" t="n">
        <f aca="false">IF(C35="UNITES_PHYSIQUES",IF(F35&gt;0,SUMIFS(Lignes!$Q$2:$Q$135,Lignes!$B$2:$B$135,A35)/F35,0),IF(C35="JALONS_PONDERES",IF(F35&gt;0,SUMIFS(Lignes!$G$2:$G$135,Lignes!$B$2:$B$135,A35,Lignes!$R$2:$R$135,1)/F35,0),IF(C35="ZERO_CENT",IF(AND(COUNTIFS(Lignes!$B$2:$B$135,A35)&gt;0,COUNTIFS(Lignes!$B$2:$B$135,A35,Lignes!$R$2:$R$135,0)=0),1,0),S35)))</f>
        <v>0</v>
      </c>
      <c r="R35" s="3" t="n">
        <f aca="false">ROUND(MIN(1,MAX(0,Q35))*F35,0)</f>
        <v>0</v>
      </c>
      <c r="S35" s="3" t="n">
        <f aca="false">IF(Dates!$B$4&lt;H35,0,IF(E35&lt;=0,1,MIN(1,(Dates!$B$4-H35+1)/E35)))</f>
        <v>0</v>
      </c>
      <c r="T35" s="3" t="n">
        <f aca="false">S35*G35</f>
        <v>0</v>
      </c>
    </row>
    <row r="36" customFormat="false" ht="15" hidden="false" customHeight="false" outlineLevel="0" collapsed="false">
      <c r="A36" s="0" t="s">
        <v>317</v>
      </c>
      <c r="B36" s="0" t="s">
        <v>185</v>
      </c>
      <c r="C36" s="0" t="s">
        <v>447</v>
      </c>
      <c r="D36" s="2" t="n">
        <v>46345</v>
      </c>
      <c r="E36" s="0" t="n">
        <v>18</v>
      </c>
      <c r="F36" s="3" t="n">
        <f aca="false">SUMIFS(Lignes!$G$2:$G$135,Lignes!$B$2:$B$135,A36)</f>
        <v>13922000</v>
      </c>
      <c r="G36" s="3" t="n">
        <f aca="false">ROUND(F36,0)</f>
        <v>13922000</v>
      </c>
      <c r="H36" s="3" t="n">
        <f aca="false">D36-Parametres!$B$9</f>
        <v>262</v>
      </c>
      <c r="I36" s="3" t="n">
        <f aca="false">IF(C36="UNITES_PHYSIQUES",IF(F36&gt;0,SUMIFS(Lignes!$I$2:$I$135,Lignes!$B$2:$B$135,A36)/F36,0),IF(C36="JALONS_PONDERES",IF(F36&gt;0,SUMIFS(Lignes!$G$2:$G$135,Lignes!$B$2:$B$135,A36,Lignes!$J$2:$J$135,1)/F36,0),IF(C36="ZERO_CENT",IF(AND(COUNTIFS(Lignes!$B$2:$B$135,A36)&gt;0,COUNTIFS(Lignes!$B$2:$B$135,A36,Lignes!$J$2:$J$135,0)=0),1,0),K36)))</f>
        <v>0</v>
      </c>
      <c r="J36" s="3" t="n">
        <f aca="false">ROUND(MIN(1,MAX(0,I36))*F36,0)</f>
        <v>0</v>
      </c>
      <c r="K36" s="3" t="n">
        <f aca="false">IF(Dates!$B$2&lt;H36,0,IF(E36&lt;=0,1,MIN(1,(Dates!$B$2-H36+1)/E36)))</f>
        <v>0</v>
      </c>
      <c r="L36" s="3" t="n">
        <f aca="false">K36*G36</f>
        <v>0</v>
      </c>
      <c r="M36" s="3" t="n">
        <f aca="false">IF(C36="UNITES_PHYSIQUES",IF(F36&gt;0,SUMIFS(Lignes!$M$2:$M$135,Lignes!$B$2:$B$135,A36)/F36,0),IF(C36="JALONS_PONDERES",IF(F36&gt;0,SUMIFS(Lignes!$G$2:$G$135,Lignes!$B$2:$B$135,A36,Lignes!$N$2:$N$135,1)/F36,0),IF(C36="ZERO_CENT",IF(AND(COUNTIFS(Lignes!$B$2:$B$135,A36)&gt;0,COUNTIFS(Lignes!$B$2:$B$135,A36,Lignes!$N$2:$N$135,0)=0),1,0),O36)))</f>
        <v>0</v>
      </c>
      <c r="N36" s="3" t="n">
        <f aca="false">ROUND(MIN(1,MAX(0,M36))*F36,0)</f>
        <v>0</v>
      </c>
      <c r="O36" s="3" t="n">
        <f aca="false">IF(Dates!$B$3&lt;H36,0,IF(E36&lt;=0,1,MIN(1,(Dates!$B$3-H36+1)/E36)))</f>
        <v>0</v>
      </c>
      <c r="P36" s="3" t="n">
        <f aca="false">O36*G36</f>
        <v>0</v>
      </c>
      <c r="Q36" s="3" t="n">
        <f aca="false">IF(C36="UNITES_PHYSIQUES",IF(F36&gt;0,SUMIFS(Lignes!$Q$2:$Q$135,Lignes!$B$2:$B$135,A36)/F36,0),IF(C36="JALONS_PONDERES",IF(F36&gt;0,SUMIFS(Lignes!$G$2:$G$135,Lignes!$B$2:$B$135,A36,Lignes!$R$2:$R$135,1)/F36,0),IF(C36="ZERO_CENT",IF(AND(COUNTIFS(Lignes!$B$2:$B$135,A36)&gt;0,COUNTIFS(Lignes!$B$2:$B$135,A36,Lignes!$R$2:$R$135,0)=0),1,0),S36)))</f>
        <v>0</v>
      </c>
      <c r="R36" s="3" t="n">
        <f aca="false">ROUND(MIN(1,MAX(0,Q36))*F36,0)</f>
        <v>0</v>
      </c>
      <c r="S36" s="3" t="n">
        <f aca="false">IF(Dates!$B$4&lt;H36,0,IF(E36&lt;=0,1,MIN(1,(Dates!$B$4-H36+1)/E36)))</f>
        <v>0</v>
      </c>
      <c r="T36" s="3" t="n">
        <f aca="false">S36*G36</f>
        <v>0</v>
      </c>
    </row>
    <row r="37" customFormat="false" ht="15" hidden="false" customHeight="false" outlineLevel="0" collapsed="false">
      <c r="A37" s="0" t="s">
        <v>322</v>
      </c>
      <c r="B37" s="0" t="s">
        <v>185</v>
      </c>
      <c r="C37" s="0" t="s">
        <v>447</v>
      </c>
      <c r="D37" s="2" t="n">
        <v>46337</v>
      </c>
      <c r="E37" s="0" t="n">
        <v>15</v>
      </c>
      <c r="F37" s="3" t="n">
        <f aca="false">SUMIFS(Lignes!$G$2:$G$135,Lignes!$B$2:$B$135,A37)</f>
        <v>10460000</v>
      </c>
      <c r="G37" s="3" t="n">
        <f aca="false">ROUND(F37,0)</f>
        <v>10460000</v>
      </c>
      <c r="H37" s="3" t="n">
        <f aca="false">D37-Parametres!$B$9</f>
        <v>254</v>
      </c>
      <c r="I37" s="3" t="n">
        <f aca="false">IF(C37="UNITES_PHYSIQUES",IF(F37&gt;0,SUMIFS(Lignes!$I$2:$I$135,Lignes!$B$2:$B$135,A37)/F37,0),IF(C37="JALONS_PONDERES",IF(F37&gt;0,SUMIFS(Lignes!$G$2:$G$135,Lignes!$B$2:$B$135,A37,Lignes!$J$2:$J$135,1)/F37,0),IF(C37="ZERO_CENT",IF(AND(COUNTIFS(Lignes!$B$2:$B$135,A37)&gt;0,COUNTIFS(Lignes!$B$2:$B$135,A37,Lignes!$J$2:$J$135,0)=0),1,0),K37)))</f>
        <v>0</v>
      </c>
      <c r="J37" s="3" t="n">
        <f aca="false">ROUND(MIN(1,MAX(0,I37))*F37,0)</f>
        <v>0</v>
      </c>
      <c r="K37" s="3" t="n">
        <f aca="false">IF(Dates!$B$2&lt;H37,0,IF(E37&lt;=0,1,MIN(1,(Dates!$B$2-H37+1)/E37)))</f>
        <v>0</v>
      </c>
      <c r="L37" s="3" t="n">
        <f aca="false">K37*G37</f>
        <v>0</v>
      </c>
      <c r="M37" s="3" t="n">
        <f aca="false">IF(C37="UNITES_PHYSIQUES",IF(F37&gt;0,SUMIFS(Lignes!$M$2:$M$135,Lignes!$B$2:$B$135,A37)/F37,0),IF(C37="JALONS_PONDERES",IF(F37&gt;0,SUMIFS(Lignes!$G$2:$G$135,Lignes!$B$2:$B$135,A37,Lignes!$N$2:$N$135,1)/F37,0),IF(C37="ZERO_CENT",IF(AND(COUNTIFS(Lignes!$B$2:$B$135,A37)&gt;0,COUNTIFS(Lignes!$B$2:$B$135,A37,Lignes!$N$2:$N$135,0)=0),1,0),O37)))</f>
        <v>0</v>
      </c>
      <c r="N37" s="3" t="n">
        <f aca="false">ROUND(MIN(1,MAX(0,M37))*F37,0)</f>
        <v>0</v>
      </c>
      <c r="O37" s="3" t="n">
        <f aca="false">IF(Dates!$B$3&lt;H37,0,IF(E37&lt;=0,1,MIN(1,(Dates!$B$3-H37+1)/E37)))</f>
        <v>0</v>
      </c>
      <c r="P37" s="3" t="n">
        <f aca="false">O37*G37</f>
        <v>0</v>
      </c>
      <c r="Q37" s="3" t="n">
        <f aca="false">IF(C37="UNITES_PHYSIQUES",IF(F37&gt;0,SUMIFS(Lignes!$Q$2:$Q$135,Lignes!$B$2:$B$135,A37)/F37,0),IF(C37="JALONS_PONDERES",IF(F37&gt;0,SUMIFS(Lignes!$G$2:$G$135,Lignes!$B$2:$B$135,A37,Lignes!$R$2:$R$135,1)/F37,0),IF(C37="ZERO_CENT",IF(AND(COUNTIFS(Lignes!$B$2:$B$135,A37)&gt;0,COUNTIFS(Lignes!$B$2:$B$135,A37,Lignes!$R$2:$R$135,0)=0),1,0),S37)))</f>
        <v>0</v>
      </c>
      <c r="R37" s="3" t="n">
        <f aca="false">ROUND(MIN(1,MAX(0,Q37))*F37,0)</f>
        <v>0</v>
      </c>
      <c r="S37" s="3" t="n">
        <f aca="false">IF(Dates!$B$4&lt;H37,0,IF(E37&lt;=0,1,MIN(1,(Dates!$B$4-H37+1)/E37)))</f>
        <v>0</v>
      </c>
      <c r="T37" s="3" t="n">
        <f aca="false">S37*G37</f>
        <v>0</v>
      </c>
    </row>
    <row r="38" customFormat="false" ht="15" hidden="false" customHeight="false" outlineLevel="0" collapsed="false">
      <c r="A38" s="0" t="s">
        <v>327</v>
      </c>
      <c r="B38" s="0" t="s">
        <v>185</v>
      </c>
      <c r="C38" s="0" t="s">
        <v>447</v>
      </c>
      <c r="D38" s="2" t="n">
        <v>46363</v>
      </c>
      <c r="E38" s="0" t="n">
        <v>10</v>
      </c>
      <c r="F38" s="3" t="n">
        <f aca="false">SUMIFS(Lignes!$G$2:$G$135,Lignes!$B$2:$B$135,A38)</f>
        <v>3108000</v>
      </c>
      <c r="G38" s="3" t="n">
        <f aca="false">ROUND(F38,0)</f>
        <v>3108000</v>
      </c>
      <c r="H38" s="3" t="n">
        <f aca="false">D38-Parametres!$B$9</f>
        <v>280</v>
      </c>
      <c r="I38" s="3" t="n">
        <f aca="false">IF(C38="UNITES_PHYSIQUES",IF(F38&gt;0,SUMIFS(Lignes!$I$2:$I$135,Lignes!$B$2:$B$135,A38)/F38,0),IF(C38="JALONS_PONDERES",IF(F38&gt;0,SUMIFS(Lignes!$G$2:$G$135,Lignes!$B$2:$B$135,A38,Lignes!$J$2:$J$135,1)/F38,0),IF(C38="ZERO_CENT",IF(AND(COUNTIFS(Lignes!$B$2:$B$135,A38)&gt;0,COUNTIFS(Lignes!$B$2:$B$135,A38,Lignes!$J$2:$J$135,0)=0),1,0),K38)))</f>
        <v>0</v>
      </c>
      <c r="J38" s="3" t="n">
        <f aca="false">ROUND(MIN(1,MAX(0,I38))*F38,0)</f>
        <v>0</v>
      </c>
      <c r="K38" s="3" t="n">
        <f aca="false">IF(Dates!$B$2&lt;H38,0,IF(E38&lt;=0,1,MIN(1,(Dates!$B$2-H38+1)/E38)))</f>
        <v>0</v>
      </c>
      <c r="L38" s="3" t="n">
        <f aca="false">K38*G38</f>
        <v>0</v>
      </c>
      <c r="M38" s="3" t="n">
        <f aca="false">IF(C38="UNITES_PHYSIQUES",IF(F38&gt;0,SUMIFS(Lignes!$M$2:$M$135,Lignes!$B$2:$B$135,A38)/F38,0),IF(C38="JALONS_PONDERES",IF(F38&gt;0,SUMIFS(Lignes!$G$2:$G$135,Lignes!$B$2:$B$135,A38,Lignes!$N$2:$N$135,1)/F38,0),IF(C38="ZERO_CENT",IF(AND(COUNTIFS(Lignes!$B$2:$B$135,A38)&gt;0,COUNTIFS(Lignes!$B$2:$B$135,A38,Lignes!$N$2:$N$135,0)=0),1,0),O38)))</f>
        <v>0</v>
      </c>
      <c r="N38" s="3" t="n">
        <f aca="false">ROUND(MIN(1,MAX(0,M38))*F38,0)</f>
        <v>0</v>
      </c>
      <c r="O38" s="3" t="n">
        <f aca="false">IF(Dates!$B$3&lt;H38,0,IF(E38&lt;=0,1,MIN(1,(Dates!$B$3-H38+1)/E38)))</f>
        <v>0</v>
      </c>
      <c r="P38" s="3" t="n">
        <f aca="false">O38*G38</f>
        <v>0</v>
      </c>
      <c r="Q38" s="3" t="n">
        <f aca="false">IF(C38="UNITES_PHYSIQUES",IF(F38&gt;0,SUMIFS(Lignes!$Q$2:$Q$135,Lignes!$B$2:$B$135,A38)/F38,0),IF(C38="JALONS_PONDERES",IF(F38&gt;0,SUMIFS(Lignes!$G$2:$G$135,Lignes!$B$2:$B$135,A38,Lignes!$R$2:$R$135,1)/F38,0),IF(C38="ZERO_CENT",IF(AND(COUNTIFS(Lignes!$B$2:$B$135,A38)&gt;0,COUNTIFS(Lignes!$B$2:$B$135,A38,Lignes!$R$2:$R$135,0)=0),1,0),S38)))</f>
        <v>0</v>
      </c>
      <c r="R38" s="3" t="n">
        <f aca="false">ROUND(MIN(1,MAX(0,Q38))*F38,0)</f>
        <v>0</v>
      </c>
      <c r="S38" s="3" t="n">
        <f aca="false">IF(Dates!$B$4&lt;H38,0,IF(E38&lt;=0,1,MIN(1,(Dates!$B$4-H38+1)/E38)))</f>
        <v>0</v>
      </c>
      <c r="T38" s="3" t="n">
        <f aca="false">S38*G38</f>
        <v>0</v>
      </c>
    </row>
    <row r="39" customFormat="false" ht="15" hidden="false" customHeight="false" outlineLevel="0" collapsed="false">
      <c r="A39" s="0" t="s">
        <v>331</v>
      </c>
      <c r="B39" s="0" t="s">
        <v>178</v>
      </c>
      <c r="C39" s="0" t="s">
        <v>447</v>
      </c>
      <c r="D39" s="2" t="n">
        <v>46255</v>
      </c>
      <c r="E39" s="0" t="n">
        <v>30</v>
      </c>
      <c r="F39" s="3" t="n">
        <f aca="false">SUMIFS(Lignes!$G$2:$G$135,Lignes!$B$2:$B$135,A39)</f>
        <v>22182000</v>
      </c>
      <c r="G39" s="3" t="n">
        <f aca="false">ROUND(F39,0)</f>
        <v>22182000</v>
      </c>
      <c r="H39" s="3" t="n">
        <f aca="false">D39-Parametres!$B$9</f>
        <v>172</v>
      </c>
      <c r="I39" s="3" t="n">
        <f aca="false">IF(C39="UNITES_PHYSIQUES",IF(F39&gt;0,SUMIFS(Lignes!$I$2:$I$135,Lignes!$B$2:$B$135,A39)/F39,0),IF(C39="JALONS_PONDERES",IF(F39&gt;0,SUMIFS(Lignes!$G$2:$G$135,Lignes!$B$2:$B$135,A39,Lignes!$J$2:$J$135,1)/F39,0),IF(C39="ZERO_CENT",IF(AND(COUNTIFS(Lignes!$B$2:$B$135,A39)&gt;0,COUNTIFS(Lignes!$B$2:$B$135,A39,Lignes!$J$2:$J$135,0)=0),1,0),K39)))</f>
        <v>0</v>
      </c>
      <c r="J39" s="3" t="n">
        <f aca="false">ROUND(MIN(1,MAX(0,I39))*F39,0)</f>
        <v>0</v>
      </c>
      <c r="K39" s="3" t="n">
        <f aca="false">IF(Dates!$B$2&lt;H39,0,IF(E39&lt;=0,1,MIN(1,(Dates!$B$2-H39+1)/E39)))</f>
        <v>0</v>
      </c>
      <c r="L39" s="3" t="n">
        <f aca="false">K39*G39</f>
        <v>0</v>
      </c>
      <c r="M39" s="3" t="n">
        <f aca="false">IF(C39="UNITES_PHYSIQUES",IF(F39&gt;0,SUMIFS(Lignes!$M$2:$M$135,Lignes!$B$2:$B$135,A39)/F39,0),IF(C39="JALONS_PONDERES",IF(F39&gt;0,SUMIFS(Lignes!$G$2:$G$135,Lignes!$B$2:$B$135,A39,Lignes!$N$2:$N$135,1)/F39,0),IF(C39="ZERO_CENT",IF(AND(COUNTIFS(Lignes!$B$2:$B$135,A39)&gt;0,COUNTIFS(Lignes!$B$2:$B$135,A39,Lignes!$N$2:$N$135,0)=0),1,0),O39)))</f>
        <v>0</v>
      </c>
      <c r="N39" s="3" t="n">
        <f aca="false">ROUND(MIN(1,MAX(0,M39))*F39,0)</f>
        <v>0</v>
      </c>
      <c r="O39" s="3" t="n">
        <f aca="false">IF(Dates!$B$3&lt;H39,0,IF(E39&lt;=0,1,MIN(1,(Dates!$B$3-H39+1)/E39)))</f>
        <v>0</v>
      </c>
      <c r="P39" s="3" t="n">
        <f aca="false">O39*G39</f>
        <v>0</v>
      </c>
      <c r="Q39" s="3" t="n">
        <f aca="false">IF(C39="UNITES_PHYSIQUES",IF(F39&gt;0,SUMIFS(Lignes!$Q$2:$Q$135,Lignes!$B$2:$B$135,A39)/F39,0),IF(C39="JALONS_PONDERES",IF(F39&gt;0,SUMIFS(Lignes!$G$2:$G$135,Lignes!$B$2:$B$135,A39,Lignes!$R$2:$R$135,1)/F39,0),IF(C39="ZERO_CENT",IF(AND(COUNTIFS(Lignes!$B$2:$B$135,A39)&gt;0,COUNTIFS(Lignes!$B$2:$B$135,A39,Lignes!$R$2:$R$135,0)=0),1,0),S39)))</f>
        <v>0.846063704805698</v>
      </c>
      <c r="R39" s="3" t="n">
        <f aca="false">ROUND(MIN(1,MAX(0,Q39))*F39,0)</f>
        <v>18767385</v>
      </c>
      <c r="S39" s="3" t="n">
        <f aca="false">IF(Dates!$B$4&lt;H39,0,IF(E39&lt;=0,1,MIN(1,(Dates!$B$4-H39+1)/E39)))</f>
        <v>1</v>
      </c>
      <c r="T39" s="3" t="n">
        <f aca="false">S39*G39</f>
        <v>22182000</v>
      </c>
    </row>
    <row r="40" customFormat="false" ht="15" hidden="false" customHeight="false" outlineLevel="0" collapsed="false">
      <c r="A40" s="0" t="s">
        <v>335</v>
      </c>
      <c r="B40" s="0" t="s">
        <v>178</v>
      </c>
      <c r="C40" s="0" t="s">
        <v>447</v>
      </c>
      <c r="D40" s="2" t="n">
        <v>46285</v>
      </c>
      <c r="E40" s="0" t="n">
        <v>38</v>
      </c>
      <c r="F40" s="3" t="n">
        <f aca="false">SUMIFS(Lignes!$G$2:$G$135,Lignes!$B$2:$B$135,A40)</f>
        <v>38880000</v>
      </c>
      <c r="G40" s="3" t="n">
        <f aca="false">ROUND(F40,0)</f>
        <v>38880000</v>
      </c>
      <c r="H40" s="3" t="n">
        <f aca="false">D40-Parametres!$B$9</f>
        <v>202</v>
      </c>
      <c r="I40" s="3" t="n">
        <f aca="false">IF(C40="UNITES_PHYSIQUES",IF(F40&gt;0,SUMIFS(Lignes!$I$2:$I$135,Lignes!$B$2:$B$135,A40)/F40,0),IF(C40="JALONS_PONDERES",IF(F40&gt;0,SUMIFS(Lignes!$G$2:$G$135,Lignes!$B$2:$B$135,A40,Lignes!$J$2:$J$135,1)/F40,0),IF(C40="ZERO_CENT",IF(AND(COUNTIFS(Lignes!$B$2:$B$135,A40)&gt;0,COUNTIFS(Lignes!$B$2:$B$135,A40,Lignes!$J$2:$J$135,0)=0),1,0),K40)))</f>
        <v>0</v>
      </c>
      <c r="J40" s="3" t="n">
        <f aca="false">ROUND(MIN(1,MAX(0,I40))*F40,0)</f>
        <v>0</v>
      </c>
      <c r="K40" s="3" t="n">
        <f aca="false">IF(Dates!$B$2&lt;H40,0,IF(E40&lt;=0,1,MIN(1,(Dates!$B$2-H40+1)/E40)))</f>
        <v>0</v>
      </c>
      <c r="L40" s="3" t="n">
        <f aca="false">K40*G40</f>
        <v>0</v>
      </c>
      <c r="M40" s="3" t="n">
        <f aca="false">IF(C40="UNITES_PHYSIQUES",IF(F40&gt;0,SUMIFS(Lignes!$M$2:$M$135,Lignes!$B$2:$B$135,A40)/F40,0),IF(C40="JALONS_PONDERES",IF(F40&gt;0,SUMIFS(Lignes!$G$2:$G$135,Lignes!$B$2:$B$135,A40,Lignes!$N$2:$N$135,1)/F40,0),IF(C40="ZERO_CENT",IF(AND(COUNTIFS(Lignes!$B$2:$B$135,A40)&gt;0,COUNTIFS(Lignes!$B$2:$B$135,A40,Lignes!$N$2:$N$135,0)=0),1,0),O40)))</f>
        <v>0</v>
      </c>
      <c r="N40" s="3" t="n">
        <f aca="false">ROUND(MIN(1,MAX(0,M40))*F40,0)</f>
        <v>0</v>
      </c>
      <c r="O40" s="3" t="n">
        <f aca="false">IF(Dates!$B$3&lt;H40,0,IF(E40&lt;=0,1,MIN(1,(Dates!$B$3-H40+1)/E40)))</f>
        <v>0</v>
      </c>
      <c r="P40" s="3" t="n">
        <f aca="false">O40*G40</f>
        <v>0</v>
      </c>
      <c r="Q40" s="3" t="n">
        <f aca="false">IF(C40="UNITES_PHYSIQUES",IF(F40&gt;0,SUMIFS(Lignes!$Q$2:$Q$135,Lignes!$B$2:$B$135,A40)/F40,0),IF(C40="JALONS_PONDERES",IF(F40&gt;0,SUMIFS(Lignes!$G$2:$G$135,Lignes!$B$2:$B$135,A40,Lignes!$R$2:$R$135,1)/F40,0),IF(C40="ZERO_CENT",IF(AND(COUNTIFS(Lignes!$B$2:$B$135,A40)&gt;0,COUNTIFS(Lignes!$B$2:$B$135,A40,Lignes!$R$2:$R$135,0)=0),1,0),S40)))</f>
        <v>0</v>
      </c>
      <c r="R40" s="3" t="n">
        <f aca="false">ROUND(MIN(1,MAX(0,Q40))*F40,0)</f>
        <v>0</v>
      </c>
      <c r="S40" s="3" t="n">
        <f aca="false">IF(Dates!$B$4&lt;H40,0,IF(E40&lt;=0,1,MIN(1,(Dates!$B$4-H40+1)/E40)))</f>
        <v>0.210526315789474</v>
      </c>
      <c r="T40" s="3" t="n">
        <f aca="false">S40*G40</f>
        <v>8185263.15789474</v>
      </c>
    </row>
    <row r="41" customFormat="false" ht="15" hidden="false" customHeight="false" outlineLevel="0" collapsed="false">
      <c r="A41" s="0" t="s">
        <v>338</v>
      </c>
      <c r="B41" s="0" t="s">
        <v>178</v>
      </c>
      <c r="C41" s="0" t="s">
        <v>447</v>
      </c>
      <c r="D41" s="2" t="n">
        <v>46363</v>
      </c>
      <c r="E41" s="0" t="n">
        <v>32</v>
      </c>
      <c r="F41" s="3" t="n">
        <f aca="false">SUMIFS(Lignes!$G$2:$G$135,Lignes!$B$2:$B$135,A41)</f>
        <v>17168000</v>
      </c>
      <c r="G41" s="3" t="n">
        <f aca="false">ROUND(F41,0)</f>
        <v>17168000</v>
      </c>
      <c r="H41" s="3" t="n">
        <f aca="false">D41-Parametres!$B$9</f>
        <v>280</v>
      </c>
      <c r="I41" s="3" t="n">
        <f aca="false">IF(C41="UNITES_PHYSIQUES",IF(F41&gt;0,SUMIFS(Lignes!$I$2:$I$135,Lignes!$B$2:$B$135,A41)/F41,0),IF(C41="JALONS_PONDERES",IF(F41&gt;0,SUMIFS(Lignes!$G$2:$G$135,Lignes!$B$2:$B$135,A41,Lignes!$J$2:$J$135,1)/F41,0),IF(C41="ZERO_CENT",IF(AND(COUNTIFS(Lignes!$B$2:$B$135,A41)&gt;0,COUNTIFS(Lignes!$B$2:$B$135,A41,Lignes!$J$2:$J$135,0)=0),1,0),K41)))</f>
        <v>0</v>
      </c>
      <c r="J41" s="3" t="n">
        <f aca="false">ROUND(MIN(1,MAX(0,I41))*F41,0)</f>
        <v>0</v>
      </c>
      <c r="K41" s="3" t="n">
        <f aca="false">IF(Dates!$B$2&lt;H41,0,IF(E41&lt;=0,1,MIN(1,(Dates!$B$2-H41+1)/E41)))</f>
        <v>0</v>
      </c>
      <c r="L41" s="3" t="n">
        <f aca="false">K41*G41</f>
        <v>0</v>
      </c>
      <c r="M41" s="3" t="n">
        <f aca="false">IF(C41="UNITES_PHYSIQUES",IF(F41&gt;0,SUMIFS(Lignes!$M$2:$M$135,Lignes!$B$2:$B$135,A41)/F41,0),IF(C41="JALONS_PONDERES",IF(F41&gt;0,SUMIFS(Lignes!$G$2:$G$135,Lignes!$B$2:$B$135,A41,Lignes!$N$2:$N$135,1)/F41,0),IF(C41="ZERO_CENT",IF(AND(COUNTIFS(Lignes!$B$2:$B$135,A41)&gt;0,COUNTIFS(Lignes!$B$2:$B$135,A41,Lignes!$N$2:$N$135,0)=0),1,0),O41)))</f>
        <v>0</v>
      </c>
      <c r="N41" s="3" t="n">
        <f aca="false">ROUND(MIN(1,MAX(0,M41))*F41,0)</f>
        <v>0</v>
      </c>
      <c r="O41" s="3" t="n">
        <f aca="false">IF(Dates!$B$3&lt;H41,0,IF(E41&lt;=0,1,MIN(1,(Dates!$B$3-H41+1)/E41)))</f>
        <v>0</v>
      </c>
      <c r="P41" s="3" t="n">
        <f aca="false">O41*G41</f>
        <v>0</v>
      </c>
      <c r="Q41" s="3" t="n">
        <f aca="false">IF(C41="UNITES_PHYSIQUES",IF(F41&gt;0,SUMIFS(Lignes!$Q$2:$Q$135,Lignes!$B$2:$B$135,A41)/F41,0),IF(C41="JALONS_PONDERES",IF(F41&gt;0,SUMIFS(Lignes!$G$2:$G$135,Lignes!$B$2:$B$135,A41,Lignes!$R$2:$R$135,1)/F41,0),IF(C41="ZERO_CENT",IF(AND(COUNTIFS(Lignes!$B$2:$B$135,A41)&gt;0,COUNTIFS(Lignes!$B$2:$B$135,A41,Lignes!$R$2:$R$135,0)=0),1,0),S41)))</f>
        <v>0</v>
      </c>
      <c r="R41" s="3" t="n">
        <f aca="false">ROUND(MIN(1,MAX(0,Q41))*F41,0)</f>
        <v>0</v>
      </c>
      <c r="S41" s="3" t="n">
        <f aca="false">IF(Dates!$B$4&lt;H41,0,IF(E41&lt;=0,1,MIN(1,(Dates!$B$4-H41+1)/E41)))</f>
        <v>0</v>
      </c>
      <c r="T41" s="3" t="n">
        <f aca="false">S41*G41</f>
        <v>0</v>
      </c>
    </row>
    <row r="42" customFormat="false" ht="15" hidden="false" customHeight="false" outlineLevel="0" collapsed="false">
      <c r="A42" s="0" t="s">
        <v>341</v>
      </c>
      <c r="B42" s="0" t="s">
        <v>178</v>
      </c>
      <c r="C42" s="0" t="s">
        <v>447</v>
      </c>
      <c r="D42" s="2" t="n">
        <v>46323</v>
      </c>
      <c r="E42" s="0" t="n">
        <v>22</v>
      </c>
      <c r="F42" s="3" t="n">
        <f aca="false">SUMIFS(Lignes!$G$2:$G$135,Lignes!$B$2:$B$135,A42)</f>
        <v>14170000</v>
      </c>
      <c r="G42" s="3" t="n">
        <f aca="false">ROUND(F42,0)</f>
        <v>14170000</v>
      </c>
      <c r="H42" s="3" t="n">
        <f aca="false">D42-Parametres!$B$9</f>
        <v>240</v>
      </c>
      <c r="I42" s="3" t="n">
        <f aca="false">IF(C42="UNITES_PHYSIQUES",IF(F42&gt;0,SUMIFS(Lignes!$I$2:$I$135,Lignes!$B$2:$B$135,A42)/F42,0),IF(C42="JALONS_PONDERES",IF(F42&gt;0,SUMIFS(Lignes!$G$2:$G$135,Lignes!$B$2:$B$135,A42,Lignes!$J$2:$J$135,1)/F42,0),IF(C42="ZERO_CENT",IF(AND(COUNTIFS(Lignes!$B$2:$B$135,A42)&gt;0,COUNTIFS(Lignes!$B$2:$B$135,A42,Lignes!$J$2:$J$135,0)=0),1,0),K42)))</f>
        <v>0</v>
      </c>
      <c r="J42" s="3" t="n">
        <f aca="false">ROUND(MIN(1,MAX(0,I42))*F42,0)</f>
        <v>0</v>
      </c>
      <c r="K42" s="3" t="n">
        <f aca="false">IF(Dates!$B$2&lt;H42,0,IF(E42&lt;=0,1,MIN(1,(Dates!$B$2-H42+1)/E42)))</f>
        <v>0</v>
      </c>
      <c r="L42" s="3" t="n">
        <f aca="false">K42*G42</f>
        <v>0</v>
      </c>
      <c r="M42" s="3" t="n">
        <f aca="false">IF(C42="UNITES_PHYSIQUES",IF(F42&gt;0,SUMIFS(Lignes!$M$2:$M$135,Lignes!$B$2:$B$135,A42)/F42,0),IF(C42="JALONS_PONDERES",IF(F42&gt;0,SUMIFS(Lignes!$G$2:$G$135,Lignes!$B$2:$B$135,A42,Lignes!$N$2:$N$135,1)/F42,0),IF(C42="ZERO_CENT",IF(AND(COUNTIFS(Lignes!$B$2:$B$135,A42)&gt;0,COUNTIFS(Lignes!$B$2:$B$135,A42,Lignes!$N$2:$N$135,0)=0),1,0),O42)))</f>
        <v>0</v>
      </c>
      <c r="N42" s="3" t="n">
        <f aca="false">ROUND(MIN(1,MAX(0,M42))*F42,0)</f>
        <v>0</v>
      </c>
      <c r="O42" s="3" t="n">
        <f aca="false">IF(Dates!$B$3&lt;H42,0,IF(E42&lt;=0,1,MIN(1,(Dates!$B$3-H42+1)/E42)))</f>
        <v>0</v>
      </c>
      <c r="P42" s="3" t="n">
        <f aca="false">O42*G42</f>
        <v>0</v>
      </c>
      <c r="Q42" s="3" t="n">
        <f aca="false">IF(C42="UNITES_PHYSIQUES",IF(F42&gt;0,SUMIFS(Lignes!$Q$2:$Q$135,Lignes!$B$2:$B$135,A42)/F42,0),IF(C42="JALONS_PONDERES",IF(F42&gt;0,SUMIFS(Lignes!$G$2:$G$135,Lignes!$B$2:$B$135,A42,Lignes!$R$2:$R$135,1)/F42,0),IF(C42="ZERO_CENT",IF(AND(COUNTIFS(Lignes!$B$2:$B$135,A42)&gt;0,COUNTIFS(Lignes!$B$2:$B$135,A42,Lignes!$R$2:$R$135,0)=0),1,0),S42)))</f>
        <v>0</v>
      </c>
      <c r="R42" s="3" t="n">
        <f aca="false">ROUND(MIN(1,MAX(0,Q42))*F42,0)</f>
        <v>0</v>
      </c>
      <c r="S42" s="3" t="n">
        <f aca="false">IF(Dates!$B$4&lt;H42,0,IF(E42&lt;=0,1,MIN(1,(Dates!$B$4-H42+1)/E42)))</f>
        <v>0</v>
      </c>
      <c r="T42" s="3" t="n">
        <f aca="false">S42*G42</f>
        <v>0</v>
      </c>
    </row>
    <row r="43" customFormat="false" ht="15" hidden="false" customHeight="false" outlineLevel="0" collapsed="false">
      <c r="A43" s="0" t="s">
        <v>344</v>
      </c>
      <c r="B43" s="0" t="s">
        <v>178</v>
      </c>
      <c r="C43" s="0" t="s">
        <v>447</v>
      </c>
      <c r="D43" s="2" t="n">
        <v>46345</v>
      </c>
      <c r="E43" s="0" t="n">
        <v>34</v>
      </c>
      <c r="F43" s="3" t="n">
        <f aca="false">SUMIFS(Lignes!$G$2:$G$135,Lignes!$B$2:$B$135,A43)</f>
        <v>58872000</v>
      </c>
      <c r="G43" s="3" t="n">
        <f aca="false">ROUND(F43,0)</f>
        <v>58872000</v>
      </c>
      <c r="H43" s="3" t="n">
        <f aca="false">D43-Parametres!$B$9</f>
        <v>262</v>
      </c>
      <c r="I43" s="3" t="n">
        <f aca="false">IF(C43="UNITES_PHYSIQUES",IF(F43&gt;0,SUMIFS(Lignes!$I$2:$I$135,Lignes!$B$2:$B$135,A43)/F43,0),IF(C43="JALONS_PONDERES",IF(F43&gt;0,SUMIFS(Lignes!$G$2:$G$135,Lignes!$B$2:$B$135,A43,Lignes!$J$2:$J$135,1)/F43,0),IF(C43="ZERO_CENT",IF(AND(COUNTIFS(Lignes!$B$2:$B$135,A43)&gt;0,COUNTIFS(Lignes!$B$2:$B$135,A43,Lignes!$J$2:$J$135,0)=0),1,0),K43)))</f>
        <v>0</v>
      </c>
      <c r="J43" s="3" t="n">
        <f aca="false">ROUND(MIN(1,MAX(0,I43))*F43,0)</f>
        <v>0</v>
      </c>
      <c r="K43" s="3" t="n">
        <f aca="false">IF(Dates!$B$2&lt;H43,0,IF(E43&lt;=0,1,MIN(1,(Dates!$B$2-H43+1)/E43)))</f>
        <v>0</v>
      </c>
      <c r="L43" s="3" t="n">
        <f aca="false">K43*G43</f>
        <v>0</v>
      </c>
      <c r="M43" s="3" t="n">
        <f aca="false">IF(C43="UNITES_PHYSIQUES",IF(F43&gt;0,SUMIFS(Lignes!$M$2:$M$135,Lignes!$B$2:$B$135,A43)/F43,0),IF(C43="JALONS_PONDERES",IF(F43&gt;0,SUMIFS(Lignes!$G$2:$G$135,Lignes!$B$2:$B$135,A43,Lignes!$N$2:$N$135,1)/F43,0),IF(C43="ZERO_CENT",IF(AND(COUNTIFS(Lignes!$B$2:$B$135,A43)&gt;0,COUNTIFS(Lignes!$B$2:$B$135,A43,Lignes!$N$2:$N$135,0)=0),1,0),O43)))</f>
        <v>0</v>
      </c>
      <c r="N43" s="3" t="n">
        <f aca="false">ROUND(MIN(1,MAX(0,M43))*F43,0)</f>
        <v>0</v>
      </c>
      <c r="O43" s="3" t="n">
        <f aca="false">IF(Dates!$B$3&lt;H43,0,IF(E43&lt;=0,1,MIN(1,(Dates!$B$3-H43+1)/E43)))</f>
        <v>0</v>
      </c>
      <c r="P43" s="3" t="n">
        <f aca="false">O43*G43</f>
        <v>0</v>
      </c>
      <c r="Q43" s="3" t="n">
        <f aca="false">IF(C43="UNITES_PHYSIQUES",IF(F43&gt;0,SUMIFS(Lignes!$Q$2:$Q$135,Lignes!$B$2:$B$135,A43)/F43,0),IF(C43="JALONS_PONDERES",IF(F43&gt;0,SUMIFS(Lignes!$G$2:$G$135,Lignes!$B$2:$B$135,A43,Lignes!$R$2:$R$135,1)/F43,0),IF(C43="ZERO_CENT",IF(AND(COUNTIFS(Lignes!$B$2:$B$135,A43)&gt;0,COUNTIFS(Lignes!$B$2:$B$135,A43,Lignes!$R$2:$R$135,0)=0),1,0),S43)))</f>
        <v>0</v>
      </c>
      <c r="R43" s="3" t="n">
        <f aca="false">ROUND(MIN(1,MAX(0,Q43))*F43,0)</f>
        <v>0</v>
      </c>
      <c r="S43" s="3" t="n">
        <f aca="false">IF(Dates!$B$4&lt;H43,0,IF(E43&lt;=0,1,MIN(1,(Dates!$B$4-H43+1)/E43)))</f>
        <v>0</v>
      </c>
      <c r="T43" s="3" t="n">
        <f aca="false">S43*G43</f>
        <v>0</v>
      </c>
    </row>
    <row r="44" customFormat="false" ht="15" hidden="false" customHeight="false" outlineLevel="0" collapsed="false">
      <c r="A44" s="0" t="s">
        <v>351</v>
      </c>
      <c r="B44" s="0" t="s">
        <v>178</v>
      </c>
      <c r="C44" s="0" t="s">
        <v>447</v>
      </c>
      <c r="D44" s="2" t="n">
        <v>46395</v>
      </c>
      <c r="E44" s="0" t="n">
        <v>26</v>
      </c>
      <c r="F44" s="3" t="n">
        <f aca="false">SUMIFS(Lignes!$G$2:$G$135,Lignes!$B$2:$B$135,A44)</f>
        <v>35930000</v>
      </c>
      <c r="G44" s="3" t="n">
        <f aca="false">ROUND(F44,0)</f>
        <v>35930000</v>
      </c>
      <c r="H44" s="3" t="n">
        <f aca="false">D44-Parametres!$B$9</f>
        <v>312</v>
      </c>
      <c r="I44" s="3" t="n">
        <f aca="false">IF(C44="UNITES_PHYSIQUES",IF(F44&gt;0,SUMIFS(Lignes!$I$2:$I$135,Lignes!$B$2:$B$135,A44)/F44,0),IF(C44="JALONS_PONDERES",IF(F44&gt;0,SUMIFS(Lignes!$G$2:$G$135,Lignes!$B$2:$B$135,A44,Lignes!$J$2:$J$135,1)/F44,0),IF(C44="ZERO_CENT",IF(AND(COUNTIFS(Lignes!$B$2:$B$135,A44)&gt;0,COUNTIFS(Lignes!$B$2:$B$135,A44,Lignes!$J$2:$J$135,0)=0),1,0),K44)))</f>
        <v>0</v>
      </c>
      <c r="J44" s="3" t="n">
        <f aca="false">ROUND(MIN(1,MAX(0,I44))*F44,0)</f>
        <v>0</v>
      </c>
      <c r="K44" s="3" t="n">
        <f aca="false">IF(Dates!$B$2&lt;H44,0,IF(E44&lt;=0,1,MIN(1,(Dates!$B$2-H44+1)/E44)))</f>
        <v>0</v>
      </c>
      <c r="L44" s="3" t="n">
        <f aca="false">K44*G44</f>
        <v>0</v>
      </c>
      <c r="M44" s="3" t="n">
        <f aca="false">IF(C44="UNITES_PHYSIQUES",IF(F44&gt;0,SUMIFS(Lignes!$M$2:$M$135,Lignes!$B$2:$B$135,A44)/F44,0),IF(C44="JALONS_PONDERES",IF(F44&gt;0,SUMIFS(Lignes!$G$2:$G$135,Lignes!$B$2:$B$135,A44,Lignes!$N$2:$N$135,1)/F44,0),IF(C44="ZERO_CENT",IF(AND(COUNTIFS(Lignes!$B$2:$B$135,A44)&gt;0,COUNTIFS(Lignes!$B$2:$B$135,A44,Lignes!$N$2:$N$135,0)=0),1,0),O44)))</f>
        <v>0</v>
      </c>
      <c r="N44" s="3" t="n">
        <f aca="false">ROUND(MIN(1,MAX(0,M44))*F44,0)</f>
        <v>0</v>
      </c>
      <c r="O44" s="3" t="n">
        <f aca="false">IF(Dates!$B$3&lt;H44,0,IF(E44&lt;=0,1,MIN(1,(Dates!$B$3-H44+1)/E44)))</f>
        <v>0</v>
      </c>
      <c r="P44" s="3" t="n">
        <f aca="false">O44*G44</f>
        <v>0</v>
      </c>
      <c r="Q44" s="3" t="n">
        <f aca="false">IF(C44="UNITES_PHYSIQUES",IF(F44&gt;0,SUMIFS(Lignes!$Q$2:$Q$135,Lignes!$B$2:$B$135,A44)/F44,0),IF(C44="JALONS_PONDERES",IF(F44&gt;0,SUMIFS(Lignes!$G$2:$G$135,Lignes!$B$2:$B$135,A44,Lignes!$R$2:$R$135,1)/F44,0),IF(C44="ZERO_CENT",IF(AND(COUNTIFS(Lignes!$B$2:$B$135,A44)&gt;0,COUNTIFS(Lignes!$B$2:$B$135,A44,Lignes!$R$2:$R$135,0)=0),1,0),S44)))</f>
        <v>0</v>
      </c>
      <c r="R44" s="3" t="n">
        <f aca="false">ROUND(MIN(1,MAX(0,Q44))*F44,0)</f>
        <v>0</v>
      </c>
      <c r="S44" s="3" t="n">
        <f aca="false">IF(Dates!$B$4&lt;H44,0,IF(E44&lt;=0,1,MIN(1,(Dates!$B$4-H44+1)/E44)))</f>
        <v>0</v>
      </c>
      <c r="T44" s="3" t="n">
        <f aca="false">S44*G44</f>
        <v>0</v>
      </c>
    </row>
    <row r="45" customFormat="false" ht="15" hidden="false" customHeight="false" outlineLevel="0" collapsed="false">
      <c r="A45" s="0" t="s">
        <v>356</v>
      </c>
      <c r="B45" s="0" t="s">
        <v>178</v>
      </c>
      <c r="C45" s="0" t="s">
        <v>447</v>
      </c>
      <c r="D45" s="2" t="n">
        <v>46379</v>
      </c>
      <c r="E45" s="0" t="n">
        <v>22</v>
      </c>
      <c r="F45" s="3" t="n">
        <f aca="false">SUMIFS(Lignes!$G$2:$G$135,Lignes!$B$2:$B$135,A45)</f>
        <v>35140000</v>
      </c>
      <c r="G45" s="3" t="n">
        <f aca="false">ROUND(F45,0)</f>
        <v>35140000</v>
      </c>
      <c r="H45" s="3" t="n">
        <f aca="false">D45-Parametres!$B$9</f>
        <v>296</v>
      </c>
      <c r="I45" s="3" t="n">
        <f aca="false">IF(C45="UNITES_PHYSIQUES",IF(F45&gt;0,SUMIFS(Lignes!$I$2:$I$135,Lignes!$B$2:$B$135,A45)/F45,0),IF(C45="JALONS_PONDERES",IF(F45&gt;0,SUMIFS(Lignes!$G$2:$G$135,Lignes!$B$2:$B$135,A45,Lignes!$J$2:$J$135,1)/F45,0),IF(C45="ZERO_CENT",IF(AND(COUNTIFS(Lignes!$B$2:$B$135,A45)&gt;0,COUNTIFS(Lignes!$B$2:$B$135,A45,Lignes!$J$2:$J$135,0)=0),1,0),K45)))</f>
        <v>0</v>
      </c>
      <c r="J45" s="3" t="n">
        <f aca="false">ROUND(MIN(1,MAX(0,I45))*F45,0)</f>
        <v>0</v>
      </c>
      <c r="K45" s="3" t="n">
        <f aca="false">IF(Dates!$B$2&lt;H45,0,IF(E45&lt;=0,1,MIN(1,(Dates!$B$2-H45+1)/E45)))</f>
        <v>0</v>
      </c>
      <c r="L45" s="3" t="n">
        <f aca="false">K45*G45</f>
        <v>0</v>
      </c>
      <c r="M45" s="3" t="n">
        <f aca="false">IF(C45="UNITES_PHYSIQUES",IF(F45&gt;0,SUMIFS(Lignes!$M$2:$M$135,Lignes!$B$2:$B$135,A45)/F45,0),IF(C45="JALONS_PONDERES",IF(F45&gt;0,SUMIFS(Lignes!$G$2:$G$135,Lignes!$B$2:$B$135,A45,Lignes!$N$2:$N$135,1)/F45,0),IF(C45="ZERO_CENT",IF(AND(COUNTIFS(Lignes!$B$2:$B$135,A45)&gt;0,COUNTIFS(Lignes!$B$2:$B$135,A45,Lignes!$N$2:$N$135,0)=0),1,0),O45)))</f>
        <v>0</v>
      </c>
      <c r="N45" s="3" t="n">
        <f aca="false">ROUND(MIN(1,MAX(0,M45))*F45,0)</f>
        <v>0</v>
      </c>
      <c r="O45" s="3" t="n">
        <f aca="false">IF(Dates!$B$3&lt;H45,0,IF(E45&lt;=0,1,MIN(1,(Dates!$B$3-H45+1)/E45)))</f>
        <v>0</v>
      </c>
      <c r="P45" s="3" t="n">
        <f aca="false">O45*G45</f>
        <v>0</v>
      </c>
      <c r="Q45" s="3" t="n">
        <f aca="false">IF(C45="UNITES_PHYSIQUES",IF(F45&gt;0,SUMIFS(Lignes!$Q$2:$Q$135,Lignes!$B$2:$B$135,A45)/F45,0),IF(C45="JALONS_PONDERES",IF(F45&gt;0,SUMIFS(Lignes!$G$2:$G$135,Lignes!$B$2:$B$135,A45,Lignes!$R$2:$R$135,1)/F45,0),IF(C45="ZERO_CENT",IF(AND(COUNTIFS(Lignes!$B$2:$B$135,A45)&gt;0,COUNTIFS(Lignes!$B$2:$B$135,A45,Lignes!$R$2:$R$135,0)=0),1,0),S45)))</f>
        <v>0</v>
      </c>
      <c r="R45" s="3" t="n">
        <f aca="false">ROUND(MIN(1,MAX(0,Q45))*F45,0)</f>
        <v>0</v>
      </c>
      <c r="S45" s="3" t="n">
        <f aca="false">IF(Dates!$B$4&lt;H45,0,IF(E45&lt;=0,1,MIN(1,(Dates!$B$4-H45+1)/E45)))</f>
        <v>0</v>
      </c>
      <c r="T45" s="3" t="n">
        <f aca="false">S45*G45</f>
        <v>0</v>
      </c>
    </row>
    <row r="46" customFormat="false" ht="15" hidden="false" customHeight="false" outlineLevel="0" collapsed="false">
      <c r="A46" s="0" t="s">
        <v>361</v>
      </c>
      <c r="B46" s="0" t="s">
        <v>178</v>
      </c>
      <c r="C46" s="0" t="s">
        <v>447</v>
      </c>
      <c r="D46" s="2" t="n">
        <v>46345</v>
      </c>
      <c r="E46" s="0" t="n">
        <v>18</v>
      </c>
      <c r="F46" s="3" t="n">
        <f aca="false">SUMIFS(Lignes!$G$2:$G$135,Lignes!$B$2:$B$135,A46)</f>
        <v>14624000</v>
      </c>
      <c r="G46" s="3" t="n">
        <f aca="false">ROUND(F46,0)</f>
        <v>14624000</v>
      </c>
      <c r="H46" s="3" t="n">
        <f aca="false">D46-Parametres!$B$9</f>
        <v>262</v>
      </c>
      <c r="I46" s="3" t="n">
        <f aca="false">IF(C46="UNITES_PHYSIQUES",IF(F46&gt;0,SUMIFS(Lignes!$I$2:$I$135,Lignes!$B$2:$B$135,A46)/F46,0),IF(C46="JALONS_PONDERES",IF(F46&gt;0,SUMIFS(Lignes!$G$2:$G$135,Lignes!$B$2:$B$135,A46,Lignes!$J$2:$J$135,1)/F46,0),IF(C46="ZERO_CENT",IF(AND(COUNTIFS(Lignes!$B$2:$B$135,A46)&gt;0,COUNTIFS(Lignes!$B$2:$B$135,A46,Lignes!$J$2:$J$135,0)=0),1,0),K46)))</f>
        <v>0</v>
      </c>
      <c r="J46" s="3" t="n">
        <f aca="false">ROUND(MIN(1,MAX(0,I46))*F46,0)</f>
        <v>0</v>
      </c>
      <c r="K46" s="3" t="n">
        <f aca="false">IF(Dates!$B$2&lt;H46,0,IF(E46&lt;=0,1,MIN(1,(Dates!$B$2-H46+1)/E46)))</f>
        <v>0</v>
      </c>
      <c r="L46" s="3" t="n">
        <f aca="false">K46*G46</f>
        <v>0</v>
      </c>
      <c r="M46" s="3" t="n">
        <f aca="false">IF(C46="UNITES_PHYSIQUES",IF(F46&gt;0,SUMIFS(Lignes!$M$2:$M$135,Lignes!$B$2:$B$135,A46)/F46,0),IF(C46="JALONS_PONDERES",IF(F46&gt;0,SUMIFS(Lignes!$G$2:$G$135,Lignes!$B$2:$B$135,A46,Lignes!$N$2:$N$135,1)/F46,0),IF(C46="ZERO_CENT",IF(AND(COUNTIFS(Lignes!$B$2:$B$135,A46)&gt;0,COUNTIFS(Lignes!$B$2:$B$135,A46,Lignes!$N$2:$N$135,0)=0),1,0),O46)))</f>
        <v>0</v>
      </c>
      <c r="N46" s="3" t="n">
        <f aca="false">ROUND(MIN(1,MAX(0,M46))*F46,0)</f>
        <v>0</v>
      </c>
      <c r="O46" s="3" t="n">
        <f aca="false">IF(Dates!$B$3&lt;H46,0,IF(E46&lt;=0,1,MIN(1,(Dates!$B$3-H46+1)/E46)))</f>
        <v>0</v>
      </c>
      <c r="P46" s="3" t="n">
        <f aca="false">O46*G46</f>
        <v>0</v>
      </c>
      <c r="Q46" s="3" t="n">
        <f aca="false">IF(C46="UNITES_PHYSIQUES",IF(F46&gt;0,SUMIFS(Lignes!$Q$2:$Q$135,Lignes!$B$2:$B$135,A46)/F46,0),IF(C46="JALONS_PONDERES",IF(F46&gt;0,SUMIFS(Lignes!$G$2:$G$135,Lignes!$B$2:$B$135,A46,Lignes!$R$2:$R$135,1)/F46,0),IF(C46="ZERO_CENT",IF(AND(COUNTIFS(Lignes!$B$2:$B$135,A46)&gt;0,COUNTIFS(Lignes!$B$2:$B$135,A46,Lignes!$R$2:$R$135,0)=0),1,0),S46)))</f>
        <v>0</v>
      </c>
      <c r="R46" s="3" t="n">
        <f aca="false">ROUND(MIN(1,MAX(0,Q46))*F46,0)</f>
        <v>0</v>
      </c>
      <c r="S46" s="3" t="n">
        <f aca="false">IF(Dates!$B$4&lt;H46,0,IF(E46&lt;=0,1,MIN(1,(Dates!$B$4-H46+1)/E46)))</f>
        <v>0</v>
      </c>
      <c r="T46" s="3" t="n">
        <f aca="false">S46*G46</f>
        <v>0</v>
      </c>
    </row>
    <row r="47" customFormat="false" ht="15" hidden="false" customHeight="false" outlineLevel="0" collapsed="false">
      <c r="A47" s="0" t="s">
        <v>365</v>
      </c>
      <c r="B47" s="0" t="s">
        <v>179</v>
      </c>
      <c r="C47" s="0" t="s">
        <v>447</v>
      </c>
      <c r="D47" s="2" t="n">
        <v>46267</v>
      </c>
      <c r="E47" s="0" t="n">
        <v>24</v>
      </c>
      <c r="F47" s="3" t="n">
        <f aca="false">SUMIFS(Lignes!$G$2:$G$135,Lignes!$B$2:$B$135,A47)</f>
        <v>14568000</v>
      </c>
      <c r="G47" s="3" t="n">
        <f aca="false">ROUND(F47,0)</f>
        <v>14568000</v>
      </c>
      <c r="H47" s="3" t="n">
        <f aca="false">D47-Parametres!$B$9</f>
        <v>184</v>
      </c>
      <c r="I47" s="3" t="n">
        <f aca="false">IF(C47="UNITES_PHYSIQUES",IF(F47&gt;0,SUMIFS(Lignes!$I$2:$I$135,Lignes!$B$2:$B$135,A47)/F47,0),IF(C47="JALONS_PONDERES",IF(F47&gt;0,SUMIFS(Lignes!$G$2:$G$135,Lignes!$B$2:$B$135,A47,Lignes!$J$2:$J$135,1)/F47,0),IF(C47="ZERO_CENT",IF(AND(COUNTIFS(Lignes!$B$2:$B$135,A47)&gt;0,COUNTIFS(Lignes!$B$2:$B$135,A47,Lignes!$J$2:$J$135,0)=0),1,0),K47)))</f>
        <v>0</v>
      </c>
      <c r="J47" s="3" t="n">
        <f aca="false">ROUND(MIN(1,MAX(0,I47))*F47,0)</f>
        <v>0</v>
      </c>
      <c r="K47" s="3" t="n">
        <f aca="false">IF(Dates!$B$2&lt;H47,0,IF(E47&lt;=0,1,MIN(1,(Dates!$B$2-H47+1)/E47)))</f>
        <v>0</v>
      </c>
      <c r="L47" s="3" t="n">
        <f aca="false">K47*G47</f>
        <v>0</v>
      </c>
      <c r="M47" s="3" t="n">
        <f aca="false">IF(C47="UNITES_PHYSIQUES",IF(F47&gt;0,SUMIFS(Lignes!$M$2:$M$135,Lignes!$B$2:$B$135,A47)/F47,0),IF(C47="JALONS_PONDERES",IF(F47&gt;0,SUMIFS(Lignes!$G$2:$G$135,Lignes!$B$2:$B$135,A47,Lignes!$N$2:$N$135,1)/F47,0),IF(C47="ZERO_CENT",IF(AND(COUNTIFS(Lignes!$B$2:$B$135,A47)&gt;0,COUNTIFS(Lignes!$B$2:$B$135,A47,Lignes!$N$2:$N$135,0)=0),1,0),O47)))</f>
        <v>0</v>
      </c>
      <c r="N47" s="3" t="n">
        <f aca="false">ROUND(MIN(1,MAX(0,M47))*F47,0)</f>
        <v>0</v>
      </c>
      <c r="O47" s="3" t="n">
        <f aca="false">IF(Dates!$B$3&lt;H47,0,IF(E47&lt;=0,1,MIN(1,(Dates!$B$3-H47+1)/E47)))</f>
        <v>0</v>
      </c>
      <c r="P47" s="3" t="n">
        <f aca="false">O47*G47</f>
        <v>0</v>
      </c>
      <c r="Q47" s="3" t="n">
        <f aca="false">IF(C47="UNITES_PHYSIQUES",IF(F47&gt;0,SUMIFS(Lignes!$Q$2:$Q$135,Lignes!$B$2:$B$135,A47)/F47,0),IF(C47="JALONS_PONDERES",IF(F47&gt;0,SUMIFS(Lignes!$G$2:$G$135,Lignes!$B$2:$B$135,A47,Lignes!$R$2:$R$135,1)/F47,0),IF(C47="ZERO_CENT",IF(AND(COUNTIFS(Lignes!$B$2:$B$135,A47)&gt;0,COUNTIFS(Lignes!$B$2:$B$135,A47,Lignes!$R$2:$R$135,0)=0),1,0),S47)))</f>
        <v>0.540278075233388</v>
      </c>
      <c r="R47" s="3" t="n">
        <f aca="false">ROUND(MIN(1,MAX(0,Q47))*F47,0)</f>
        <v>7870771</v>
      </c>
      <c r="S47" s="3" t="n">
        <f aca="false">IF(Dates!$B$4&lt;H47,0,IF(E47&lt;=0,1,MIN(1,(Dates!$B$4-H47+1)/E47)))</f>
        <v>1</v>
      </c>
      <c r="T47" s="3" t="n">
        <f aca="false">S47*G47</f>
        <v>14568000</v>
      </c>
    </row>
    <row r="48" customFormat="false" ht="15" hidden="false" customHeight="false" outlineLevel="0" collapsed="false">
      <c r="A48" s="0" t="s">
        <v>369</v>
      </c>
      <c r="B48" s="0" t="s">
        <v>179</v>
      </c>
      <c r="C48" s="0" t="s">
        <v>447</v>
      </c>
      <c r="D48" s="2" t="n">
        <v>46291</v>
      </c>
      <c r="E48" s="0" t="n">
        <v>20</v>
      </c>
      <c r="F48" s="3" t="n">
        <f aca="false">SUMIFS(Lignes!$G$2:$G$135,Lignes!$B$2:$B$135,A48)</f>
        <v>6616800</v>
      </c>
      <c r="G48" s="3" t="n">
        <f aca="false">ROUND(F48,0)</f>
        <v>6616800</v>
      </c>
      <c r="H48" s="3" t="n">
        <f aca="false">D48-Parametres!$B$9</f>
        <v>208</v>
      </c>
      <c r="I48" s="3" t="n">
        <f aca="false">IF(C48="UNITES_PHYSIQUES",IF(F48&gt;0,SUMIFS(Lignes!$I$2:$I$135,Lignes!$B$2:$B$135,A48)/F48,0),IF(C48="JALONS_PONDERES",IF(F48&gt;0,SUMIFS(Lignes!$G$2:$G$135,Lignes!$B$2:$B$135,A48,Lignes!$J$2:$J$135,1)/F48,0),IF(C48="ZERO_CENT",IF(AND(COUNTIFS(Lignes!$B$2:$B$135,A48)&gt;0,COUNTIFS(Lignes!$B$2:$B$135,A48,Lignes!$J$2:$J$135,0)=0),1,0),K48)))</f>
        <v>0</v>
      </c>
      <c r="J48" s="3" t="n">
        <f aca="false">ROUND(MIN(1,MAX(0,I48))*F48,0)</f>
        <v>0</v>
      </c>
      <c r="K48" s="3" t="n">
        <f aca="false">IF(Dates!$B$2&lt;H48,0,IF(E48&lt;=0,1,MIN(1,(Dates!$B$2-H48+1)/E48)))</f>
        <v>0</v>
      </c>
      <c r="L48" s="3" t="n">
        <f aca="false">K48*G48</f>
        <v>0</v>
      </c>
      <c r="M48" s="3" t="n">
        <f aca="false">IF(C48="UNITES_PHYSIQUES",IF(F48&gt;0,SUMIFS(Lignes!$M$2:$M$135,Lignes!$B$2:$B$135,A48)/F48,0),IF(C48="JALONS_PONDERES",IF(F48&gt;0,SUMIFS(Lignes!$G$2:$G$135,Lignes!$B$2:$B$135,A48,Lignes!$N$2:$N$135,1)/F48,0),IF(C48="ZERO_CENT",IF(AND(COUNTIFS(Lignes!$B$2:$B$135,A48)&gt;0,COUNTIFS(Lignes!$B$2:$B$135,A48,Lignes!$N$2:$N$135,0)=0),1,0),O48)))</f>
        <v>0</v>
      </c>
      <c r="N48" s="3" t="n">
        <f aca="false">ROUND(MIN(1,MAX(0,M48))*F48,0)</f>
        <v>0</v>
      </c>
      <c r="O48" s="3" t="n">
        <f aca="false">IF(Dates!$B$3&lt;H48,0,IF(E48&lt;=0,1,MIN(1,(Dates!$B$3-H48+1)/E48)))</f>
        <v>0</v>
      </c>
      <c r="P48" s="3" t="n">
        <f aca="false">O48*G48</f>
        <v>0</v>
      </c>
      <c r="Q48" s="3" t="n">
        <f aca="false">IF(C48="UNITES_PHYSIQUES",IF(F48&gt;0,SUMIFS(Lignes!$Q$2:$Q$135,Lignes!$B$2:$B$135,A48)/F48,0),IF(C48="JALONS_PONDERES",IF(F48&gt;0,SUMIFS(Lignes!$G$2:$G$135,Lignes!$B$2:$B$135,A48,Lignes!$R$2:$R$135,1)/F48,0),IF(C48="ZERO_CENT",IF(AND(COUNTIFS(Lignes!$B$2:$B$135,A48)&gt;0,COUNTIFS(Lignes!$B$2:$B$135,A48,Lignes!$R$2:$R$135,0)=0),1,0),S48)))</f>
        <v>0</v>
      </c>
      <c r="R48" s="3" t="n">
        <f aca="false">ROUND(MIN(1,MAX(0,Q48))*F48,0)</f>
        <v>0</v>
      </c>
      <c r="S48" s="3" t="n">
        <f aca="false">IF(Dates!$B$4&lt;H48,0,IF(E48&lt;=0,1,MIN(1,(Dates!$B$4-H48+1)/E48)))</f>
        <v>0.1</v>
      </c>
      <c r="T48" s="3" t="n">
        <f aca="false">S48*G48</f>
        <v>661680</v>
      </c>
    </row>
    <row r="49" customFormat="false" ht="15" hidden="false" customHeight="false" outlineLevel="0" collapsed="false">
      <c r="A49" s="0" t="s">
        <v>374</v>
      </c>
      <c r="B49" s="0" t="s">
        <v>179</v>
      </c>
      <c r="C49" s="0" t="s">
        <v>447</v>
      </c>
      <c r="D49" s="2" t="n">
        <v>46379</v>
      </c>
      <c r="E49" s="0" t="n">
        <v>16</v>
      </c>
      <c r="F49" s="3" t="n">
        <f aca="false">SUMIFS(Lignes!$G$2:$G$135,Lignes!$B$2:$B$135,A49)</f>
        <v>14520000</v>
      </c>
      <c r="G49" s="3" t="n">
        <f aca="false">ROUND(F49,0)</f>
        <v>14520000</v>
      </c>
      <c r="H49" s="3" t="n">
        <f aca="false">D49-Parametres!$B$9</f>
        <v>296</v>
      </c>
      <c r="I49" s="3" t="n">
        <f aca="false">IF(C49="UNITES_PHYSIQUES",IF(F49&gt;0,SUMIFS(Lignes!$I$2:$I$135,Lignes!$B$2:$B$135,A49)/F49,0),IF(C49="JALONS_PONDERES",IF(F49&gt;0,SUMIFS(Lignes!$G$2:$G$135,Lignes!$B$2:$B$135,A49,Lignes!$J$2:$J$135,1)/F49,0),IF(C49="ZERO_CENT",IF(AND(COUNTIFS(Lignes!$B$2:$B$135,A49)&gt;0,COUNTIFS(Lignes!$B$2:$B$135,A49,Lignes!$J$2:$J$135,0)=0),1,0),K49)))</f>
        <v>0</v>
      </c>
      <c r="J49" s="3" t="n">
        <f aca="false">ROUND(MIN(1,MAX(0,I49))*F49,0)</f>
        <v>0</v>
      </c>
      <c r="K49" s="3" t="n">
        <f aca="false">IF(Dates!$B$2&lt;H49,0,IF(E49&lt;=0,1,MIN(1,(Dates!$B$2-H49+1)/E49)))</f>
        <v>0</v>
      </c>
      <c r="L49" s="3" t="n">
        <f aca="false">K49*G49</f>
        <v>0</v>
      </c>
      <c r="M49" s="3" t="n">
        <f aca="false">IF(C49="UNITES_PHYSIQUES",IF(F49&gt;0,SUMIFS(Lignes!$M$2:$M$135,Lignes!$B$2:$B$135,A49)/F49,0),IF(C49="JALONS_PONDERES",IF(F49&gt;0,SUMIFS(Lignes!$G$2:$G$135,Lignes!$B$2:$B$135,A49,Lignes!$N$2:$N$135,1)/F49,0),IF(C49="ZERO_CENT",IF(AND(COUNTIFS(Lignes!$B$2:$B$135,A49)&gt;0,COUNTIFS(Lignes!$B$2:$B$135,A49,Lignes!$N$2:$N$135,0)=0),1,0),O49)))</f>
        <v>0</v>
      </c>
      <c r="N49" s="3" t="n">
        <f aca="false">ROUND(MIN(1,MAX(0,M49))*F49,0)</f>
        <v>0</v>
      </c>
      <c r="O49" s="3" t="n">
        <f aca="false">IF(Dates!$B$3&lt;H49,0,IF(E49&lt;=0,1,MIN(1,(Dates!$B$3-H49+1)/E49)))</f>
        <v>0</v>
      </c>
      <c r="P49" s="3" t="n">
        <f aca="false">O49*G49</f>
        <v>0</v>
      </c>
      <c r="Q49" s="3" t="n">
        <f aca="false">IF(C49="UNITES_PHYSIQUES",IF(F49&gt;0,SUMIFS(Lignes!$Q$2:$Q$135,Lignes!$B$2:$B$135,A49)/F49,0),IF(C49="JALONS_PONDERES",IF(F49&gt;0,SUMIFS(Lignes!$G$2:$G$135,Lignes!$B$2:$B$135,A49,Lignes!$R$2:$R$135,1)/F49,0),IF(C49="ZERO_CENT",IF(AND(COUNTIFS(Lignes!$B$2:$B$135,A49)&gt;0,COUNTIFS(Lignes!$B$2:$B$135,A49,Lignes!$R$2:$R$135,0)=0),1,0),S49)))</f>
        <v>0</v>
      </c>
      <c r="R49" s="3" t="n">
        <f aca="false">ROUND(MIN(1,MAX(0,Q49))*F49,0)</f>
        <v>0</v>
      </c>
      <c r="S49" s="3" t="n">
        <f aca="false">IF(Dates!$B$4&lt;H49,0,IF(E49&lt;=0,1,MIN(1,(Dates!$B$4-H49+1)/E49)))</f>
        <v>0</v>
      </c>
      <c r="T49" s="3" t="n">
        <f aca="false">S49*G49</f>
        <v>0</v>
      </c>
    </row>
    <row r="50" customFormat="false" ht="15" hidden="false" customHeight="false" outlineLevel="0" collapsed="false">
      <c r="A50" s="0" t="s">
        <v>378</v>
      </c>
      <c r="B50" s="0" t="s">
        <v>179</v>
      </c>
      <c r="C50" s="0" t="s">
        <v>447</v>
      </c>
      <c r="D50" s="2" t="n">
        <v>46263</v>
      </c>
      <c r="E50" s="0" t="n">
        <v>26</v>
      </c>
      <c r="F50" s="3" t="n">
        <f aca="false">SUMIFS(Lignes!$G$2:$G$135,Lignes!$B$2:$B$135,A50)</f>
        <v>10848000</v>
      </c>
      <c r="G50" s="3" t="n">
        <f aca="false">ROUND(F50,0)</f>
        <v>10848000</v>
      </c>
      <c r="H50" s="3" t="n">
        <f aca="false">D50-Parametres!$B$9</f>
        <v>180</v>
      </c>
      <c r="I50" s="3" t="n">
        <f aca="false">IF(C50="UNITES_PHYSIQUES",IF(F50&gt;0,SUMIFS(Lignes!$I$2:$I$135,Lignes!$B$2:$B$135,A50)/F50,0),IF(C50="JALONS_PONDERES",IF(F50&gt;0,SUMIFS(Lignes!$G$2:$G$135,Lignes!$B$2:$B$135,A50,Lignes!$J$2:$J$135,1)/F50,0),IF(C50="ZERO_CENT",IF(AND(COUNTIFS(Lignes!$B$2:$B$135,A50)&gt;0,COUNTIFS(Lignes!$B$2:$B$135,A50,Lignes!$J$2:$J$135,0)=0),1,0),K50)))</f>
        <v>0</v>
      </c>
      <c r="J50" s="3" t="n">
        <f aca="false">ROUND(MIN(1,MAX(0,I50))*F50,0)</f>
        <v>0</v>
      </c>
      <c r="K50" s="3" t="n">
        <f aca="false">IF(Dates!$B$2&lt;H50,0,IF(E50&lt;=0,1,MIN(1,(Dates!$B$2-H50+1)/E50)))</f>
        <v>0</v>
      </c>
      <c r="L50" s="3" t="n">
        <f aca="false">K50*G50</f>
        <v>0</v>
      </c>
      <c r="M50" s="3" t="n">
        <f aca="false">IF(C50="UNITES_PHYSIQUES",IF(F50&gt;0,SUMIFS(Lignes!$M$2:$M$135,Lignes!$B$2:$B$135,A50)/F50,0),IF(C50="JALONS_PONDERES",IF(F50&gt;0,SUMIFS(Lignes!$G$2:$G$135,Lignes!$B$2:$B$135,A50,Lignes!$N$2:$N$135,1)/F50,0),IF(C50="ZERO_CENT",IF(AND(COUNTIFS(Lignes!$B$2:$B$135,A50)&gt;0,COUNTIFS(Lignes!$B$2:$B$135,A50,Lignes!$N$2:$N$135,0)=0),1,0),O50)))</f>
        <v>0</v>
      </c>
      <c r="N50" s="3" t="n">
        <f aca="false">ROUND(MIN(1,MAX(0,M50))*F50,0)</f>
        <v>0</v>
      </c>
      <c r="O50" s="3" t="n">
        <f aca="false">IF(Dates!$B$3&lt;H50,0,IF(E50&lt;=0,1,MIN(1,(Dates!$B$3-H50+1)/E50)))</f>
        <v>0</v>
      </c>
      <c r="P50" s="3" t="n">
        <f aca="false">O50*G50</f>
        <v>0</v>
      </c>
      <c r="Q50" s="3" t="n">
        <f aca="false">IF(C50="UNITES_PHYSIQUES",IF(F50&gt;0,SUMIFS(Lignes!$Q$2:$Q$135,Lignes!$B$2:$B$135,A50)/F50,0),IF(C50="JALONS_PONDERES",IF(F50&gt;0,SUMIFS(Lignes!$G$2:$G$135,Lignes!$B$2:$B$135,A50,Lignes!$R$2:$R$135,1)/F50,0),IF(C50="ZERO_CENT",IF(AND(COUNTIFS(Lignes!$B$2:$B$135,A50)&gt;0,COUNTIFS(Lignes!$B$2:$B$135,A50,Lignes!$R$2:$R$135,0)=0),1,0),S50)))</f>
        <v>0.631433738938053</v>
      </c>
      <c r="R50" s="3" t="n">
        <f aca="false">ROUND(MIN(1,MAX(0,Q50))*F50,0)</f>
        <v>6849793</v>
      </c>
      <c r="S50" s="3" t="n">
        <f aca="false">IF(Dates!$B$4&lt;H50,0,IF(E50&lt;=0,1,MIN(1,(Dates!$B$4-H50+1)/E50)))</f>
        <v>1</v>
      </c>
      <c r="T50" s="3" t="n">
        <f aca="false">S50*G50</f>
        <v>10848000</v>
      </c>
    </row>
    <row r="51" customFormat="false" ht="15" hidden="false" customHeight="false" outlineLevel="0" collapsed="false">
      <c r="A51" s="0" t="s">
        <v>382</v>
      </c>
      <c r="B51" s="0" t="s">
        <v>179</v>
      </c>
      <c r="C51" s="0" t="s">
        <v>447</v>
      </c>
      <c r="D51" s="2" t="n">
        <v>46289</v>
      </c>
      <c r="E51" s="0" t="n">
        <v>24</v>
      </c>
      <c r="F51" s="3" t="n">
        <f aca="false">SUMIFS(Lignes!$G$2:$G$135,Lignes!$B$2:$B$135,A51)</f>
        <v>25440000</v>
      </c>
      <c r="G51" s="3" t="n">
        <f aca="false">ROUND(F51,0)</f>
        <v>25440000</v>
      </c>
      <c r="H51" s="3" t="n">
        <f aca="false">D51-Parametres!$B$9</f>
        <v>206</v>
      </c>
      <c r="I51" s="3" t="n">
        <f aca="false">IF(C51="UNITES_PHYSIQUES",IF(F51&gt;0,SUMIFS(Lignes!$I$2:$I$135,Lignes!$B$2:$B$135,A51)/F51,0),IF(C51="JALONS_PONDERES",IF(F51&gt;0,SUMIFS(Lignes!$G$2:$G$135,Lignes!$B$2:$B$135,A51,Lignes!$J$2:$J$135,1)/F51,0),IF(C51="ZERO_CENT",IF(AND(COUNTIFS(Lignes!$B$2:$B$135,A51)&gt;0,COUNTIFS(Lignes!$B$2:$B$135,A51,Lignes!$J$2:$J$135,0)=0),1,0),K51)))</f>
        <v>0</v>
      </c>
      <c r="J51" s="3" t="n">
        <f aca="false">ROUND(MIN(1,MAX(0,I51))*F51,0)</f>
        <v>0</v>
      </c>
      <c r="K51" s="3" t="n">
        <f aca="false">IF(Dates!$B$2&lt;H51,0,IF(E51&lt;=0,1,MIN(1,(Dates!$B$2-H51+1)/E51)))</f>
        <v>0</v>
      </c>
      <c r="L51" s="3" t="n">
        <f aca="false">K51*G51</f>
        <v>0</v>
      </c>
      <c r="M51" s="3" t="n">
        <f aca="false">IF(C51="UNITES_PHYSIQUES",IF(F51&gt;0,SUMIFS(Lignes!$M$2:$M$135,Lignes!$B$2:$B$135,A51)/F51,0),IF(C51="JALONS_PONDERES",IF(F51&gt;0,SUMIFS(Lignes!$G$2:$G$135,Lignes!$B$2:$B$135,A51,Lignes!$N$2:$N$135,1)/F51,0),IF(C51="ZERO_CENT",IF(AND(COUNTIFS(Lignes!$B$2:$B$135,A51)&gt;0,COUNTIFS(Lignes!$B$2:$B$135,A51,Lignes!$N$2:$N$135,0)=0),1,0),O51)))</f>
        <v>0</v>
      </c>
      <c r="N51" s="3" t="n">
        <f aca="false">ROUND(MIN(1,MAX(0,M51))*F51,0)</f>
        <v>0</v>
      </c>
      <c r="O51" s="3" t="n">
        <f aca="false">IF(Dates!$B$3&lt;H51,0,IF(E51&lt;=0,1,MIN(1,(Dates!$B$3-H51+1)/E51)))</f>
        <v>0</v>
      </c>
      <c r="P51" s="3" t="n">
        <f aca="false">O51*G51</f>
        <v>0</v>
      </c>
      <c r="Q51" s="3" t="n">
        <f aca="false">IF(C51="UNITES_PHYSIQUES",IF(F51&gt;0,SUMIFS(Lignes!$Q$2:$Q$135,Lignes!$B$2:$B$135,A51)/F51,0),IF(C51="JALONS_PONDERES",IF(F51&gt;0,SUMIFS(Lignes!$G$2:$G$135,Lignes!$B$2:$B$135,A51,Lignes!$R$2:$R$135,1)/F51,0),IF(C51="ZERO_CENT",IF(AND(COUNTIFS(Lignes!$B$2:$B$135,A51)&gt;0,COUNTIFS(Lignes!$B$2:$B$135,A51,Lignes!$R$2:$R$135,0)=0),1,0),S51)))</f>
        <v>0</v>
      </c>
      <c r="R51" s="3" t="n">
        <f aca="false">ROUND(MIN(1,MAX(0,Q51))*F51,0)</f>
        <v>0</v>
      </c>
      <c r="S51" s="3" t="n">
        <f aca="false">IF(Dates!$B$4&lt;H51,0,IF(E51&lt;=0,1,MIN(1,(Dates!$B$4-H51+1)/E51)))</f>
        <v>0.166666666666667</v>
      </c>
      <c r="T51" s="3" t="n">
        <f aca="false">S51*G51</f>
        <v>4240000</v>
      </c>
    </row>
    <row r="52" customFormat="false" ht="15" hidden="false" customHeight="false" outlineLevel="0" collapsed="false">
      <c r="A52" s="0" t="s">
        <v>389</v>
      </c>
      <c r="B52" s="0" t="s">
        <v>179</v>
      </c>
      <c r="C52" s="0" t="s">
        <v>447</v>
      </c>
      <c r="D52" s="2" t="n">
        <v>46379</v>
      </c>
      <c r="E52" s="0" t="n">
        <v>18</v>
      </c>
      <c r="F52" s="3" t="n">
        <f aca="false">SUMIFS(Lignes!$G$2:$G$135,Lignes!$B$2:$B$135,A52)</f>
        <v>30912000</v>
      </c>
      <c r="G52" s="3" t="n">
        <f aca="false">ROUND(F52,0)</f>
        <v>30912000</v>
      </c>
      <c r="H52" s="3" t="n">
        <f aca="false">D52-Parametres!$B$9</f>
        <v>296</v>
      </c>
      <c r="I52" s="3" t="n">
        <f aca="false">IF(C52="UNITES_PHYSIQUES",IF(F52&gt;0,SUMIFS(Lignes!$I$2:$I$135,Lignes!$B$2:$B$135,A52)/F52,0),IF(C52="JALONS_PONDERES",IF(F52&gt;0,SUMIFS(Lignes!$G$2:$G$135,Lignes!$B$2:$B$135,A52,Lignes!$J$2:$J$135,1)/F52,0),IF(C52="ZERO_CENT",IF(AND(COUNTIFS(Lignes!$B$2:$B$135,A52)&gt;0,COUNTIFS(Lignes!$B$2:$B$135,A52,Lignes!$J$2:$J$135,0)=0),1,0),K52)))</f>
        <v>0</v>
      </c>
      <c r="J52" s="3" t="n">
        <f aca="false">ROUND(MIN(1,MAX(0,I52))*F52,0)</f>
        <v>0</v>
      </c>
      <c r="K52" s="3" t="n">
        <f aca="false">IF(Dates!$B$2&lt;H52,0,IF(E52&lt;=0,1,MIN(1,(Dates!$B$2-H52+1)/E52)))</f>
        <v>0</v>
      </c>
      <c r="L52" s="3" t="n">
        <f aca="false">K52*G52</f>
        <v>0</v>
      </c>
      <c r="M52" s="3" t="n">
        <f aca="false">IF(C52="UNITES_PHYSIQUES",IF(F52&gt;0,SUMIFS(Lignes!$M$2:$M$135,Lignes!$B$2:$B$135,A52)/F52,0),IF(C52="JALONS_PONDERES",IF(F52&gt;0,SUMIFS(Lignes!$G$2:$G$135,Lignes!$B$2:$B$135,A52,Lignes!$N$2:$N$135,1)/F52,0),IF(C52="ZERO_CENT",IF(AND(COUNTIFS(Lignes!$B$2:$B$135,A52)&gt;0,COUNTIFS(Lignes!$B$2:$B$135,A52,Lignes!$N$2:$N$135,0)=0),1,0),O52)))</f>
        <v>0</v>
      </c>
      <c r="N52" s="3" t="n">
        <f aca="false">ROUND(MIN(1,MAX(0,M52))*F52,0)</f>
        <v>0</v>
      </c>
      <c r="O52" s="3" t="n">
        <f aca="false">IF(Dates!$B$3&lt;H52,0,IF(E52&lt;=0,1,MIN(1,(Dates!$B$3-H52+1)/E52)))</f>
        <v>0</v>
      </c>
      <c r="P52" s="3" t="n">
        <f aca="false">O52*G52</f>
        <v>0</v>
      </c>
      <c r="Q52" s="3" t="n">
        <f aca="false">IF(C52="UNITES_PHYSIQUES",IF(F52&gt;0,SUMIFS(Lignes!$Q$2:$Q$135,Lignes!$B$2:$B$135,A52)/F52,0),IF(C52="JALONS_PONDERES",IF(F52&gt;0,SUMIFS(Lignes!$G$2:$G$135,Lignes!$B$2:$B$135,A52,Lignes!$R$2:$R$135,1)/F52,0),IF(C52="ZERO_CENT",IF(AND(COUNTIFS(Lignes!$B$2:$B$135,A52)&gt;0,COUNTIFS(Lignes!$B$2:$B$135,A52,Lignes!$R$2:$R$135,0)=0),1,0),S52)))</f>
        <v>0</v>
      </c>
      <c r="R52" s="3" t="n">
        <f aca="false">ROUND(MIN(1,MAX(0,Q52))*F52,0)</f>
        <v>0</v>
      </c>
      <c r="S52" s="3" t="n">
        <f aca="false">IF(Dates!$B$4&lt;H52,0,IF(E52&lt;=0,1,MIN(1,(Dates!$B$4-H52+1)/E52)))</f>
        <v>0</v>
      </c>
      <c r="T52" s="3" t="n">
        <f aca="false">S52*G52</f>
        <v>0</v>
      </c>
    </row>
    <row r="53" customFormat="false" ht="15" hidden="false" customHeight="false" outlineLevel="0" collapsed="false">
      <c r="A53" s="0" t="s">
        <v>394</v>
      </c>
      <c r="B53" s="0" t="s">
        <v>179</v>
      </c>
      <c r="C53" s="0" t="s">
        <v>447</v>
      </c>
      <c r="D53" s="2" t="n">
        <v>46289</v>
      </c>
      <c r="E53" s="0" t="n">
        <v>18</v>
      </c>
      <c r="F53" s="3" t="n">
        <f aca="false">SUMIFS(Lignes!$G$2:$G$135,Lignes!$B$2:$B$135,A53)</f>
        <v>12446000</v>
      </c>
      <c r="G53" s="3" t="n">
        <f aca="false">ROUND(F53,0)</f>
        <v>12446000</v>
      </c>
      <c r="H53" s="3" t="n">
        <f aca="false">D53-Parametres!$B$9</f>
        <v>206</v>
      </c>
      <c r="I53" s="3" t="n">
        <f aca="false">IF(C53="UNITES_PHYSIQUES",IF(F53&gt;0,SUMIFS(Lignes!$I$2:$I$135,Lignes!$B$2:$B$135,A53)/F53,0),IF(C53="JALONS_PONDERES",IF(F53&gt;0,SUMIFS(Lignes!$G$2:$G$135,Lignes!$B$2:$B$135,A53,Lignes!$J$2:$J$135,1)/F53,0),IF(C53="ZERO_CENT",IF(AND(COUNTIFS(Lignes!$B$2:$B$135,A53)&gt;0,COUNTIFS(Lignes!$B$2:$B$135,A53,Lignes!$J$2:$J$135,0)=0),1,0),K53)))</f>
        <v>0</v>
      </c>
      <c r="J53" s="3" t="n">
        <f aca="false">ROUND(MIN(1,MAX(0,I53))*F53,0)</f>
        <v>0</v>
      </c>
      <c r="K53" s="3" t="n">
        <f aca="false">IF(Dates!$B$2&lt;H53,0,IF(E53&lt;=0,1,MIN(1,(Dates!$B$2-H53+1)/E53)))</f>
        <v>0</v>
      </c>
      <c r="L53" s="3" t="n">
        <f aca="false">K53*G53</f>
        <v>0</v>
      </c>
      <c r="M53" s="3" t="n">
        <f aca="false">IF(C53="UNITES_PHYSIQUES",IF(F53&gt;0,SUMIFS(Lignes!$M$2:$M$135,Lignes!$B$2:$B$135,A53)/F53,0),IF(C53="JALONS_PONDERES",IF(F53&gt;0,SUMIFS(Lignes!$G$2:$G$135,Lignes!$B$2:$B$135,A53,Lignes!$N$2:$N$135,1)/F53,0),IF(C53="ZERO_CENT",IF(AND(COUNTIFS(Lignes!$B$2:$B$135,A53)&gt;0,COUNTIFS(Lignes!$B$2:$B$135,A53,Lignes!$N$2:$N$135,0)=0),1,0),O53)))</f>
        <v>0</v>
      </c>
      <c r="N53" s="3" t="n">
        <f aca="false">ROUND(MIN(1,MAX(0,M53))*F53,0)</f>
        <v>0</v>
      </c>
      <c r="O53" s="3" t="n">
        <f aca="false">IF(Dates!$B$3&lt;H53,0,IF(E53&lt;=0,1,MIN(1,(Dates!$B$3-H53+1)/E53)))</f>
        <v>0</v>
      </c>
      <c r="P53" s="3" t="n">
        <f aca="false">O53*G53</f>
        <v>0</v>
      </c>
      <c r="Q53" s="3" t="n">
        <f aca="false">IF(C53="UNITES_PHYSIQUES",IF(F53&gt;0,SUMIFS(Lignes!$Q$2:$Q$135,Lignes!$B$2:$B$135,A53)/F53,0),IF(C53="JALONS_PONDERES",IF(F53&gt;0,SUMIFS(Lignes!$G$2:$G$135,Lignes!$B$2:$B$135,A53,Lignes!$R$2:$R$135,1)/F53,0),IF(C53="ZERO_CENT",IF(AND(COUNTIFS(Lignes!$B$2:$B$135,A53)&gt;0,COUNTIFS(Lignes!$B$2:$B$135,A53,Lignes!$R$2:$R$135,0)=0),1,0),S53)))</f>
        <v>0</v>
      </c>
      <c r="R53" s="3" t="n">
        <f aca="false">ROUND(MIN(1,MAX(0,Q53))*F53,0)</f>
        <v>0</v>
      </c>
      <c r="S53" s="3" t="n">
        <f aca="false">IF(Dates!$B$4&lt;H53,0,IF(E53&lt;=0,1,MIN(1,(Dates!$B$4-H53+1)/E53)))</f>
        <v>0.222222222222222</v>
      </c>
      <c r="T53" s="3" t="n">
        <f aca="false">S53*G53</f>
        <v>2765777.77777778</v>
      </c>
    </row>
    <row r="54" customFormat="false" ht="15" hidden="false" customHeight="false" outlineLevel="0" collapsed="false">
      <c r="A54" s="0" t="s">
        <v>399</v>
      </c>
      <c r="B54" s="0" t="s">
        <v>179</v>
      </c>
      <c r="C54" s="0" t="s">
        <v>447</v>
      </c>
      <c r="D54" s="2" t="n">
        <v>46397</v>
      </c>
      <c r="E54" s="0" t="n">
        <v>14</v>
      </c>
      <c r="F54" s="3" t="n">
        <f aca="false">SUMIFS(Lignes!$G$2:$G$135,Lignes!$B$2:$B$135,A54)</f>
        <v>27720000</v>
      </c>
      <c r="G54" s="3" t="n">
        <f aca="false">ROUND(F54,0)</f>
        <v>27720000</v>
      </c>
      <c r="H54" s="3" t="n">
        <f aca="false">D54-Parametres!$B$9</f>
        <v>314</v>
      </c>
      <c r="I54" s="3" t="n">
        <f aca="false">IF(C54="UNITES_PHYSIQUES",IF(F54&gt;0,SUMIFS(Lignes!$I$2:$I$135,Lignes!$B$2:$B$135,A54)/F54,0),IF(C54="JALONS_PONDERES",IF(F54&gt;0,SUMIFS(Lignes!$G$2:$G$135,Lignes!$B$2:$B$135,A54,Lignes!$J$2:$J$135,1)/F54,0),IF(C54="ZERO_CENT",IF(AND(COUNTIFS(Lignes!$B$2:$B$135,A54)&gt;0,COUNTIFS(Lignes!$B$2:$B$135,A54,Lignes!$J$2:$J$135,0)=0),1,0),K54)))</f>
        <v>0</v>
      </c>
      <c r="J54" s="3" t="n">
        <f aca="false">ROUND(MIN(1,MAX(0,I54))*F54,0)</f>
        <v>0</v>
      </c>
      <c r="K54" s="3" t="n">
        <f aca="false">IF(Dates!$B$2&lt;H54,0,IF(E54&lt;=0,1,MIN(1,(Dates!$B$2-H54+1)/E54)))</f>
        <v>0</v>
      </c>
      <c r="L54" s="3" t="n">
        <f aca="false">K54*G54</f>
        <v>0</v>
      </c>
      <c r="M54" s="3" t="n">
        <f aca="false">IF(C54="UNITES_PHYSIQUES",IF(F54&gt;0,SUMIFS(Lignes!$M$2:$M$135,Lignes!$B$2:$B$135,A54)/F54,0),IF(C54="JALONS_PONDERES",IF(F54&gt;0,SUMIFS(Lignes!$G$2:$G$135,Lignes!$B$2:$B$135,A54,Lignes!$N$2:$N$135,1)/F54,0),IF(C54="ZERO_CENT",IF(AND(COUNTIFS(Lignes!$B$2:$B$135,A54)&gt;0,COUNTIFS(Lignes!$B$2:$B$135,A54,Lignes!$N$2:$N$135,0)=0),1,0),O54)))</f>
        <v>0</v>
      </c>
      <c r="N54" s="3" t="n">
        <f aca="false">ROUND(MIN(1,MAX(0,M54))*F54,0)</f>
        <v>0</v>
      </c>
      <c r="O54" s="3" t="n">
        <f aca="false">IF(Dates!$B$3&lt;H54,0,IF(E54&lt;=0,1,MIN(1,(Dates!$B$3-H54+1)/E54)))</f>
        <v>0</v>
      </c>
      <c r="P54" s="3" t="n">
        <f aca="false">O54*G54</f>
        <v>0</v>
      </c>
      <c r="Q54" s="3" t="n">
        <f aca="false">IF(C54="UNITES_PHYSIQUES",IF(F54&gt;0,SUMIFS(Lignes!$Q$2:$Q$135,Lignes!$B$2:$B$135,A54)/F54,0),IF(C54="JALONS_PONDERES",IF(F54&gt;0,SUMIFS(Lignes!$G$2:$G$135,Lignes!$B$2:$B$135,A54,Lignes!$R$2:$R$135,1)/F54,0),IF(C54="ZERO_CENT",IF(AND(COUNTIFS(Lignes!$B$2:$B$135,A54)&gt;0,COUNTIFS(Lignes!$B$2:$B$135,A54,Lignes!$R$2:$R$135,0)=0),1,0),S54)))</f>
        <v>0</v>
      </c>
      <c r="R54" s="3" t="n">
        <f aca="false">ROUND(MIN(1,MAX(0,Q54))*F54,0)</f>
        <v>0</v>
      </c>
      <c r="S54" s="3" t="n">
        <f aca="false">IF(Dates!$B$4&lt;H54,0,IF(E54&lt;=0,1,MIN(1,(Dates!$B$4-H54+1)/E54)))</f>
        <v>0</v>
      </c>
      <c r="T54" s="3" t="n">
        <f aca="false">S54*G54</f>
        <v>0</v>
      </c>
    </row>
    <row r="55" customFormat="false" ht="15" hidden="false" customHeight="false" outlineLevel="0" collapsed="false">
      <c r="A55" s="0" t="s">
        <v>402</v>
      </c>
      <c r="B55" s="0" t="s">
        <v>186</v>
      </c>
      <c r="C55" s="0" t="s">
        <v>447</v>
      </c>
      <c r="D55" s="2" t="n">
        <v>46401</v>
      </c>
      <c r="E55" s="0" t="n">
        <v>30</v>
      </c>
      <c r="F55" s="3" t="n">
        <f aca="false">SUMIFS(Lignes!$G$2:$G$135,Lignes!$B$2:$B$135,A55)</f>
        <v>30240000</v>
      </c>
      <c r="G55" s="3" t="n">
        <f aca="false">ROUND(F55,0)</f>
        <v>30240000</v>
      </c>
      <c r="H55" s="3" t="n">
        <f aca="false">D55-Parametres!$B$9</f>
        <v>318</v>
      </c>
      <c r="I55" s="3" t="n">
        <f aca="false">IF(C55="UNITES_PHYSIQUES",IF(F55&gt;0,SUMIFS(Lignes!$I$2:$I$135,Lignes!$B$2:$B$135,A55)/F55,0),IF(C55="JALONS_PONDERES",IF(F55&gt;0,SUMIFS(Lignes!$G$2:$G$135,Lignes!$B$2:$B$135,A55,Lignes!$J$2:$J$135,1)/F55,0),IF(C55="ZERO_CENT",IF(AND(COUNTIFS(Lignes!$B$2:$B$135,A55)&gt;0,COUNTIFS(Lignes!$B$2:$B$135,A55,Lignes!$J$2:$J$135,0)=0),1,0),K55)))</f>
        <v>0</v>
      </c>
      <c r="J55" s="3" t="n">
        <f aca="false">ROUND(MIN(1,MAX(0,I55))*F55,0)</f>
        <v>0</v>
      </c>
      <c r="K55" s="3" t="n">
        <f aca="false">IF(Dates!$B$2&lt;H55,0,IF(E55&lt;=0,1,MIN(1,(Dates!$B$2-H55+1)/E55)))</f>
        <v>0</v>
      </c>
      <c r="L55" s="3" t="n">
        <f aca="false">K55*G55</f>
        <v>0</v>
      </c>
      <c r="M55" s="3" t="n">
        <f aca="false">IF(C55="UNITES_PHYSIQUES",IF(F55&gt;0,SUMIFS(Lignes!$M$2:$M$135,Lignes!$B$2:$B$135,A55)/F55,0),IF(C55="JALONS_PONDERES",IF(F55&gt;0,SUMIFS(Lignes!$G$2:$G$135,Lignes!$B$2:$B$135,A55,Lignes!$N$2:$N$135,1)/F55,0),IF(C55="ZERO_CENT",IF(AND(COUNTIFS(Lignes!$B$2:$B$135,A55)&gt;0,COUNTIFS(Lignes!$B$2:$B$135,A55,Lignes!$N$2:$N$135,0)=0),1,0),O55)))</f>
        <v>0</v>
      </c>
      <c r="N55" s="3" t="n">
        <f aca="false">ROUND(MIN(1,MAX(0,M55))*F55,0)</f>
        <v>0</v>
      </c>
      <c r="O55" s="3" t="n">
        <f aca="false">IF(Dates!$B$3&lt;H55,0,IF(E55&lt;=0,1,MIN(1,(Dates!$B$3-H55+1)/E55)))</f>
        <v>0</v>
      </c>
      <c r="P55" s="3" t="n">
        <f aca="false">O55*G55</f>
        <v>0</v>
      </c>
      <c r="Q55" s="3" t="n">
        <f aca="false">IF(C55="UNITES_PHYSIQUES",IF(F55&gt;0,SUMIFS(Lignes!$Q$2:$Q$135,Lignes!$B$2:$B$135,A55)/F55,0),IF(C55="JALONS_PONDERES",IF(F55&gt;0,SUMIFS(Lignes!$G$2:$G$135,Lignes!$B$2:$B$135,A55,Lignes!$R$2:$R$135,1)/F55,0),IF(C55="ZERO_CENT",IF(AND(COUNTIFS(Lignes!$B$2:$B$135,A55)&gt;0,COUNTIFS(Lignes!$B$2:$B$135,A55,Lignes!$R$2:$R$135,0)=0),1,0),S55)))</f>
        <v>0</v>
      </c>
      <c r="R55" s="3" t="n">
        <f aca="false">ROUND(MIN(1,MAX(0,Q55))*F55,0)</f>
        <v>0</v>
      </c>
      <c r="S55" s="3" t="n">
        <f aca="false">IF(Dates!$B$4&lt;H55,0,IF(E55&lt;=0,1,MIN(1,(Dates!$B$4-H55+1)/E55)))</f>
        <v>0</v>
      </c>
      <c r="T55" s="3" t="n">
        <f aca="false">S55*G55</f>
        <v>0</v>
      </c>
    </row>
    <row r="56" customFormat="false" ht="15" hidden="false" customHeight="false" outlineLevel="0" collapsed="false">
      <c r="A56" s="0" t="s">
        <v>405</v>
      </c>
      <c r="B56" s="0" t="s">
        <v>186</v>
      </c>
      <c r="C56" s="0" t="s">
        <v>447</v>
      </c>
      <c r="D56" s="2" t="n">
        <v>46421</v>
      </c>
      <c r="E56" s="0" t="n">
        <v>22</v>
      </c>
      <c r="F56" s="3" t="n">
        <f aca="false">SUMIFS(Lignes!$G$2:$G$135,Lignes!$B$2:$B$135,A56)</f>
        <v>14208000</v>
      </c>
      <c r="G56" s="3" t="n">
        <f aca="false">ROUND(F56,0)</f>
        <v>14208000</v>
      </c>
      <c r="H56" s="3" t="n">
        <f aca="false">D56-Parametres!$B$9</f>
        <v>338</v>
      </c>
      <c r="I56" s="3" t="n">
        <f aca="false">IF(C56="UNITES_PHYSIQUES",IF(F56&gt;0,SUMIFS(Lignes!$I$2:$I$135,Lignes!$B$2:$B$135,A56)/F56,0),IF(C56="JALONS_PONDERES",IF(F56&gt;0,SUMIFS(Lignes!$G$2:$G$135,Lignes!$B$2:$B$135,A56,Lignes!$J$2:$J$135,1)/F56,0),IF(C56="ZERO_CENT",IF(AND(COUNTIFS(Lignes!$B$2:$B$135,A56)&gt;0,COUNTIFS(Lignes!$B$2:$B$135,A56,Lignes!$J$2:$J$135,0)=0),1,0),K56)))</f>
        <v>0</v>
      </c>
      <c r="J56" s="3" t="n">
        <f aca="false">ROUND(MIN(1,MAX(0,I56))*F56,0)</f>
        <v>0</v>
      </c>
      <c r="K56" s="3" t="n">
        <f aca="false">IF(Dates!$B$2&lt;H56,0,IF(E56&lt;=0,1,MIN(1,(Dates!$B$2-H56+1)/E56)))</f>
        <v>0</v>
      </c>
      <c r="L56" s="3" t="n">
        <f aca="false">K56*G56</f>
        <v>0</v>
      </c>
      <c r="M56" s="3" t="n">
        <f aca="false">IF(C56="UNITES_PHYSIQUES",IF(F56&gt;0,SUMIFS(Lignes!$M$2:$M$135,Lignes!$B$2:$B$135,A56)/F56,0),IF(C56="JALONS_PONDERES",IF(F56&gt;0,SUMIFS(Lignes!$G$2:$G$135,Lignes!$B$2:$B$135,A56,Lignes!$N$2:$N$135,1)/F56,0),IF(C56="ZERO_CENT",IF(AND(COUNTIFS(Lignes!$B$2:$B$135,A56)&gt;0,COUNTIFS(Lignes!$B$2:$B$135,A56,Lignes!$N$2:$N$135,0)=0),1,0),O56)))</f>
        <v>0</v>
      </c>
      <c r="N56" s="3" t="n">
        <f aca="false">ROUND(MIN(1,MAX(0,M56))*F56,0)</f>
        <v>0</v>
      </c>
      <c r="O56" s="3" t="n">
        <f aca="false">IF(Dates!$B$3&lt;H56,0,IF(E56&lt;=0,1,MIN(1,(Dates!$B$3-H56+1)/E56)))</f>
        <v>0</v>
      </c>
      <c r="P56" s="3" t="n">
        <f aca="false">O56*G56</f>
        <v>0</v>
      </c>
      <c r="Q56" s="3" t="n">
        <f aca="false">IF(C56="UNITES_PHYSIQUES",IF(F56&gt;0,SUMIFS(Lignes!$Q$2:$Q$135,Lignes!$B$2:$B$135,A56)/F56,0),IF(C56="JALONS_PONDERES",IF(F56&gt;0,SUMIFS(Lignes!$G$2:$G$135,Lignes!$B$2:$B$135,A56,Lignes!$R$2:$R$135,1)/F56,0),IF(C56="ZERO_CENT",IF(AND(COUNTIFS(Lignes!$B$2:$B$135,A56)&gt;0,COUNTIFS(Lignes!$B$2:$B$135,A56,Lignes!$R$2:$R$135,0)=0),1,0),S56)))</f>
        <v>0</v>
      </c>
      <c r="R56" s="3" t="n">
        <f aca="false">ROUND(MIN(1,MAX(0,Q56))*F56,0)</f>
        <v>0</v>
      </c>
      <c r="S56" s="3" t="n">
        <f aca="false">IF(Dates!$B$4&lt;H56,0,IF(E56&lt;=0,1,MIN(1,(Dates!$B$4-H56+1)/E56)))</f>
        <v>0</v>
      </c>
      <c r="T56" s="3" t="n">
        <f aca="false">S56*G56</f>
        <v>0</v>
      </c>
    </row>
    <row r="57" customFormat="false" ht="15" hidden="false" customHeight="false" outlineLevel="0" collapsed="false">
      <c r="A57" s="0" t="s">
        <v>408</v>
      </c>
      <c r="B57" s="0" t="s">
        <v>186</v>
      </c>
      <c r="C57" s="0" t="s">
        <v>449</v>
      </c>
      <c r="D57" s="2" t="n">
        <v>46431</v>
      </c>
      <c r="E57" s="0" t="n">
        <v>12</v>
      </c>
      <c r="F57" s="3" t="n">
        <f aca="false">SUMIFS(Lignes!$G$2:$G$135,Lignes!$B$2:$B$135,A57)</f>
        <v>11472000</v>
      </c>
      <c r="G57" s="3" t="n">
        <f aca="false">ROUND(F57,0)</f>
        <v>11472000</v>
      </c>
      <c r="H57" s="3" t="n">
        <f aca="false">D57-Parametres!$B$9</f>
        <v>348</v>
      </c>
      <c r="I57" s="3" t="n">
        <f aca="false">IF(C57="UNITES_PHYSIQUES",IF(F57&gt;0,SUMIFS(Lignes!$I$2:$I$135,Lignes!$B$2:$B$135,A57)/F57,0),IF(C57="JALONS_PONDERES",IF(F57&gt;0,SUMIFS(Lignes!$G$2:$G$135,Lignes!$B$2:$B$135,A57,Lignes!$J$2:$J$135,1)/F57,0),IF(C57="ZERO_CENT",IF(AND(COUNTIFS(Lignes!$B$2:$B$135,A57)&gt;0,COUNTIFS(Lignes!$B$2:$B$135,A57,Lignes!$J$2:$J$135,0)=0),1,0),K57)))</f>
        <v>0</v>
      </c>
      <c r="J57" s="3" t="n">
        <f aca="false">ROUND(MIN(1,MAX(0,I57))*F57,0)</f>
        <v>0</v>
      </c>
      <c r="K57" s="3" t="n">
        <f aca="false">IF(Dates!$B$2&lt;H57,0,IF(E57&lt;=0,1,MIN(1,(Dates!$B$2-H57+1)/E57)))</f>
        <v>0</v>
      </c>
      <c r="L57" s="3" t="n">
        <f aca="false">K57*G57</f>
        <v>0</v>
      </c>
      <c r="M57" s="3" t="n">
        <f aca="false">IF(C57="UNITES_PHYSIQUES",IF(F57&gt;0,SUMIFS(Lignes!$M$2:$M$135,Lignes!$B$2:$B$135,A57)/F57,0),IF(C57="JALONS_PONDERES",IF(F57&gt;0,SUMIFS(Lignes!$G$2:$G$135,Lignes!$B$2:$B$135,A57,Lignes!$N$2:$N$135,1)/F57,0),IF(C57="ZERO_CENT",IF(AND(COUNTIFS(Lignes!$B$2:$B$135,A57)&gt;0,COUNTIFS(Lignes!$B$2:$B$135,A57,Lignes!$N$2:$N$135,0)=0),1,0),O57)))</f>
        <v>0</v>
      </c>
      <c r="N57" s="3" t="n">
        <f aca="false">ROUND(MIN(1,MAX(0,M57))*F57,0)</f>
        <v>0</v>
      </c>
      <c r="O57" s="3" t="n">
        <f aca="false">IF(Dates!$B$3&lt;H57,0,IF(E57&lt;=0,1,MIN(1,(Dates!$B$3-H57+1)/E57)))</f>
        <v>0</v>
      </c>
      <c r="P57" s="3" t="n">
        <f aca="false">O57*G57</f>
        <v>0</v>
      </c>
      <c r="Q57" s="3" t="n">
        <f aca="false">IF(C57="UNITES_PHYSIQUES",IF(F57&gt;0,SUMIFS(Lignes!$Q$2:$Q$135,Lignes!$B$2:$B$135,A57)/F57,0),IF(C57="JALONS_PONDERES",IF(F57&gt;0,SUMIFS(Lignes!$G$2:$G$135,Lignes!$B$2:$B$135,A57,Lignes!$R$2:$R$135,1)/F57,0),IF(C57="ZERO_CENT",IF(AND(COUNTIFS(Lignes!$B$2:$B$135,A57)&gt;0,COUNTIFS(Lignes!$B$2:$B$135,A57,Lignes!$R$2:$R$135,0)=0),1,0),S57)))</f>
        <v>0</v>
      </c>
      <c r="R57" s="3" t="n">
        <f aca="false">ROUND(MIN(1,MAX(0,Q57))*F57,0)</f>
        <v>0</v>
      </c>
      <c r="S57" s="3" t="n">
        <f aca="false">IF(Dates!$B$4&lt;H57,0,IF(E57&lt;=0,1,MIN(1,(Dates!$B$4-H57+1)/E57)))</f>
        <v>0</v>
      </c>
      <c r="T57" s="3" t="n">
        <f aca="false">S57*G57</f>
        <v>0</v>
      </c>
    </row>
    <row r="58" customFormat="false" ht="15" hidden="false" customHeight="false" outlineLevel="0" collapsed="false">
      <c r="A58" s="0" t="s">
        <v>413</v>
      </c>
      <c r="B58" s="0" t="s">
        <v>186</v>
      </c>
      <c r="C58" s="0" t="s">
        <v>447</v>
      </c>
      <c r="D58" s="2" t="n">
        <v>46443</v>
      </c>
      <c r="E58" s="0" t="n">
        <v>24</v>
      </c>
      <c r="F58" s="3" t="n">
        <f aca="false">SUMIFS(Lignes!$G$2:$G$135,Lignes!$B$2:$B$135,A58)</f>
        <v>37652000</v>
      </c>
      <c r="G58" s="3" t="n">
        <f aca="false">ROUND(F58,0)</f>
        <v>37652000</v>
      </c>
      <c r="H58" s="3" t="n">
        <f aca="false">D58-Parametres!$B$9</f>
        <v>360</v>
      </c>
      <c r="I58" s="3" t="n">
        <f aca="false">IF(C58="UNITES_PHYSIQUES",IF(F58&gt;0,SUMIFS(Lignes!$I$2:$I$135,Lignes!$B$2:$B$135,A58)/F58,0),IF(C58="JALONS_PONDERES",IF(F58&gt;0,SUMIFS(Lignes!$G$2:$G$135,Lignes!$B$2:$B$135,A58,Lignes!$J$2:$J$135,1)/F58,0),IF(C58="ZERO_CENT",IF(AND(COUNTIFS(Lignes!$B$2:$B$135,A58)&gt;0,COUNTIFS(Lignes!$B$2:$B$135,A58,Lignes!$J$2:$J$135,0)=0),1,0),K58)))</f>
        <v>0</v>
      </c>
      <c r="J58" s="3" t="n">
        <f aca="false">ROUND(MIN(1,MAX(0,I58))*F58,0)</f>
        <v>0</v>
      </c>
      <c r="K58" s="3" t="n">
        <f aca="false">IF(Dates!$B$2&lt;H58,0,IF(E58&lt;=0,1,MIN(1,(Dates!$B$2-H58+1)/E58)))</f>
        <v>0</v>
      </c>
      <c r="L58" s="3" t="n">
        <f aca="false">K58*G58</f>
        <v>0</v>
      </c>
      <c r="M58" s="3" t="n">
        <f aca="false">IF(C58="UNITES_PHYSIQUES",IF(F58&gt;0,SUMIFS(Lignes!$M$2:$M$135,Lignes!$B$2:$B$135,A58)/F58,0),IF(C58="JALONS_PONDERES",IF(F58&gt;0,SUMIFS(Lignes!$G$2:$G$135,Lignes!$B$2:$B$135,A58,Lignes!$N$2:$N$135,1)/F58,0),IF(C58="ZERO_CENT",IF(AND(COUNTIFS(Lignes!$B$2:$B$135,A58)&gt;0,COUNTIFS(Lignes!$B$2:$B$135,A58,Lignes!$N$2:$N$135,0)=0),1,0),O58)))</f>
        <v>0</v>
      </c>
      <c r="N58" s="3" t="n">
        <f aca="false">ROUND(MIN(1,MAX(0,M58))*F58,0)</f>
        <v>0</v>
      </c>
      <c r="O58" s="3" t="n">
        <f aca="false">IF(Dates!$B$3&lt;H58,0,IF(E58&lt;=0,1,MIN(1,(Dates!$B$3-H58+1)/E58)))</f>
        <v>0</v>
      </c>
      <c r="P58" s="3" t="n">
        <f aca="false">O58*G58</f>
        <v>0</v>
      </c>
      <c r="Q58" s="3" t="n">
        <f aca="false">IF(C58="UNITES_PHYSIQUES",IF(F58&gt;0,SUMIFS(Lignes!$Q$2:$Q$135,Lignes!$B$2:$B$135,A58)/F58,0),IF(C58="JALONS_PONDERES",IF(F58&gt;0,SUMIFS(Lignes!$G$2:$G$135,Lignes!$B$2:$B$135,A58,Lignes!$R$2:$R$135,1)/F58,0),IF(C58="ZERO_CENT",IF(AND(COUNTIFS(Lignes!$B$2:$B$135,A58)&gt;0,COUNTIFS(Lignes!$B$2:$B$135,A58,Lignes!$R$2:$R$135,0)=0),1,0),S58)))</f>
        <v>0</v>
      </c>
      <c r="R58" s="3" t="n">
        <f aca="false">ROUND(MIN(1,MAX(0,Q58))*F58,0)</f>
        <v>0</v>
      </c>
      <c r="S58" s="3" t="n">
        <f aca="false">IF(Dates!$B$4&lt;H58,0,IF(E58&lt;=0,1,MIN(1,(Dates!$B$4-H58+1)/E58)))</f>
        <v>0</v>
      </c>
      <c r="T58" s="3" t="n">
        <f aca="false">S58*G58</f>
        <v>0</v>
      </c>
    </row>
    <row r="59" customFormat="false" ht="15" hidden="false" customHeight="false" outlineLevel="0" collapsed="false">
      <c r="A59" s="0" t="s">
        <v>418</v>
      </c>
      <c r="B59" s="0" t="s">
        <v>186</v>
      </c>
      <c r="C59" s="0" t="s">
        <v>447</v>
      </c>
      <c r="D59" s="2" t="n">
        <v>46467</v>
      </c>
      <c r="E59" s="0" t="n">
        <v>14</v>
      </c>
      <c r="F59" s="3" t="n">
        <f aca="false">SUMIFS(Lignes!$G$2:$G$135,Lignes!$B$2:$B$135,A59)</f>
        <v>7616000</v>
      </c>
      <c r="G59" s="3" t="n">
        <f aca="false">ROUND(F59,0)</f>
        <v>7616000</v>
      </c>
      <c r="H59" s="3" t="n">
        <f aca="false">D59-Parametres!$B$9</f>
        <v>384</v>
      </c>
      <c r="I59" s="3" t="n">
        <f aca="false">IF(C59="UNITES_PHYSIQUES",IF(F59&gt;0,SUMIFS(Lignes!$I$2:$I$135,Lignes!$B$2:$B$135,A59)/F59,0),IF(C59="JALONS_PONDERES",IF(F59&gt;0,SUMIFS(Lignes!$G$2:$G$135,Lignes!$B$2:$B$135,A59,Lignes!$J$2:$J$135,1)/F59,0),IF(C59="ZERO_CENT",IF(AND(COUNTIFS(Lignes!$B$2:$B$135,A59)&gt;0,COUNTIFS(Lignes!$B$2:$B$135,A59,Lignes!$J$2:$J$135,0)=0),1,0),K59)))</f>
        <v>0</v>
      </c>
      <c r="J59" s="3" t="n">
        <f aca="false">ROUND(MIN(1,MAX(0,I59))*F59,0)</f>
        <v>0</v>
      </c>
      <c r="K59" s="3" t="n">
        <f aca="false">IF(Dates!$B$2&lt;H59,0,IF(E59&lt;=0,1,MIN(1,(Dates!$B$2-H59+1)/E59)))</f>
        <v>0</v>
      </c>
      <c r="L59" s="3" t="n">
        <f aca="false">K59*G59</f>
        <v>0</v>
      </c>
      <c r="M59" s="3" t="n">
        <f aca="false">IF(C59="UNITES_PHYSIQUES",IF(F59&gt;0,SUMIFS(Lignes!$M$2:$M$135,Lignes!$B$2:$B$135,A59)/F59,0),IF(C59="JALONS_PONDERES",IF(F59&gt;0,SUMIFS(Lignes!$G$2:$G$135,Lignes!$B$2:$B$135,A59,Lignes!$N$2:$N$135,1)/F59,0),IF(C59="ZERO_CENT",IF(AND(COUNTIFS(Lignes!$B$2:$B$135,A59)&gt;0,COUNTIFS(Lignes!$B$2:$B$135,A59,Lignes!$N$2:$N$135,0)=0),1,0),O59)))</f>
        <v>0</v>
      </c>
      <c r="N59" s="3" t="n">
        <f aca="false">ROUND(MIN(1,MAX(0,M59))*F59,0)</f>
        <v>0</v>
      </c>
      <c r="O59" s="3" t="n">
        <f aca="false">IF(Dates!$B$3&lt;H59,0,IF(E59&lt;=0,1,MIN(1,(Dates!$B$3-H59+1)/E59)))</f>
        <v>0</v>
      </c>
      <c r="P59" s="3" t="n">
        <f aca="false">O59*G59</f>
        <v>0</v>
      </c>
      <c r="Q59" s="3" t="n">
        <f aca="false">IF(C59="UNITES_PHYSIQUES",IF(F59&gt;0,SUMIFS(Lignes!$Q$2:$Q$135,Lignes!$B$2:$B$135,A59)/F59,0),IF(C59="JALONS_PONDERES",IF(F59&gt;0,SUMIFS(Lignes!$G$2:$G$135,Lignes!$B$2:$B$135,A59,Lignes!$R$2:$R$135,1)/F59,0),IF(C59="ZERO_CENT",IF(AND(COUNTIFS(Lignes!$B$2:$B$135,A59)&gt;0,COUNTIFS(Lignes!$B$2:$B$135,A59,Lignes!$R$2:$R$135,0)=0),1,0),S59)))</f>
        <v>0</v>
      </c>
      <c r="R59" s="3" t="n">
        <f aca="false">ROUND(MIN(1,MAX(0,Q59))*F59,0)</f>
        <v>0</v>
      </c>
      <c r="S59" s="3" t="n">
        <f aca="false">IF(Dates!$B$4&lt;H59,0,IF(E59&lt;=0,1,MIN(1,(Dates!$B$4-H59+1)/E59)))</f>
        <v>0</v>
      </c>
      <c r="T59" s="3" t="n">
        <f aca="false">S59*G59</f>
        <v>0</v>
      </c>
    </row>
    <row r="60" customFormat="false" ht="15" hidden="false" customHeight="false" outlineLevel="0" collapsed="false">
      <c r="A60" s="0" t="s">
        <v>423</v>
      </c>
      <c r="B60" s="0" t="s">
        <v>186</v>
      </c>
      <c r="C60" s="0" t="s">
        <v>447</v>
      </c>
      <c r="D60" s="2" t="n">
        <v>46467</v>
      </c>
      <c r="E60" s="0" t="n">
        <v>18</v>
      </c>
      <c r="F60" s="3" t="n">
        <f aca="false">SUMIFS(Lignes!$G$2:$G$135,Lignes!$B$2:$B$135,A60)</f>
        <v>21680000</v>
      </c>
      <c r="G60" s="3" t="n">
        <f aca="false">ROUND(F60,0)</f>
        <v>21680000</v>
      </c>
      <c r="H60" s="3" t="n">
        <f aca="false">D60-Parametres!$B$9</f>
        <v>384</v>
      </c>
      <c r="I60" s="3" t="n">
        <f aca="false">IF(C60="UNITES_PHYSIQUES",IF(F60&gt;0,SUMIFS(Lignes!$I$2:$I$135,Lignes!$B$2:$B$135,A60)/F60,0),IF(C60="JALONS_PONDERES",IF(F60&gt;0,SUMIFS(Lignes!$G$2:$G$135,Lignes!$B$2:$B$135,A60,Lignes!$J$2:$J$135,1)/F60,0),IF(C60="ZERO_CENT",IF(AND(COUNTIFS(Lignes!$B$2:$B$135,A60)&gt;0,COUNTIFS(Lignes!$B$2:$B$135,A60,Lignes!$J$2:$J$135,0)=0),1,0),K60)))</f>
        <v>0</v>
      </c>
      <c r="J60" s="3" t="n">
        <f aca="false">ROUND(MIN(1,MAX(0,I60))*F60,0)</f>
        <v>0</v>
      </c>
      <c r="K60" s="3" t="n">
        <f aca="false">IF(Dates!$B$2&lt;H60,0,IF(E60&lt;=0,1,MIN(1,(Dates!$B$2-H60+1)/E60)))</f>
        <v>0</v>
      </c>
      <c r="L60" s="3" t="n">
        <f aca="false">K60*G60</f>
        <v>0</v>
      </c>
      <c r="M60" s="3" t="n">
        <f aca="false">IF(C60="UNITES_PHYSIQUES",IF(F60&gt;0,SUMIFS(Lignes!$M$2:$M$135,Lignes!$B$2:$B$135,A60)/F60,0),IF(C60="JALONS_PONDERES",IF(F60&gt;0,SUMIFS(Lignes!$G$2:$G$135,Lignes!$B$2:$B$135,A60,Lignes!$N$2:$N$135,1)/F60,0),IF(C60="ZERO_CENT",IF(AND(COUNTIFS(Lignes!$B$2:$B$135,A60)&gt;0,COUNTIFS(Lignes!$B$2:$B$135,A60,Lignes!$N$2:$N$135,0)=0),1,0),O60)))</f>
        <v>0</v>
      </c>
      <c r="N60" s="3" t="n">
        <f aca="false">ROUND(MIN(1,MAX(0,M60))*F60,0)</f>
        <v>0</v>
      </c>
      <c r="O60" s="3" t="n">
        <f aca="false">IF(Dates!$B$3&lt;H60,0,IF(E60&lt;=0,1,MIN(1,(Dates!$B$3-H60+1)/E60)))</f>
        <v>0</v>
      </c>
      <c r="P60" s="3" t="n">
        <f aca="false">O60*G60</f>
        <v>0</v>
      </c>
      <c r="Q60" s="3" t="n">
        <f aca="false">IF(C60="UNITES_PHYSIQUES",IF(F60&gt;0,SUMIFS(Lignes!$Q$2:$Q$135,Lignes!$B$2:$B$135,A60)/F60,0),IF(C60="JALONS_PONDERES",IF(F60&gt;0,SUMIFS(Lignes!$G$2:$G$135,Lignes!$B$2:$B$135,A60,Lignes!$R$2:$R$135,1)/F60,0),IF(C60="ZERO_CENT",IF(AND(COUNTIFS(Lignes!$B$2:$B$135,A60)&gt;0,COUNTIFS(Lignes!$B$2:$B$135,A60,Lignes!$R$2:$R$135,0)=0),1,0),S60)))</f>
        <v>0</v>
      </c>
      <c r="R60" s="3" t="n">
        <f aca="false">ROUND(MIN(1,MAX(0,Q60))*F60,0)</f>
        <v>0</v>
      </c>
      <c r="S60" s="3" t="n">
        <f aca="false">IF(Dates!$B$4&lt;H60,0,IF(E60&lt;=0,1,MIN(1,(Dates!$B$4-H60+1)/E60)))</f>
        <v>0</v>
      </c>
      <c r="T60" s="3" t="n">
        <f aca="false">S60*G60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89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</row>
    <row r="2" customFormat="false" ht="15" hidden="false" customHeight="false" outlineLevel="0" collapsed="false">
      <c r="A2" s="2" t="n">
        <v>46083</v>
      </c>
      <c r="B2" s="3" t="n">
        <f aca="false">SUMIFS(Equipes!$D$2:$D$60,Equipes!$A$2:$A$60,"LOT-01",Equipes!$B$2:$B$60,"&lt;="&amp;$A2,Equipes!$C$2:$C$60,"&gt;="&amp;$A2)</f>
        <v>5</v>
      </c>
      <c r="C2" s="3" t="n">
        <f aca="false">IF(B2&gt;0,ROUNDUP(B2/Parametres!$B$7,0)+1,0)</f>
        <v>2</v>
      </c>
      <c r="D2" s="3" t="n">
        <f aca="false">SUMIFS(Equipes!$D$2:$D$60,Equipes!$A$2:$A$60,"LOT-02",Equipes!$B$2:$B$60,"&lt;="&amp;$A2,Equipes!$C$2:$C$60,"&gt;="&amp;$A2)</f>
        <v>0</v>
      </c>
      <c r="E2" s="3" t="n">
        <f aca="false">IF(D2&gt;0,ROUNDUP(D2/Parametres!$B$7,0)+1,0)</f>
        <v>0</v>
      </c>
      <c r="F2" s="3" t="n">
        <f aca="false">SUMIFS(Equipes!$D$2:$D$60,Equipes!$A$2:$A$60,"LOT-03",Equipes!$B$2:$B$60,"&lt;="&amp;$A2,Equipes!$C$2:$C$60,"&gt;="&amp;$A2)</f>
        <v>0</v>
      </c>
      <c r="G2" s="3" t="n">
        <f aca="false">IF(F2&gt;0,ROUNDUP(F2/Parametres!$B$7,0)+1,0)</f>
        <v>0</v>
      </c>
      <c r="H2" s="3" t="n">
        <f aca="false">SUMIFS(Equipes!$D$2:$D$60,Equipes!$A$2:$A$60,"LOT-04",Equipes!$B$2:$B$60,"&lt;="&amp;$A2,Equipes!$C$2:$C$60,"&gt;="&amp;$A2)</f>
        <v>0</v>
      </c>
      <c r="I2" s="3" t="n">
        <f aca="false">IF(H2&gt;0,ROUNDUP(H2/Parametres!$B$7,0)+1,0)</f>
        <v>0</v>
      </c>
      <c r="J2" s="3" t="n">
        <f aca="false">SUMIFS(Equipes!$D$2:$D$60,Equipes!$A$2:$A$60,"LOT-05",Equipes!$B$2:$B$60,"&lt;="&amp;$A2,Equipes!$C$2:$C$60,"&gt;="&amp;$A2)</f>
        <v>0</v>
      </c>
      <c r="K2" s="3" t="n">
        <f aca="false">IF(J2&gt;0,ROUNDUP(J2/Parametres!$B$7,0)+1,0)</f>
        <v>0</v>
      </c>
      <c r="L2" s="3" t="n">
        <f aca="false">SUMIFS(Equipes!$D$2:$D$60,Equipes!$A$2:$A$60,"LOT-06",Equipes!$B$2:$B$60,"&lt;="&amp;$A2,Equipes!$C$2:$C$60,"&gt;="&amp;$A2)</f>
        <v>0</v>
      </c>
      <c r="M2" s="3" t="n">
        <f aca="false">IF(L2&gt;0,ROUNDUP(L2/Parametres!$B$7,0)+1,0)</f>
        <v>0</v>
      </c>
      <c r="N2" s="3" t="n">
        <f aca="false">SUMIFS(Equipes!$D$2:$D$60,Equipes!$A$2:$A$60,"LOT-07",Equipes!$B$2:$B$60,"&lt;="&amp;$A2,Equipes!$C$2:$C$60,"&gt;="&amp;$A2)</f>
        <v>0</v>
      </c>
      <c r="O2" s="3" t="n">
        <f aca="false">IF(N2&gt;0,ROUNDUP(N2/Parametres!$B$7,0)+1,0)</f>
        <v>0</v>
      </c>
      <c r="P2" s="3" t="n">
        <f aca="false">SUMIFS(Equipes!$D$2:$D$60,Equipes!$A$2:$A$60,"LOT-08",Equipes!$B$2:$B$60,"&lt;="&amp;$A2,Equipes!$C$2:$C$60,"&gt;="&amp;$A2)</f>
        <v>0</v>
      </c>
      <c r="Q2" s="3" t="n">
        <f aca="false">IF(P2&gt;0,ROUNDUP(P2/Parametres!$B$7,0)+1,0)</f>
        <v>0</v>
      </c>
    </row>
    <row r="3" customFormat="false" ht="15" hidden="false" customHeight="false" outlineLevel="0" collapsed="false">
      <c r="A3" s="2" t="n">
        <v>46084</v>
      </c>
      <c r="B3" s="3" t="n">
        <f aca="false">SUMIFS(Equipes!$D$2:$D$60,Equipes!$A$2:$A$60,"LOT-01",Equipes!$B$2:$B$60,"&lt;="&amp;$A3,Equipes!$C$2:$C$60,"&gt;="&amp;$A3)</f>
        <v>5</v>
      </c>
      <c r="C3" s="3" t="n">
        <f aca="false">IF(B3&gt;0,ROUNDUP(B3/Parametres!$B$7,0)+1,0)</f>
        <v>2</v>
      </c>
      <c r="D3" s="3" t="n">
        <f aca="false">SUMIFS(Equipes!$D$2:$D$60,Equipes!$A$2:$A$60,"LOT-02",Equipes!$B$2:$B$60,"&lt;="&amp;$A3,Equipes!$C$2:$C$60,"&gt;="&amp;$A3)</f>
        <v>0</v>
      </c>
      <c r="E3" s="3" t="n">
        <f aca="false">IF(D3&gt;0,ROUNDUP(D3/Parametres!$B$7,0)+1,0)</f>
        <v>0</v>
      </c>
      <c r="F3" s="3" t="n">
        <f aca="false">SUMIFS(Equipes!$D$2:$D$60,Equipes!$A$2:$A$60,"LOT-03",Equipes!$B$2:$B$60,"&lt;="&amp;$A3,Equipes!$C$2:$C$60,"&gt;="&amp;$A3)</f>
        <v>0</v>
      </c>
      <c r="G3" s="3" t="n">
        <f aca="false">IF(F3&gt;0,ROUNDUP(F3/Parametres!$B$7,0)+1,0)</f>
        <v>0</v>
      </c>
      <c r="H3" s="3" t="n">
        <f aca="false">SUMIFS(Equipes!$D$2:$D$60,Equipes!$A$2:$A$60,"LOT-04",Equipes!$B$2:$B$60,"&lt;="&amp;$A3,Equipes!$C$2:$C$60,"&gt;="&amp;$A3)</f>
        <v>0</v>
      </c>
      <c r="I3" s="3" t="n">
        <f aca="false">IF(H3&gt;0,ROUNDUP(H3/Parametres!$B$7,0)+1,0)</f>
        <v>0</v>
      </c>
      <c r="J3" s="3" t="n">
        <f aca="false">SUMIFS(Equipes!$D$2:$D$60,Equipes!$A$2:$A$60,"LOT-05",Equipes!$B$2:$B$60,"&lt;="&amp;$A3,Equipes!$C$2:$C$60,"&gt;="&amp;$A3)</f>
        <v>0</v>
      </c>
      <c r="K3" s="3" t="n">
        <f aca="false">IF(J3&gt;0,ROUNDUP(J3/Parametres!$B$7,0)+1,0)</f>
        <v>0</v>
      </c>
      <c r="L3" s="3" t="n">
        <f aca="false">SUMIFS(Equipes!$D$2:$D$60,Equipes!$A$2:$A$60,"LOT-06",Equipes!$B$2:$B$60,"&lt;="&amp;$A3,Equipes!$C$2:$C$60,"&gt;="&amp;$A3)</f>
        <v>0</v>
      </c>
      <c r="M3" s="3" t="n">
        <f aca="false">IF(L3&gt;0,ROUNDUP(L3/Parametres!$B$7,0)+1,0)</f>
        <v>0</v>
      </c>
      <c r="N3" s="3" t="n">
        <f aca="false">SUMIFS(Equipes!$D$2:$D$60,Equipes!$A$2:$A$60,"LOT-07",Equipes!$B$2:$B$60,"&lt;="&amp;$A3,Equipes!$C$2:$C$60,"&gt;="&amp;$A3)</f>
        <v>0</v>
      </c>
      <c r="O3" s="3" t="n">
        <f aca="false">IF(N3&gt;0,ROUNDUP(N3/Parametres!$B$7,0)+1,0)</f>
        <v>0</v>
      </c>
      <c r="P3" s="3" t="n">
        <f aca="false">SUMIFS(Equipes!$D$2:$D$60,Equipes!$A$2:$A$60,"LOT-08",Equipes!$B$2:$B$60,"&lt;="&amp;$A3,Equipes!$C$2:$C$60,"&gt;="&amp;$A3)</f>
        <v>0</v>
      </c>
      <c r="Q3" s="3" t="n">
        <f aca="false">IF(P3&gt;0,ROUNDUP(P3/Parametres!$B$7,0)+1,0)</f>
        <v>0</v>
      </c>
    </row>
    <row r="4" customFormat="false" ht="15" hidden="false" customHeight="false" outlineLevel="0" collapsed="false">
      <c r="A4" s="2" t="n">
        <v>46085</v>
      </c>
      <c r="B4" s="3" t="n">
        <f aca="false">SUMIFS(Equipes!$D$2:$D$60,Equipes!$A$2:$A$60,"LOT-01",Equipes!$B$2:$B$60,"&lt;="&amp;$A4,Equipes!$C$2:$C$60,"&gt;="&amp;$A4)</f>
        <v>5</v>
      </c>
      <c r="C4" s="3" t="n">
        <f aca="false">IF(B4&gt;0,ROUNDUP(B4/Parametres!$B$7,0)+1,0)</f>
        <v>2</v>
      </c>
      <c r="D4" s="3" t="n">
        <f aca="false">SUMIFS(Equipes!$D$2:$D$60,Equipes!$A$2:$A$60,"LOT-02",Equipes!$B$2:$B$60,"&lt;="&amp;$A4,Equipes!$C$2:$C$60,"&gt;="&amp;$A4)</f>
        <v>0</v>
      </c>
      <c r="E4" s="3" t="n">
        <f aca="false">IF(D4&gt;0,ROUNDUP(D4/Parametres!$B$7,0)+1,0)</f>
        <v>0</v>
      </c>
      <c r="F4" s="3" t="n">
        <f aca="false">SUMIFS(Equipes!$D$2:$D$60,Equipes!$A$2:$A$60,"LOT-03",Equipes!$B$2:$B$60,"&lt;="&amp;$A4,Equipes!$C$2:$C$60,"&gt;="&amp;$A4)</f>
        <v>0</v>
      </c>
      <c r="G4" s="3" t="n">
        <f aca="false">IF(F4&gt;0,ROUNDUP(F4/Parametres!$B$7,0)+1,0)</f>
        <v>0</v>
      </c>
      <c r="H4" s="3" t="n">
        <f aca="false">SUMIFS(Equipes!$D$2:$D$60,Equipes!$A$2:$A$60,"LOT-04",Equipes!$B$2:$B$60,"&lt;="&amp;$A4,Equipes!$C$2:$C$60,"&gt;="&amp;$A4)</f>
        <v>0</v>
      </c>
      <c r="I4" s="3" t="n">
        <f aca="false">IF(H4&gt;0,ROUNDUP(H4/Parametres!$B$7,0)+1,0)</f>
        <v>0</v>
      </c>
      <c r="J4" s="3" t="n">
        <f aca="false">SUMIFS(Equipes!$D$2:$D$60,Equipes!$A$2:$A$60,"LOT-05",Equipes!$B$2:$B$60,"&lt;="&amp;$A4,Equipes!$C$2:$C$60,"&gt;="&amp;$A4)</f>
        <v>0</v>
      </c>
      <c r="K4" s="3" t="n">
        <f aca="false">IF(J4&gt;0,ROUNDUP(J4/Parametres!$B$7,0)+1,0)</f>
        <v>0</v>
      </c>
      <c r="L4" s="3" t="n">
        <f aca="false">SUMIFS(Equipes!$D$2:$D$60,Equipes!$A$2:$A$60,"LOT-06",Equipes!$B$2:$B$60,"&lt;="&amp;$A4,Equipes!$C$2:$C$60,"&gt;="&amp;$A4)</f>
        <v>0</v>
      </c>
      <c r="M4" s="3" t="n">
        <f aca="false">IF(L4&gt;0,ROUNDUP(L4/Parametres!$B$7,0)+1,0)</f>
        <v>0</v>
      </c>
      <c r="N4" s="3" t="n">
        <f aca="false">SUMIFS(Equipes!$D$2:$D$60,Equipes!$A$2:$A$60,"LOT-07",Equipes!$B$2:$B$60,"&lt;="&amp;$A4,Equipes!$C$2:$C$60,"&gt;="&amp;$A4)</f>
        <v>0</v>
      </c>
      <c r="O4" s="3" t="n">
        <f aca="false">IF(N4&gt;0,ROUNDUP(N4/Parametres!$B$7,0)+1,0)</f>
        <v>0</v>
      </c>
      <c r="P4" s="3" t="n">
        <f aca="false">SUMIFS(Equipes!$D$2:$D$60,Equipes!$A$2:$A$60,"LOT-08",Equipes!$B$2:$B$60,"&lt;="&amp;$A4,Equipes!$C$2:$C$60,"&gt;="&amp;$A4)</f>
        <v>0</v>
      </c>
      <c r="Q4" s="3" t="n">
        <f aca="false">IF(P4&gt;0,ROUNDUP(P4/Parametres!$B$7,0)+1,0)</f>
        <v>0</v>
      </c>
    </row>
    <row r="5" customFormat="false" ht="15" hidden="false" customHeight="false" outlineLevel="0" collapsed="false">
      <c r="A5" s="2" t="n">
        <v>46086</v>
      </c>
      <c r="B5" s="3" t="n">
        <f aca="false">SUMIFS(Equipes!$D$2:$D$60,Equipes!$A$2:$A$60,"LOT-01",Equipes!$B$2:$B$60,"&lt;="&amp;$A5,Equipes!$C$2:$C$60,"&gt;="&amp;$A5)</f>
        <v>5</v>
      </c>
      <c r="C5" s="3" t="n">
        <f aca="false">IF(B5&gt;0,ROUNDUP(B5/Parametres!$B$7,0)+1,0)</f>
        <v>2</v>
      </c>
      <c r="D5" s="3" t="n">
        <f aca="false">SUMIFS(Equipes!$D$2:$D$60,Equipes!$A$2:$A$60,"LOT-02",Equipes!$B$2:$B$60,"&lt;="&amp;$A5,Equipes!$C$2:$C$60,"&gt;="&amp;$A5)</f>
        <v>0</v>
      </c>
      <c r="E5" s="3" t="n">
        <f aca="false">IF(D5&gt;0,ROUNDUP(D5/Parametres!$B$7,0)+1,0)</f>
        <v>0</v>
      </c>
      <c r="F5" s="3" t="n">
        <f aca="false">SUMIFS(Equipes!$D$2:$D$60,Equipes!$A$2:$A$60,"LOT-03",Equipes!$B$2:$B$60,"&lt;="&amp;$A5,Equipes!$C$2:$C$60,"&gt;="&amp;$A5)</f>
        <v>0</v>
      </c>
      <c r="G5" s="3" t="n">
        <f aca="false">IF(F5&gt;0,ROUNDUP(F5/Parametres!$B$7,0)+1,0)</f>
        <v>0</v>
      </c>
      <c r="H5" s="3" t="n">
        <f aca="false">SUMIFS(Equipes!$D$2:$D$60,Equipes!$A$2:$A$60,"LOT-04",Equipes!$B$2:$B$60,"&lt;="&amp;$A5,Equipes!$C$2:$C$60,"&gt;="&amp;$A5)</f>
        <v>0</v>
      </c>
      <c r="I5" s="3" t="n">
        <f aca="false">IF(H5&gt;0,ROUNDUP(H5/Parametres!$B$7,0)+1,0)</f>
        <v>0</v>
      </c>
      <c r="J5" s="3" t="n">
        <f aca="false">SUMIFS(Equipes!$D$2:$D$60,Equipes!$A$2:$A$60,"LOT-05",Equipes!$B$2:$B$60,"&lt;="&amp;$A5,Equipes!$C$2:$C$60,"&gt;="&amp;$A5)</f>
        <v>0</v>
      </c>
      <c r="K5" s="3" t="n">
        <f aca="false">IF(J5&gt;0,ROUNDUP(J5/Parametres!$B$7,0)+1,0)</f>
        <v>0</v>
      </c>
      <c r="L5" s="3" t="n">
        <f aca="false">SUMIFS(Equipes!$D$2:$D$60,Equipes!$A$2:$A$60,"LOT-06",Equipes!$B$2:$B$60,"&lt;="&amp;$A5,Equipes!$C$2:$C$60,"&gt;="&amp;$A5)</f>
        <v>0</v>
      </c>
      <c r="M5" s="3" t="n">
        <f aca="false">IF(L5&gt;0,ROUNDUP(L5/Parametres!$B$7,0)+1,0)</f>
        <v>0</v>
      </c>
      <c r="N5" s="3" t="n">
        <f aca="false">SUMIFS(Equipes!$D$2:$D$60,Equipes!$A$2:$A$60,"LOT-07",Equipes!$B$2:$B$60,"&lt;="&amp;$A5,Equipes!$C$2:$C$60,"&gt;="&amp;$A5)</f>
        <v>0</v>
      </c>
      <c r="O5" s="3" t="n">
        <f aca="false">IF(N5&gt;0,ROUNDUP(N5/Parametres!$B$7,0)+1,0)</f>
        <v>0</v>
      </c>
      <c r="P5" s="3" t="n">
        <f aca="false">SUMIFS(Equipes!$D$2:$D$60,Equipes!$A$2:$A$60,"LOT-08",Equipes!$B$2:$B$60,"&lt;="&amp;$A5,Equipes!$C$2:$C$60,"&gt;="&amp;$A5)</f>
        <v>0</v>
      </c>
      <c r="Q5" s="3" t="n">
        <f aca="false">IF(P5&gt;0,ROUNDUP(P5/Parametres!$B$7,0)+1,0)</f>
        <v>0</v>
      </c>
    </row>
    <row r="6" customFormat="false" ht="15" hidden="false" customHeight="false" outlineLevel="0" collapsed="false">
      <c r="A6" s="2" t="n">
        <v>46087</v>
      </c>
      <c r="B6" s="3" t="n">
        <f aca="false">SUMIFS(Equipes!$D$2:$D$60,Equipes!$A$2:$A$60,"LOT-01",Equipes!$B$2:$B$60,"&lt;="&amp;$A6,Equipes!$C$2:$C$60,"&gt;="&amp;$A6)</f>
        <v>5</v>
      </c>
      <c r="C6" s="3" t="n">
        <f aca="false">IF(B6&gt;0,ROUNDUP(B6/Parametres!$B$7,0)+1,0)</f>
        <v>2</v>
      </c>
      <c r="D6" s="3" t="n">
        <f aca="false">SUMIFS(Equipes!$D$2:$D$60,Equipes!$A$2:$A$60,"LOT-02",Equipes!$B$2:$B$60,"&lt;="&amp;$A6,Equipes!$C$2:$C$60,"&gt;="&amp;$A6)</f>
        <v>0</v>
      </c>
      <c r="E6" s="3" t="n">
        <f aca="false">IF(D6&gt;0,ROUNDUP(D6/Parametres!$B$7,0)+1,0)</f>
        <v>0</v>
      </c>
      <c r="F6" s="3" t="n">
        <f aca="false">SUMIFS(Equipes!$D$2:$D$60,Equipes!$A$2:$A$60,"LOT-03",Equipes!$B$2:$B$60,"&lt;="&amp;$A6,Equipes!$C$2:$C$60,"&gt;="&amp;$A6)</f>
        <v>0</v>
      </c>
      <c r="G6" s="3" t="n">
        <f aca="false">IF(F6&gt;0,ROUNDUP(F6/Parametres!$B$7,0)+1,0)</f>
        <v>0</v>
      </c>
      <c r="H6" s="3" t="n">
        <f aca="false">SUMIFS(Equipes!$D$2:$D$60,Equipes!$A$2:$A$60,"LOT-04",Equipes!$B$2:$B$60,"&lt;="&amp;$A6,Equipes!$C$2:$C$60,"&gt;="&amp;$A6)</f>
        <v>0</v>
      </c>
      <c r="I6" s="3" t="n">
        <f aca="false">IF(H6&gt;0,ROUNDUP(H6/Parametres!$B$7,0)+1,0)</f>
        <v>0</v>
      </c>
      <c r="J6" s="3" t="n">
        <f aca="false">SUMIFS(Equipes!$D$2:$D$60,Equipes!$A$2:$A$60,"LOT-05",Equipes!$B$2:$B$60,"&lt;="&amp;$A6,Equipes!$C$2:$C$60,"&gt;="&amp;$A6)</f>
        <v>0</v>
      </c>
      <c r="K6" s="3" t="n">
        <f aca="false">IF(J6&gt;0,ROUNDUP(J6/Parametres!$B$7,0)+1,0)</f>
        <v>0</v>
      </c>
      <c r="L6" s="3" t="n">
        <f aca="false">SUMIFS(Equipes!$D$2:$D$60,Equipes!$A$2:$A$60,"LOT-06",Equipes!$B$2:$B$60,"&lt;="&amp;$A6,Equipes!$C$2:$C$60,"&gt;="&amp;$A6)</f>
        <v>0</v>
      </c>
      <c r="M6" s="3" t="n">
        <f aca="false">IF(L6&gt;0,ROUNDUP(L6/Parametres!$B$7,0)+1,0)</f>
        <v>0</v>
      </c>
      <c r="N6" s="3" t="n">
        <f aca="false">SUMIFS(Equipes!$D$2:$D$60,Equipes!$A$2:$A$60,"LOT-07",Equipes!$B$2:$B$60,"&lt;="&amp;$A6,Equipes!$C$2:$C$60,"&gt;="&amp;$A6)</f>
        <v>0</v>
      </c>
      <c r="O6" s="3" t="n">
        <f aca="false">IF(N6&gt;0,ROUNDUP(N6/Parametres!$B$7,0)+1,0)</f>
        <v>0</v>
      </c>
      <c r="P6" s="3" t="n">
        <f aca="false">SUMIFS(Equipes!$D$2:$D$60,Equipes!$A$2:$A$60,"LOT-08",Equipes!$B$2:$B$60,"&lt;="&amp;$A6,Equipes!$C$2:$C$60,"&gt;="&amp;$A6)</f>
        <v>0</v>
      </c>
      <c r="Q6" s="3" t="n">
        <f aca="false">IF(P6&gt;0,ROUNDUP(P6/Parametres!$B$7,0)+1,0)</f>
        <v>0</v>
      </c>
    </row>
    <row r="7" customFormat="false" ht="15" hidden="false" customHeight="false" outlineLevel="0" collapsed="false">
      <c r="A7" s="2" t="n">
        <v>46088</v>
      </c>
      <c r="B7" s="3" t="n">
        <f aca="false">SUMIFS(Equipes!$D$2:$D$60,Equipes!$A$2:$A$60,"LOT-01",Equipes!$B$2:$B$60,"&lt;="&amp;$A7,Equipes!$C$2:$C$60,"&gt;="&amp;$A7)</f>
        <v>5</v>
      </c>
      <c r="C7" s="3" t="n">
        <f aca="false">IF(B7&gt;0,ROUNDUP(B7/Parametres!$B$7,0)+1,0)</f>
        <v>2</v>
      </c>
      <c r="D7" s="3" t="n">
        <f aca="false">SUMIFS(Equipes!$D$2:$D$60,Equipes!$A$2:$A$60,"LOT-02",Equipes!$B$2:$B$60,"&lt;="&amp;$A7,Equipes!$C$2:$C$60,"&gt;="&amp;$A7)</f>
        <v>0</v>
      </c>
      <c r="E7" s="3" t="n">
        <f aca="false">IF(D7&gt;0,ROUNDUP(D7/Parametres!$B$7,0)+1,0)</f>
        <v>0</v>
      </c>
      <c r="F7" s="3" t="n">
        <f aca="false">SUMIFS(Equipes!$D$2:$D$60,Equipes!$A$2:$A$60,"LOT-03",Equipes!$B$2:$B$60,"&lt;="&amp;$A7,Equipes!$C$2:$C$60,"&gt;="&amp;$A7)</f>
        <v>0</v>
      </c>
      <c r="G7" s="3" t="n">
        <f aca="false">IF(F7&gt;0,ROUNDUP(F7/Parametres!$B$7,0)+1,0)</f>
        <v>0</v>
      </c>
      <c r="H7" s="3" t="n">
        <f aca="false">SUMIFS(Equipes!$D$2:$D$60,Equipes!$A$2:$A$60,"LOT-04",Equipes!$B$2:$B$60,"&lt;="&amp;$A7,Equipes!$C$2:$C$60,"&gt;="&amp;$A7)</f>
        <v>0</v>
      </c>
      <c r="I7" s="3" t="n">
        <f aca="false">IF(H7&gt;0,ROUNDUP(H7/Parametres!$B$7,0)+1,0)</f>
        <v>0</v>
      </c>
      <c r="J7" s="3" t="n">
        <f aca="false">SUMIFS(Equipes!$D$2:$D$60,Equipes!$A$2:$A$60,"LOT-05",Equipes!$B$2:$B$60,"&lt;="&amp;$A7,Equipes!$C$2:$C$60,"&gt;="&amp;$A7)</f>
        <v>0</v>
      </c>
      <c r="K7" s="3" t="n">
        <f aca="false">IF(J7&gt;0,ROUNDUP(J7/Parametres!$B$7,0)+1,0)</f>
        <v>0</v>
      </c>
      <c r="L7" s="3" t="n">
        <f aca="false">SUMIFS(Equipes!$D$2:$D$60,Equipes!$A$2:$A$60,"LOT-06",Equipes!$B$2:$B$60,"&lt;="&amp;$A7,Equipes!$C$2:$C$60,"&gt;="&amp;$A7)</f>
        <v>0</v>
      </c>
      <c r="M7" s="3" t="n">
        <f aca="false">IF(L7&gt;0,ROUNDUP(L7/Parametres!$B$7,0)+1,0)</f>
        <v>0</v>
      </c>
      <c r="N7" s="3" t="n">
        <f aca="false">SUMIFS(Equipes!$D$2:$D$60,Equipes!$A$2:$A$60,"LOT-07",Equipes!$B$2:$B$60,"&lt;="&amp;$A7,Equipes!$C$2:$C$60,"&gt;="&amp;$A7)</f>
        <v>0</v>
      </c>
      <c r="O7" s="3" t="n">
        <f aca="false">IF(N7&gt;0,ROUNDUP(N7/Parametres!$B$7,0)+1,0)</f>
        <v>0</v>
      </c>
      <c r="P7" s="3" t="n">
        <f aca="false">SUMIFS(Equipes!$D$2:$D$60,Equipes!$A$2:$A$60,"LOT-08",Equipes!$B$2:$B$60,"&lt;="&amp;$A7,Equipes!$C$2:$C$60,"&gt;="&amp;$A7)</f>
        <v>0</v>
      </c>
      <c r="Q7" s="3" t="n">
        <f aca="false">IF(P7&gt;0,ROUNDUP(P7/Parametres!$B$7,0)+1,0)</f>
        <v>0</v>
      </c>
    </row>
    <row r="8" customFormat="false" ht="15" hidden="false" customHeight="false" outlineLevel="0" collapsed="false">
      <c r="A8" s="2" t="n">
        <v>46089</v>
      </c>
      <c r="B8" s="3" t="n">
        <f aca="false">SUMIFS(Equipes!$D$2:$D$60,Equipes!$A$2:$A$60,"LOT-01",Equipes!$B$2:$B$60,"&lt;="&amp;$A8,Equipes!$C$2:$C$60,"&gt;="&amp;$A8)</f>
        <v>5</v>
      </c>
      <c r="C8" s="3" t="n">
        <f aca="false">IF(B8&gt;0,ROUNDUP(B8/Parametres!$B$7,0)+1,0)</f>
        <v>2</v>
      </c>
      <c r="D8" s="3" t="n">
        <f aca="false">SUMIFS(Equipes!$D$2:$D$60,Equipes!$A$2:$A$60,"LOT-02",Equipes!$B$2:$B$60,"&lt;="&amp;$A8,Equipes!$C$2:$C$60,"&gt;="&amp;$A8)</f>
        <v>0</v>
      </c>
      <c r="E8" s="3" t="n">
        <f aca="false">IF(D8&gt;0,ROUNDUP(D8/Parametres!$B$7,0)+1,0)</f>
        <v>0</v>
      </c>
      <c r="F8" s="3" t="n">
        <f aca="false">SUMIFS(Equipes!$D$2:$D$60,Equipes!$A$2:$A$60,"LOT-03",Equipes!$B$2:$B$60,"&lt;="&amp;$A8,Equipes!$C$2:$C$60,"&gt;="&amp;$A8)</f>
        <v>0</v>
      </c>
      <c r="G8" s="3" t="n">
        <f aca="false">IF(F8&gt;0,ROUNDUP(F8/Parametres!$B$7,0)+1,0)</f>
        <v>0</v>
      </c>
      <c r="H8" s="3" t="n">
        <f aca="false">SUMIFS(Equipes!$D$2:$D$60,Equipes!$A$2:$A$60,"LOT-04",Equipes!$B$2:$B$60,"&lt;="&amp;$A8,Equipes!$C$2:$C$60,"&gt;="&amp;$A8)</f>
        <v>0</v>
      </c>
      <c r="I8" s="3" t="n">
        <f aca="false">IF(H8&gt;0,ROUNDUP(H8/Parametres!$B$7,0)+1,0)</f>
        <v>0</v>
      </c>
      <c r="J8" s="3" t="n">
        <f aca="false">SUMIFS(Equipes!$D$2:$D$60,Equipes!$A$2:$A$60,"LOT-05",Equipes!$B$2:$B$60,"&lt;="&amp;$A8,Equipes!$C$2:$C$60,"&gt;="&amp;$A8)</f>
        <v>0</v>
      </c>
      <c r="K8" s="3" t="n">
        <f aca="false">IF(J8&gt;0,ROUNDUP(J8/Parametres!$B$7,0)+1,0)</f>
        <v>0</v>
      </c>
      <c r="L8" s="3" t="n">
        <f aca="false">SUMIFS(Equipes!$D$2:$D$60,Equipes!$A$2:$A$60,"LOT-06",Equipes!$B$2:$B$60,"&lt;="&amp;$A8,Equipes!$C$2:$C$60,"&gt;="&amp;$A8)</f>
        <v>0</v>
      </c>
      <c r="M8" s="3" t="n">
        <f aca="false">IF(L8&gt;0,ROUNDUP(L8/Parametres!$B$7,0)+1,0)</f>
        <v>0</v>
      </c>
      <c r="N8" s="3" t="n">
        <f aca="false">SUMIFS(Equipes!$D$2:$D$60,Equipes!$A$2:$A$60,"LOT-07",Equipes!$B$2:$B$60,"&lt;="&amp;$A8,Equipes!$C$2:$C$60,"&gt;="&amp;$A8)</f>
        <v>0</v>
      </c>
      <c r="O8" s="3" t="n">
        <f aca="false">IF(N8&gt;0,ROUNDUP(N8/Parametres!$B$7,0)+1,0)</f>
        <v>0</v>
      </c>
      <c r="P8" s="3" t="n">
        <f aca="false">SUMIFS(Equipes!$D$2:$D$60,Equipes!$A$2:$A$60,"LOT-08",Equipes!$B$2:$B$60,"&lt;="&amp;$A8,Equipes!$C$2:$C$60,"&gt;="&amp;$A8)</f>
        <v>0</v>
      </c>
      <c r="Q8" s="3" t="n">
        <f aca="false">IF(P8&gt;0,ROUNDUP(P8/Parametres!$B$7,0)+1,0)</f>
        <v>0</v>
      </c>
    </row>
    <row r="9" customFormat="false" ht="15" hidden="false" customHeight="false" outlineLevel="0" collapsed="false">
      <c r="A9" s="2" t="n">
        <v>46090</v>
      </c>
      <c r="B9" s="3" t="n">
        <f aca="false">SUMIFS(Equipes!$D$2:$D$60,Equipes!$A$2:$A$60,"LOT-01",Equipes!$B$2:$B$60,"&lt;="&amp;$A9,Equipes!$C$2:$C$60,"&gt;="&amp;$A9)</f>
        <v>5</v>
      </c>
      <c r="C9" s="3" t="n">
        <f aca="false">IF(B9&gt;0,ROUNDUP(B9/Parametres!$B$7,0)+1,0)</f>
        <v>2</v>
      </c>
      <c r="D9" s="3" t="n">
        <f aca="false">SUMIFS(Equipes!$D$2:$D$60,Equipes!$A$2:$A$60,"LOT-02",Equipes!$B$2:$B$60,"&lt;="&amp;$A9,Equipes!$C$2:$C$60,"&gt;="&amp;$A9)</f>
        <v>0</v>
      </c>
      <c r="E9" s="3" t="n">
        <f aca="false">IF(D9&gt;0,ROUNDUP(D9/Parametres!$B$7,0)+1,0)</f>
        <v>0</v>
      </c>
      <c r="F9" s="3" t="n">
        <f aca="false">SUMIFS(Equipes!$D$2:$D$60,Equipes!$A$2:$A$60,"LOT-03",Equipes!$B$2:$B$60,"&lt;="&amp;$A9,Equipes!$C$2:$C$60,"&gt;="&amp;$A9)</f>
        <v>0</v>
      </c>
      <c r="G9" s="3" t="n">
        <f aca="false">IF(F9&gt;0,ROUNDUP(F9/Parametres!$B$7,0)+1,0)</f>
        <v>0</v>
      </c>
      <c r="H9" s="3" t="n">
        <f aca="false">SUMIFS(Equipes!$D$2:$D$60,Equipes!$A$2:$A$60,"LOT-04",Equipes!$B$2:$B$60,"&lt;="&amp;$A9,Equipes!$C$2:$C$60,"&gt;="&amp;$A9)</f>
        <v>0</v>
      </c>
      <c r="I9" s="3" t="n">
        <f aca="false">IF(H9&gt;0,ROUNDUP(H9/Parametres!$B$7,0)+1,0)</f>
        <v>0</v>
      </c>
      <c r="J9" s="3" t="n">
        <f aca="false">SUMIFS(Equipes!$D$2:$D$60,Equipes!$A$2:$A$60,"LOT-05",Equipes!$B$2:$B$60,"&lt;="&amp;$A9,Equipes!$C$2:$C$60,"&gt;="&amp;$A9)</f>
        <v>0</v>
      </c>
      <c r="K9" s="3" t="n">
        <f aca="false">IF(J9&gt;0,ROUNDUP(J9/Parametres!$B$7,0)+1,0)</f>
        <v>0</v>
      </c>
      <c r="L9" s="3" t="n">
        <f aca="false">SUMIFS(Equipes!$D$2:$D$60,Equipes!$A$2:$A$60,"LOT-06",Equipes!$B$2:$B$60,"&lt;="&amp;$A9,Equipes!$C$2:$C$60,"&gt;="&amp;$A9)</f>
        <v>0</v>
      </c>
      <c r="M9" s="3" t="n">
        <f aca="false">IF(L9&gt;0,ROUNDUP(L9/Parametres!$B$7,0)+1,0)</f>
        <v>0</v>
      </c>
      <c r="N9" s="3" t="n">
        <f aca="false">SUMIFS(Equipes!$D$2:$D$60,Equipes!$A$2:$A$60,"LOT-07",Equipes!$B$2:$B$60,"&lt;="&amp;$A9,Equipes!$C$2:$C$60,"&gt;="&amp;$A9)</f>
        <v>0</v>
      </c>
      <c r="O9" s="3" t="n">
        <f aca="false">IF(N9&gt;0,ROUNDUP(N9/Parametres!$B$7,0)+1,0)</f>
        <v>0</v>
      </c>
      <c r="P9" s="3" t="n">
        <f aca="false">SUMIFS(Equipes!$D$2:$D$60,Equipes!$A$2:$A$60,"LOT-08",Equipes!$B$2:$B$60,"&lt;="&amp;$A9,Equipes!$C$2:$C$60,"&gt;="&amp;$A9)</f>
        <v>0</v>
      </c>
      <c r="Q9" s="3" t="n">
        <f aca="false">IF(P9&gt;0,ROUNDUP(P9/Parametres!$B$7,0)+1,0)</f>
        <v>0</v>
      </c>
    </row>
    <row r="10" customFormat="false" ht="15" hidden="false" customHeight="false" outlineLevel="0" collapsed="false">
      <c r="A10" s="2" t="n">
        <v>46091</v>
      </c>
      <c r="B10" s="3" t="n">
        <f aca="false">SUMIFS(Equipes!$D$2:$D$60,Equipes!$A$2:$A$60,"LOT-01",Equipes!$B$2:$B$60,"&lt;="&amp;$A10,Equipes!$C$2:$C$60,"&gt;="&amp;$A10)</f>
        <v>5</v>
      </c>
      <c r="C10" s="3" t="n">
        <f aca="false">IF(B10&gt;0,ROUNDUP(B10/Parametres!$B$7,0)+1,0)</f>
        <v>2</v>
      </c>
      <c r="D10" s="3" t="n">
        <f aca="false">SUMIFS(Equipes!$D$2:$D$60,Equipes!$A$2:$A$60,"LOT-02",Equipes!$B$2:$B$60,"&lt;="&amp;$A10,Equipes!$C$2:$C$60,"&gt;="&amp;$A10)</f>
        <v>0</v>
      </c>
      <c r="E10" s="3" t="n">
        <f aca="false">IF(D10&gt;0,ROUNDUP(D10/Parametres!$B$7,0)+1,0)</f>
        <v>0</v>
      </c>
      <c r="F10" s="3" t="n">
        <f aca="false">SUMIFS(Equipes!$D$2:$D$60,Equipes!$A$2:$A$60,"LOT-03",Equipes!$B$2:$B$60,"&lt;="&amp;$A10,Equipes!$C$2:$C$60,"&gt;="&amp;$A10)</f>
        <v>0</v>
      </c>
      <c r="G10" s="3" t="n">
        <f aca="false">IF(F10&gt;0,ROUNDUP(F10/Parametres!$B$7,0)+1,0)</f>
        <v>0</v>
      </c>
      <c r="H10" s="3" t="n">
        <f aca="false">SUMIFS(Equipes!$D$2:$D$60,Equipes!$A$2:$A$60,"LOT-04",Equipes!$B$2:$B$60,"&lt;="&amp;$A10,Equipes!$C$2:$C$60,"&gt;="&amp;$A10)</f>
        <v>0</v>
      </c>
      <c r="I10" s="3" t="n">
        <f aca="false">IF(H10&gt;0,ROUNDUP(H10/Parametres!$B$7,0)+1,0)</f>
        <v>0</v>
      </c>
      <c r="J10" s="3" t="n">
        <f aca="false">SUMIFS(Equipes!$D$2:$D$60,Equipes!$A$2:$A$60,"LOT-05",Equipes!$B$2:$B$60,"&lt;="&amp;$A10,Equipes!$C$2:$C$60,"&gt;="&amp;$A10)</f>
        <v>0</v>
      </c>
      <c r="K10" s="3" t="n">
        <f aca="false">IF(J10&gt;0,ROUNDUP(J10/Parametres!$B$7,0)+1,0)</f>
        <v>0</v>
      </c>
      <c r="L10" s="3" t="n">
        <f aca="false">SUMIFS(Equipes!$D$2:$D$60,Equipes!$A$2:$A$60,"LOT-06",Equipes!$B$2:$B$60,"&lt;="&amp;$A10,Equipes!$C$2:$C$60,"&gt;="&amp;$A10)</f>
        <v>0</v>
      </c>
      <c r="M10" s="3" t="n">
        <f aca="false">IF(L10&gt;0,ROUNDUP(L10/Parametres!$B$7,0)+1,0)</f>
        <v>0</v>
      </c>
      <c r="N10" s="3" t="n">
        <f aca="false">SUMIFS(Equipes!$D$2:$D$60,Equipes!$A$2:$A$60,"LOT-07",Equipes!$B$2:$B$60,"&lt;="&amp;$A10,Equipes!$C$2:$C$60,"&gt;="&amp;$A10)</f>
        <v>0</v>
      </c>
      <c r="O10" s="3" t="n">
        <f aca="false">IF(N10&gt;0,ROUNDUP(N10/Parametres!$B$7,0)+1,0)</f>
        <v>0</v>
      </c>
      <c r="P10" s="3" t="n">
        <f aca="false">SUMIFS(Equipes!$D$2:$D$60,Equipes!$A$2:$A$60,"LOT-08",Equipes!$B$2:$B$60,"&lt;="&amp;$A10,Equipes!$C$2:$C$60,"&gt;="&amp;$A10)</f>
        <v>0</v>
      </c>
      <c r="Q10" s="3" t="n">
        <f aca="false">IF(P10&gt;0,ROUNDUP(P10/Parametres!$B$7,0)+1,0)</f>
        <v>0</v>
      </c>
    </row>
    <row r="11" customFormat="false" ht="15" hidden="false" customHeight="false" outlineLevel="0" collapsed="false">
      <c r="A11" s="2" t="n">
        <v>46092</v>
      </c>
      <c r="B11" s="3" t="n">
        <f aca="false">SUMIFS(Equipes!$D$2:$D$60,Equipes!$A$2:$A$60,"LOT-01",Equipes!$B$2:$B$60,"&lt;="&amp;$A11,Equipes!$C$2:$C$60,"&gt;="&amp;$A11)</f>
        <v>5</v>
      </c>
      <c r="C11" s="3" t="n">
        <f aca="false">IF(B11&gt;0,ROUNDUP(B11/Parametres!$B$7,0)+1,0)</f>
        <v>2</v>
      </c>
      <c r="D11" s="3" t="n">
        <f aca="false">SUMIFS(Equipes!$D$2:$D$60,Equipes!$A$2:$A$60,"LOT-02",Equipes!$B$2:$B$60,"&lt;="&amp;$A11,Equipes!$C$2:$C$60,"&gt;="&amp;$A11)</f>
        <v>0</v>
      </c>
      <c r="E11" s="3" t="n">
        <f aca="false">IF(D11&gt;0,ROUNDUP(D11/Parametres!$B$7,0)+1,0)</f>
        <v>0</v>
      </c>
      <c r="F11" s="3" t="n">
        <f aca="false">SUMIFS(Equipes!$D$2:$D$60,Equipes!$A$2:$A$60,"LOT-03",Equipes!$B$2:$B$60,"&lt;="&amp;$A11,Equipes!$C$2:$C$60,"&gt;="&amp;$A11)</f>
        <v>0</v>
      </c>
      <c r="G11" s="3" t="n">
        <f aca="false">IF(F11&gt;0,ROUNDUP(F11/Parametres!$B$7,0)+1,0)</f>
        <v>0</v>
      </c>
      <c r="H11" s="3" t="n">
        <f aca="false">SUMIFS(Equipes!$D$2:$D$60,Equipes!$A$2:$A$60,"LOT-04",Equipes!$B$2:$B$60,"&lt;="&amp;$A11,Equipes!$C$2:$C$60,"&gt;="&amp;$A11)</f>
        <v>0</v>
      </c>
      <c r="I11" s="3" t="n">
        <f aca="false">IF(H11&gt;0,ROUNDUP(H11/Parametres!$B$7,0)+1,0)</f>
        <v>0</v>
      </c>
      <c r="J11" s="3" t="n">
        <f aca="false">SUMIFS(Equipes!$D$2:$D$60,Equipes!$A$2:$A$60,"LOT-05",Equipes!$B$2:$B$60,"&lt;="&amp;$A11,Equipes!$C$2:$C$60,"&gt;="&amp;$A11)</f>
        <v>0</v>
      </c>
      <c r="K11" s="3" t="n">
        <f aca="false">IF(J11&gt;0,ROUNDUP(J11/Parametres!$B$7,0)+1,0)</f>
        <v>0</v>
      </c>
      <c r="L11" s="3" t="n">
        <f aca="false">SUMIFS(Equipes!$D$2:$D$60,Equipes!$A$2:$A$60,"LOT-06",Equipes!$B$2:$B$60,"&lt;="&amp;$A11,Equipes!$C$2:$C$60,"&gt;="&amp;$A11)</f>
        <v>0</v>
      </c>
      <c r="M11" s="3" t="n">
        <f aca="false">IF(L11&gt;0,ROUNDUP(L11/Parametres!$B$7,0)+1,0)</f>
        <v>0</v>
      </c>
      <c r="N11" s="3" t="n">
        <f aca="false">SUMIFS(Equipes!$D$2:$D$60,Equipes!$A$2:$A$60,"LOT-07",Equipes!$B$2:$B$60,"&lt;="&amp;$A11,Equipes!$C$2:$C$60,"&gt;="&amp;$A11)</f>
        <v>0</v>
      </c>
      <c r="O11" s="3" t="n">
        <f aca="false">IF(N11&gt;0,ROUNDUP(N11/Parametres!$B$7,0)+1,0)</f>
        <v>0</v>
      </c>
      <c r="P11" s="3" t="n">
        <f aca="false">SUMIFS(Equipes!$D$2:$D$60,Equipes!$A$2:$A$60,"LOT-08",Equipes!$B$2:$B$60,"&lt;="&amp;$A11,Equipes!$C$2:$C$60,"&gt;="&amp;$A11)</f>
        <v>0</v>
      </c>
      <c r="Q11" s="3" t="n">
        <f aca="false">IF(P11&gt;0,ROUNDUP(P11/Parametres!$B$7,0)+1,0)</f>
        <v>0</v>
      </c>
    </row>
    <row r="12" customFormat="false" ht="15" hidden="false" customHeight="false" outlineLevel="0" collapsed="false">
      <c r="A12" s="2" t="n">
        <v>46093</v>
      </c>
      <c r="B12" s="3" t="n">
        <f aca="false">SUMIFS(Equipes!$D$2:$D$60,Equipes!$A$2:$A$60,"LOT-01",Equipes!$B$2:$B$60,"&lt;="&amp;$A12,Equipes!$C$2:$C$60,"&gt;="&amp;$A12)</f>
        <v>5</v>
      </c>
      <c r="C12" s="3" t="n">
        <f aca="false">IF(B12&gt;0,ROUNDUP(B12/Parametres!$B$7,0)+1,0)</f>
        <v>2</v>
      </c>
      <c r="D12" s="3" t="n">
        <f aca="false">SUMIFS(Equipes!$D$2:$D$60,Equipes!$A$2:$A$60,"LOT-02",Equipes!$B$2:$B$60,"&lt;="&amp;$A12,Equipes!$C$2:$C$60,"&gt;="&amp;$A12)</f>
        <v>8</v>
      </c>
      <c r="E12" s="3" t="n">
        <f aca="false">IF(D12&gt;0,ROUNDUP(D12/Parametres!$B$7,0)+1,0)</f>
        <v>2</v>
      </c>
      <c r="F12" s="3" t="n">
        <f aca="false">SUMIFS(Equipes!$D$2:$D$60,Equipes!$A$2:$A$60,"LOT-03",Equipes!$B$2:$B$60,"&lt;="&amp;$A12,Equipes!$C$2:$C$60,"&gt;="&amp;$A12)</f>
        <v>0</v>
      </c>
      <c r="G12" s="3" t="n">
        <f aca="false">IF(F12&gt;0,ROUNDUP(F12/Parametres!$B$7,0)+1,0)</f>
        <v>0</v>
      </c>
      <c r="H12" s="3" t="n">
        <f aca="false">SUMIFS(Equipes!$D$2:$D$60,Equipes!$A$2:$A$60,"LOT-04",Equipes!$B$2:$B$60,"&lt;="&amp;$A12,Equipes!$C$2:$C$60,"&gt;="&amp;$A12)</f>
        <v>0</v>
      </c>
      <c r="I12" s="3" t="n">
        <f aca="false">IF(H12&gt;0,ROUNDUP(H12/Parametres!$B$7,0)+1,0)</f>
        <v>0</v>
      </c>
      <c r="J12" s="3" t="n">
        <f aca="false">SUMIFS(Equipes!$D$2:$D$60,Equipes!$A$2:$A$60,"LOT-05",Equipes!$B$2:$B$60,"&lt;="&amp;$A12,Equipes!$C$2:$C$60,"&gt;="&amp;$A12)</f>
        <v>0</v>
      </c>
      <c r="K12" s="3" t="n">
        <f aca="false">IF(J12&gt;0,ROUNDUP(J12/Parametres!$B$7,0)+1,0)</f>
        <v>0</v>
      </c>
      <c r="L12" s="3" t="n">
        <f aca="false">SUMIFS(Equipes!$D$2:$D$60,Equipes!$A$2:$A$60,"LOT-06",Equipes!$B$2:$B$60,"&lt;="&amp;$A12,Equipes!$C$2:$C$60,"&gt;="&amp;$A12)</f>
        <v>0</v>
      </c>
      <c r="M12" s="3" t="n">
        <f aca="false">IF(L12&gt;0,ROUNDUP(L12/Parametres!$B$7,0)+1,0)</f>
        <v>0</v>
      </c>
      <c r="N12" s="3" t="n">
        <f aca="false">SUMIFS(Equipes!$D$2:$D$60,Equipes!$A$2:$A$60,"LOT-07",Equipes!$B$2:$B$60,"&lt;="&amp;$A12,Equipes!$C$2:$C$60,"&gt;="&amp;$A12)</f>
        <v>0</v>
      </c>
      <c r="O12" s="3" t="n">
        <f aca="false">IF(N12&gt;0,ROUNDUP(N12/Parametres!$B$7,0)+1,0)</f>
        <v>0</v>
      </c>
      <c r="P12" s="3" t="n">
        <f aca="false">SUMIFS(Equipes!$D$2:$D$60,Equipes!$A$2:$A$60,"LOT-08",Equipes!$B$2:$B$60,"&lt;="&amp;$A12,Equipes!$C$2:$C$60,"&gt;="&amp;$A12)</f>
        <v>0</v>
      </c>
      <c r="Q12" s="3" t="n">
        <f aca="false">IF(P12&gt;0,ROUNDUP(P12/Parametres!$B$7,0)+1,0)</f>
        <v>0</v>
      </c>
    </row>
    <row r="13" customFormat="false" ht="15" hidden="false" customHeight="false" outlineLevel="0" collapsed="false">
      <c r="A13" s="2" t="n">
        <v>46094</v>
      </c>
      <c r="B13" s="3" t="n">
        <f aca="false">SUMIFS(Equipes!$D$2:$D$60,Equipes!$A$2:$A$60,"LOT-01",Equipes!$B$2:$B$60,"&lt;="&amp;$A13,Equipes!$C$2:$C$60,"&gt;="&amp;$A13)</f>
        <v>5</v>
      </c>
      <c r="C13" s="3" t="n">
        <f aca="false">IF(B13&gt;0,ROUNDUP(B13/Parametres!$B$7,0)+1,0)</f>
        <v>2</v>
      </c>
      <c r="D13" s="3" t="n">
        <f aca="false">SUMIFS(Equipes!$D$2:$D$60,Equipes!$A$2:$A$60,"LOT-02",Equipes!$B$2:$B$60,"&lt;="&amp;$A13,Equipes!$C$2:$C$60,"&gt;="&amp;$A13)</f>
        <v>8</v>
      </c>
      <c r="E13" s="3" t="n">
        <f aca="false">IF(D13&gt;0,ROUNDUP(D13/Parametres!$B$7,0)+1,0)</f>
        <v>2</v>
      </c>
      <c r="F13" s="3" t="n">
        <f aca="false">SUMIFS(Equipes!$D$2:$D$60,Equipes!$A$2:$A$60,"LOT-03",Equipes!$B$2:$B$60,"&lt;="&amp;$A13,Equipes!$C$2:$C$60,"&gt;="&amp;$A13)</f>
        <v>0</v>
      </c>
      <c r="G13" s="3" t="n">
        <f aca="false">IF(F13&gt;0,ROUNDUP(F13/Parametres!$B$7,0)+1,0)</f>
        <v>0</v>
      </c>
      <c r="H13" s="3" t="n">
        <f aca="false">SUMIFS(Equipes!$D$2:$D$60,Equipes!$A$2:$A$60,"LOT-04",Equipes!$B$2:$B$60,"&lt;="&amp;$A13,Equipes!$C$2:$C$60,"&gt;="&amp;$A13)</f>
        <v>0</v>
      </c>
      <c r="I13" s="3" t="n">
        <f aca="false">IF(H13&gt;0,ROUNDUP(H13/Parametres!$B$7,0)+1,0)</f>
        <v>0</v>
      </c>
      <c r="J13" s="3" t="n">
        <f aca="false">SUMIFS(Equipes!$D$2:$D$60,Equipes!$A$2:$A$60,"LOT-05",Equipes!$B$2:$B$60,"&lt;="&amp;$A13,Equipes!$C$2:$C$60,"&gt;="&amp;$A13)</f>
        <v>0</v>
      </c>
      <c r="K13" s="3" t="n">
        <f aca="false">IF(J13&gt;0,ROUNDUP(J13/Parametres!$B$7,0)+1,0)</f>
        <v>0</v>
      </c>
      <c r="L13" s="3" t="n">
        <f aca="false">SUMIFS(Equipes!$D$2:$D$60,Equipes!$A$2:$A$60,"LOT-06",Equipes!$B$2:$B$60,"&lt;="&amp;$A13,Equipes!$C$2:$C$60,"&gt;="&amp;$A13)</f>
        <v>0</v>
      </c>
      <c r="M13" s="3" t="n">
        <f aca="false">IF(L13&gt;0,ROUNDUP(L13/Parametres!$B$7,0)+1,0)</f>
        <v>0</v>
      </c>
      <c r="N13" s="3" t="n">
        <f aca="false">SUMIFS(Equipes!$D$2:$D$60,Equipes!$A$2:$A$60,"LOT-07",Equipes!$B$2:$B$60,"&lt;="&amp;$A13,Equipes!$C$2:$C$60,"&gt;="&amp;$A13)</f>
        <v>0</v>
      </c>
      <c r="O13" s="3" t="n">
        <f aca="false">IF(N13&gt;0,ROUNDUP(N13/Parametres!$B$7,0)+1,0)</f>
        <v>0</v>
      </c>
      <c r="P13" s="3" t="n">
        <f aca="false">SUMIFS(Equipes!$D$2:$D$60,Equipes!$A$2:$A$60,"LOT-08",Equipes!$B$2:$B$60,"&lt;="&amp;$A13,Equipes!$C$2:$C$60,"&gt;="&amp;$A13)</f>
        <v>0</v>
      </c>
      <c r="Q13" s="3" t="n">
        <f aca="false">IF(P13&gt;0,ROUNDUP(P13/Parametres!$B$7,0)+1,0)</f>
        <v>0</v>
      </c>
    </row>
    <row r="14" customFormat="false" ht="15" hidden="false" customHeight="false" outlineLevel="0" collapsed="false">
      <c r="A14" s="2" t="n">
        <v>46095</v>
      </c>
      <c r="B14" s="3" t="n">
        <f aca="false">SUMIFS(Equipes!$D$2:$D$60,Equipes!$A$2:$A$60,"LOT-01",Equipes!$B$2:$B$60,"&lt;="&amp;$A14,Equipes!$C$2:$C$60,"&gt;="&amp;$A14)</f>
        <v>5</v>
      </c>
      <c r="C14" s="3" t="n">
        <f aca="false">IF(B14&gt;0,ROUNDUP(B14/Parametres!$B$7,0)+1,0)</f>
        <v>2</v>
      </c>
      <c r="D14" s="3" t="n">
        <f aca="false">SUMIFS(Equipes!$D$2:$D$60,Equipes!$A$2:$A$60,"LOT-02",Equipes!$B$2:$B$60,"&lt;="&amp;$A14,Equipes!$C$2:$C$60,"&gt;="&amp;$A14)</f>
        <v>8</v>
      </c>
      <c r="E14" s="3" t="n">
        <f aca="false">IF(D14&gt;0,ROUNDUP(D14/Parametres!$B$7,0)+1,0)</f>
        <v>2</v>
      </c>
      <c r="F14" s="3" t="n">
        <f aca="false">SUMIFS(Equipes!$D$2:$D$60,Equipes!$A$2:$A$60,"LOT-03",Equipes!$B$2:$B$60,"&lt;="&amp;$A14,Equipes!$C$2:$C$60,"&gt;="&amp;$A14)</f>
        <v>0</v>
      </c>
      <c r="G14" s="3" t="n">
        <f aca="false">IF(F14&gt;0,ROUNDUP(F14/Parametres!$B$7,0)+1,0)</f>
        <v>0</v>
      </c>
      <c r="H14" s="3" t="n">
        <f aca="false">SUMIFS(Equipes!$D$2:$D$60,Equipes!$A$2:$A$60,"LOT-04",Equipes!$B$2:$B$60,"&lt;="&amp;$A14,Equipes!$C$2:$C$60,"&gt;="&amp;$A14)</f>
        <v>0</v>
      </c>
      <c r="I14" s="3" t="n">
        <f aca="false">IF(H14&gt;0,ROUNDUP(H14/Parametres!$B$7,0)+1,0)</f>
        <v>0</v>
      </c>
      <c r="J14" s="3" t="n">
        <f aca="false">SUMIFS(Equipes!$D$2:$D$60,Equipes!$A$2:$A$60,"LOT-05",Equipes!$B$2:$B$60,"&lt;="&amp;$A14,Equipes!$C$2:$C$60,"&gt;="&amp;$A14)</f>
        <v>0</v>
      </c>
      <c r="K14" s="3" t="n">
        <f aca="false">IF(J14&gt;0,ROUNDUP(J14/Parametres!$B$7,0)+1,0)</f>
        <v>0</v>
      </c>
      <c r="L14" s="3" t="n">
        <f aca="false">SUMIFS(Equipes!$D$2:$D$60,Equipes!$A$2:$A$60,"LOT-06",Equipes!$B$2:$B$60,"&lt;="&amp;$A14,Equipes!$C$2:$C$60,"&gt;="&amp;$A14)</f>
        <v>0</v>
      </c>
      <c r="M14" s="3" t="n">
        <f aca="false">IF(L14&gt;0,ROUNDUP(L14/Parametres!$B$7,0)+1,0)</f>
        <v>0</v>
      </c>
      <c r="N14" s="3" t="n">
        <f aca="false">SUMIFS(Equipes!$D$2:$D$60,Equipes!$A$2:$A$60,"LOT-07",Equipes!$B$2:$B$60,"&lt;="&amp;$A14,Equipes!$C$2:$C$60,"&gt;="&amp;$A14)</f>
        <v>0</v>
      </c>
      <c r="O14" s="3" t="n">
        <f aca="false">IF(N14&gt;0,ROUNDUP(N14/Parametres!$B$7,0)+1,0)</f>
        <v>0</v>
      </c>
      <c r="P14" s="3" t="n">
        <f aca="false">SUMIFS(Equipes!$D$2:$D$60,Equipes!$A$2:$A$60,"LOT-08",Equipes!$B$2:$B$60,"&lt;="&amp;$A14,Equipes!$C$2:$C$60,"&gt;="&amp;$A14)</f>
        <v>0</v>
      </c>
      <c r="Q14" s="3" t="n">
        <f aca="false">IF(P14&gt;0,ROUNDUP(P14/Parametres!$B$7,0)+1,0)</f>
        <v>0</v>
      </c>
    </row>
    <row r="15" customFormat="false" ht="15" hidden="false" customHeight="false" outlineLevel="0" collapsed="false">
      <c r="A15" s="2" t="n">
        <v>46096</v>
      </c>
      <c r="B15" s="3" t="n">
        <f aca="false">SUMIFS(Equipes!$D$2:$D$60,Equipes!$A$2:$A$60,"LOT-01",Equipes!$B$2:$B$60,"&lt;="&amp;$A15,Equipes!$C$2:$C$60,"&gt;="&amp;$A15)</f>
        <v>5</v>
      </c>
      <c r="C15" s="3" t="n">
        <f aca="false">IF(B15&gt;0,ROUNDUP(B15/Parametres!$B$7,0)+1,0)</f>
        <v>2</v>
      </c>
      <c r="D15" s="3" t="n">
        <f aca="false">SUMIFS(Equipes!$D$2:$D$60,Equipes!$A$2:$A$60,"LOT-02",Equipes!$B$2:$B$60,"&lt;="&amp;$A15,Equipes!$C$2:$C$60,"&gt;="&amp;$A15)</f>
        <v>8</v>
      </c>
      <c r="E15" s="3" t="n">
        <f aca="false">IF(D15&gt;0,ROUNDUP(D15/Parametres!$B$7,0)+1,0)</f>
        <v>2</v>
      </c>
      <c r="F15" s="3" t="n">
        <f aca="false">SUMIFS(Equipes!$D$2:$D$60,Equipes!$A$2:$A$60,"LOT-03",Equipes!$B$2:$B$60,"&lt;="&amp;$A15,Equipes!$C$2:$C$60,"&gt;="&amp;$A15)</f>
        <v>0</v>
      </c>
      <c r="G15" s="3" t="n">
        <f aca="false">IF(F15&gt;0,ROUNDUP(F15/Parametres!$B$7,0)+1,0)</f>
        <v>0</v>
      </c>
      <c r="H15" s="3" t="n">
        <f aca="false">SUMIFS(Equipes!$D$2:$D$60,Equipes!$A$2:$A$60,"LOT-04",Equipes!$B$2:$B$60,"&lt;="&amp;$A15,Equipes!$C$2:$C$60,"&gt;="&amp;$A15)</f>
        <v>0</v>
      </c>
      <c r="I15" s="3" t="n">
        <f aca="false">IF(H15&gt;0,ROUNDUP(H15/Parametres!$B$7,0)+1,0)</f>
        <v>0</v>
      </c>
      <c r="J15" s="3" t="n">
        <f aca="false">SUMIFS(Equipes!$D$2:$D$60,Equipes!$A$2:$A$60,"LOT-05",Equipes!$B$2:$B$60,"&lt;="&amp;$A15,Equipes!$C$2:$C$60,"&gt;="&amp;$A15)</f>
        <v>0</v>
      </c>
      <c r="K15" s="3" t="n">
        <f aca="false">IF(J15&gt;0,ROUNDUP(J15/Parametres!$B$7,0)+1,0)</f>
        <v>0</v>
      </c>
      <c r="L15" s="3" t="n">
        <f aca="false">SUMIFS(Equipes!$D$2:$D$60,Equipes!$A$2:$A$60,"LOT-06",Equipes!$B$2:$B$60,"&lt;="&amp;$A15,Equipes!$C$2:$C$60,"&gt;="&amp;$A15)</f>
        <v>0</v>
      </c>
      <c r="M15" s="3" t="n">
        <f aca="false">IF(L15&gt;0,ROUNDUP(L15/Parametres!$B$7,0)+1,0)</f>
        <v>0</v>
      </c>
      <c r="N15" s="3" t="n">
        <f aca="false">SUMIFS(Equipes!$D$2:$D$60,Equipes!$A$2:$A$60,"LOT-07",Equipes!$B$2:$B$60,"&lt;="&amp;$A15,Equipes!$C$2:$C$60,"&gt;="&amp;$A15)</f>
        <v>0</v>
      </c>
      <c r="O15" s="3" t="n">
        <f aca="false">IF(N15&gt;0,ROUNDUP(N15/Parametres!$B$7,0)+1,0)</f>
        <v>0</v>
      </c>
      <c r="P15" s="3" t="n">
        <f aca="false">SUMIFS(Equipes!$D$2:$D$60,Equipes!$A$2:$A$60,"LOT-08",Equipes!$B$2:$B$60,"&lt;="&amp;$A15,Equipes!$C$2:$C$60,"&gt;="&amp;$A15)</f>
        <v>0</v>
      </c>
      <c r="Q15" s="3" t="n">
        <f aca="false">IF(P15&gt;0,ROUNDUP(P15/Parametres!$B$7,0)+1,0)</f>
        <v>0</v>
      </c>
    </row>
    <row r="16" customFormat="false" ht="15" hidden="false" customHeight="false" outlineLevel="0" collapsed="false">
      <c r="A16" s="2" t="n">
        <v>46097</v>
      </c>
      <c r="B16" s="3" t="n">
        <f aca="false">SUMIFS(Equipes!$D$2:$D$60,Equipes!$A$2:$A$60,"LOT-01",Equipes!$B$2:$B$60,"&lt;="&amp;$A16,Equipes!$C$2:$C$60,"&gt;="&amp;$A16)</f>
        <v>5</v>
      </c>
      <c r="C16" s="3" t="n">
        <f aca="false">IF(B16&gt;0,ROUNDUP(B16/Parametres!$B$7,0)+1,0)</f>
        <v>2</v>
      </c>
      <c r="D16" s="3" t="n">
        <f aca="false">SUMIFS(Equipes!$D$2:$D$60,Equipes!$A$2:$A$60,"LOT-02",Equipes!$B$2:$B$60,"&lt;="&amp;$A16,Equipes!$C$2:$C$60,"&gt;="&amp;$A16)</f>
        <v>8</v>
      </c>
      <c r="E16" s="3" t="n">
        <f aca="false">IF(D16&gt;0,ROUNDUP(D16/Parametres!$B$7,0)+1,0)</f>
        <v>2</v>
      </c>
      <c r="F16" s="3" t="n">
        <f aca="false">SUMIFS(Equipes!$D$2:$D$60,Equipes!$A$2:$A$60,"LOT-03",Equipes!$B$2:$B$60,"&lt;="&amp;$A16,Equipes!$C$2:$C$60,"&gt;="&amp;$A16)</f>
        <v>0</v>
      </c>
      <c r="G16" s="3" t="n">
        <f aca="false">IF(F16&gt;0,ROUNDUP(F16/Parametres!$B$7,0)+1,0)</f>
        <v>0</v>
      </c>
      <c r="H16" s="3" t="n">
        <f aca="false">SUMIFS(Equipes!$D$2:$D$60,Equipes!$A$2:$A$60,"LOT-04",Equipes!$B$2:$B$60,"&lt;="&amp;$A16,Equipes!$C$2:$C$60,"&gt;="&amp;$A16)</f>
        <v>0</v>
      </c>
      <c r="I16" s="3" t="n">
        <f aca="false">IF(H16&gt;0,ROUNDUP(H16/Parametres!$B$7,0)+1,0)</f>
        <v>0</v>
      </c>
      <c r="J16" s="3" t="n">
        <f aca="false">SUMIFS(Equipes!$D$2:$D$60,Equipes!$A$2:$A$60,"LOT-05",Equipes!$B$2:$B$60,"&lt;="&amp;$A16,Equipes!$C$2:$C$60,"&gt;="&amp;$A16)</f>
        <v>0</v>
      </c>
      <c r="K16" s="3" t="n">
        <f aca="false">IF(J16&gt;0,ROUNDUP(J16/Parametres!$B$7,0)+1,0)</f>
        <v>0</v>
      </c>
      <c r="L16" s="3" t="n">
        <f aca="false">SUMIFS(Equipes!$D$2:$D$60,Equipes!$A$2:$A$60,"LOT-06",Equipes!$B$2:$B$60,"&lt;="&amp;$A16,Equipes!$C$2:$C$60,"&gt;="&amp;$A16)</f>
        <v>0</v>
      </c>
      <c r="M16" s="3" t="n">
        <f aca="false">IF(L16&gt;0,ROUNDUP(L16/Parametres!$B$7,0)+1,0)</f>
        <v>0</v>
      </c>
      <c r="N16" s="3" t="n">
        <f aca="false">SUMIFS(Equipes!$D$2:$D$60,Equipes!$A$2:$A$60,"LOT-07",Equipes!$B$2:$B$60,"&lt;="&amp;$A16,Equipes!$C$2:$C$60,"&gt;="&amp;$A16)</f>
        <v>0</v>
      </c>
      <c r="O16" s="3" t="n">
        <f aca="false">IF(N16&gt;0,ROUNDUP(N16/Parametres!$B$7,0)+1,0)</f>
        <v>0</v>
      </c>
      <c r="P16" s="3" t="n">
        <f aca="false">SUMIFS(Equipes!$D$2:$D$60,Equipes!$A$2:$A$60,"LOT-08",Equipes!$B$2:$B$60,"&lt;="&amp;$A16,Equipes!$C$2:$C$60,"&gt;="&amp;$A16)</f>
        <v>0</v>
      </c>
      <c r="Q16" s="3" t="n">
        <f aca="false">IF(P16&gt;0,ROUNDUP(P16/Parametres!$B$7,0)+1,0)</f>
        <v>0</v>
      </c>
    </row>
    <row r="17" customFormat="false" ht="15" hidden="false" customHeight="false" outlineLevel="0" collapsed="false">
      <c r="A17" s="2" t="n">
        <v>46098</v>
      </c>
      <c r="B17" s="3" t="n">
        <f aca="false">SUMIFS(Equipes!$D$2:$D$60,Equipes!$A$2:$A$60,"LOT-01",Equipes!$B$2:$B$60,"&lt;="&amp;$A17,Equipes!$C$2:$C$60,"&gt;="&amp;$A17)</f>
        <v>5</v>
      </c>
      <c r="C17" s="3" t="n">
        <f aca="false">IF(B17&gt;0,ROUNDUP(B17/Parametres!$B$7,0)+1,0)</f>
        <v>2</v>
      </c>
      <c r="D17" s="3" t="n">
        <f aca="false">SUMIFS(Equipes!$D$2:$D$60,Equipes!$A$2:$A$60,"LOT-02",Equipes!$B$2:$B$60,"&lt;="&amp;$A17,Equipes!$C$2:$C$60,"&gt;="&amp;$A17)</f>
        <v>8</v>
      </c>
      <c r="E17" s="3" t="n">
        <f aca="false">IF(D17&gt;0,ROUNDUP(D17/Parametres!$B$7,0)+1,0)</f>
        <v>2</v>
      </c>
      <c r="F17" s="3" t="n">
        <f aca="false">SUMIFS(Equipes!$D$2:$D$60,Equipes!$A$2:$A$60,"LOT-03",Equipes!$B$2:$B$60,"&lt;="&amp;$A17,Equipes!$C$2:$C$60,"&gt;="&amp;$A17)</f>
        <v>0</v>
      </c>
      <c r="G17" s="3" t="n">
        <f aca="false">IF(F17&gt;0,ROUNDUP(F17/Parametres!$B$7,0)+1,0)</f>
        <v>0</v>
      </c>
      <c r="H17" s="3" t="n">
        <f aca="false">SUMIFS(Equipes!$D$2:$D$60,Equipes!$A$2:$A$60,"LOT-04",Equipes!$B$2:$B$60,"&lt;="&amp;$A17,Equipes!$C$2:$C$60,"&gt;="&amp;$A17)</f>
        <v>0</v>
      </c>
      <c r="I17" s="3" t="n">
        <f aca="false">IF(H17&gt;0,ROUNDUP(H17/Parametres!$B$7,0)+1,0)</f>
        <v>0</v>
      </c>
      <c r="J17" s="3" t="n">
        <f aca="false">SUMIFS(Equipes!$D$2:$D$60,Equipes!$A$2:$A$60,"LOT-05",Equipes!$B$2:$B$60,"&lt;="&amp;$A17,Equipes!$C$2:$C$60,"&gt;="&amp;$A17)</f>
        <v>0</v>
      </c>
      <c r="K17" s="3" t="n">
        <f aca="false">IF(J17&gt;0,ROUNDUP(J17/Parametres!$B$7,0)+1,0)</f>
        <v>0</v>
      </c>
      <c r="L17" s="3" t="n">
        <f aca="false">SUMIFS(Equipes!$D$2:$D$60,Equipes!$A$2:$A$60,"LOT-06",Equipes!$B$2:$B$60,"&lt;="&amp;$A17,Equipes!$C$2:$C$60,"&gt;="&amp;$A17)</f>
        <v>0</v>
      </c>
      <c r="M17" s="3" t="n">
        <f aca="false">IF(L17&gt;0,ROUNDUP(L17/Parametres!$B$7,0)+1,0)</f>
        <v>0</v>
      </c>
      <c r="N17" s="3" t="n">
        <f aca="false">SUMIFS(Equipes!$D$2:$D$60,Equipes!$A$2:$A$60,"LOT-07",Equipes!$B$2:$B$60,"&lt;="&amp;$A17,Equipes!$C$2:$C$60,"&gt;="&amp;$A17)</f>
        <v>0</v>
      </c>
      <c r="O17" s="3" t="n">
        <f aca="false">IF(N17&gt;0,ROUNDUP(N17/Parametres!$B$7,0)+1,0)</f>
        <v>0</v>
      </c>
      <c r="P17" s="3" t="n">
        <f aca="false">SUMIFS(Equipes!$D$2:$D$60,Equipes!$A$2:$A$60,"LOT-08",Equipes!$B$2:$B$60,"&lt;="&amp;$A17,Equipes!$C$2:$C$60,"&gt;="&amp;$A17)</f>
        <v>0</v>
      </c>
      <c r="Q17" s="3" t="n">
        <f aca="false">IF(P17&gt;0,ROUNDUP(P17/Parametres!$B$7,0)+1,0)</f>
        <v>0</v>
      </c>
    </row>
    <row r="18" customFormat="false" ht="15" hidden="false" customHeight="false" outlineLevel="0" collapsed="false">
      <c r="A18" s="2" t="n">
        <v>46099</v>
      </c>
      <c r="B18" s="3" t="n">
        <f aca="false">SUMIFS(Equipes!$D$2:$D$60,Equipes!$A$2:$A$60,"LOT-01",Equipes!$B$2:$B$60,"&lt;="&amp;$A18,Equipes!$C$2:$C$60,"&gt;="&amp;$A18)</f>
        <v>5</v>
      </c>
      <c r="C18" s="3" t="n">
        <f aca="false">IF(B18&gt;0,ROUNDUP(B18/Parametres!$B$7,0)+1,0)</f>
        <v>2</v>
      </c>
      <c r="D18" s="3" t="n">
        <f aca="false">SUMIFS(Equipes!$D$2:$D$60,Equipes!$A$2:$A$60,"LOT-02",Equipes!$B$2:$B$60,"&lt;="&amp;$A18,Equipes!$C$2:$C$60,"&gt;="&amp;$A18)</f>
        <v>8</v>
      </c>
      <c r="E18" s="3" t="n">
        <f aca="false">IF(D18&gt;0,ROUNDUP(D18/Parametres!$B$7,0)+1,0)</f>
        <v>2</v>
      </c>
      <c r="F18" s="3" t="n">
        <f aca="false">SUMIFS(Equipes!$D$2:$D$60,Equipes!$A$2:$A$60,"LOT-03",Equipes!$B$2:$B$60,"&lt;="&amp;$A18,Equipes!$C$2:$C$60,"&gt;="&amp;$A18)</f>
        <v>0</v>
      </c>
      <c r="G18" s="3" t="n">
        <f aca="false">IF(F18&gt;0,ROUNDUP(F18/Parametres!$B$7,0)+1,0)</f>
        <v>0</v>
      </c>
      <c r="H18" s="3" t="n">
        <f aca="false">SUMIFS(Equipes!$D$2:$D$60,Equipes!$A$2:$A$60,"LOT-04",Equipes!$B$2:$B$60,"&lt;="&amp;$A18,Equipes!$C$2:$C$60,"&gt;="&amp;$A18)</f>
        <v>0</v>
      </c>
      <c r="I18" s="3" t="n">
        <f aca="false">IF(H18&gt;0,ROUNDUP(H18/Parametres!$B$7,0)+1,0)</f>
        <v>0</v>
      </c>
      <c r="J18" s="3" t="n">
        <f aca="false">SUMIFS(Equipes!$D$2:$D$60,Equipes!$A$2:$A$60,"LOT-05",Equipes!$B$2:$B$60,"&lt;="&amp;$A18,Equipes!$C$2:$C$60,"&gt;="&amp;$A18)</f>
        <v>0</v>
      </c>
      <c r="K18" s="3" t="n">
        <f aca="false">IF(J18&gt;0,ROUNDUP(J18/Parametres!$B$7,0)+1,0)</f>
        <v>0</v>
      </c>
      <c r="L18" s="3" t="n">
        <f aca="false">SUMIFS(Equipes!$D$2:$D$60,Equipes!$A$2:$A$60,"LOT-06",Equipes!$B$2:$B$60,"&lt;="&amp;$A18,Equipes!$C$2:$C$60,"&gt;="&amp;$A18)</f>
        <v>0</v>
      </c>
      <c r="M18" s="3" t="n">
        <f aca="false">IF(L18&gt;0,ROUNDUP(L18/Parametres!$B$7,0)+1,0)</f>
        <v>0</v>
      </c>
      <c r="N18" s="3" t="n">
        <f aca="false">SUMIFS(Equipes!$D$2:$D$60,Equipes!$A$2:$A$60,"LOT-07",Equipes!$B$2:$B$60,"&lt;="&amp;$A18,Equipes!$C$2:$C$60,"&gt;="&amp;$A18)</f>
        <v>0</v>
      </c>
      <c r="O18" s="3" t="n">
        <f aca="false">IF(N18&gt;0,ROUNDUP(N18/Parametres!$B$7,0)+1,0)</f>
        <v>0</v>
      </c>
      <c r="P18" s="3" t="n">
        <f aca="false">SUMIFS(Equipes!$D$2:$D$60,Equipes!$A$2:$A$60,"LOT-08",Equipes!$B$2:$B$60,"&lt;="&amp;$A18,Equipes!$C$2:$C$60,"&gt;="&amp;$A18)</f>
        <v>0</v>
      </c>
      <c r="Q18" s="3" t="n">
        <f aca="false">IF(P18&gt;0,ROUNDUP(P18/Parametres!$B$7,0)+1,0)</f>
        <v>0</v>
      </c>
    </row>
    <row r="19" customFormat="false" ht="15" hidden="false" customHeight="false" outlineLevel="0" collapsed="false">
      <c r="A19" s="2" t="n">
        <v>46100</v>
      </c>
      <c r="B19" s="3" t="n">
        <f aca="false">SUMIFS(Equipes!$D$2:$D$60,Equipes!$A$2:$A$60,"LOT-01",Equipes!$B$2:$B$60,"&lt;="&amp;$A19,Equipes!$C$2:$C$60,"&gt;="&amp;$A19)</f>
        <v>5</v>
      </c>
      <c r="C19" s="3" t="n">
        <f aca="false">IF(B19&gt;0,ROUNDUP(B19/Parametres!$B$7,0)+1,0)</f>
        <v>2</v>
      </c>
      <c r="D19" s="3" t="n">
        <f aca="false">SUMIFS(Equipes!$D$2:$D$60,Equipes!$A$2:$A$60,"LOT-02",Equipes!$B$2:$B$60,"&lt;="&amp;$A19,Equipes!$C$2:$C$60,"&gt;="&amp;$A19)</f>
        <v>8</v>
      </c>
      <c r="E19" s="3" t="n">
        <f aca="false">IF(D19&gt;0,ROUNDUP(D19/Parametres!$B$7,0)+1,0)</f>
        <v>2</v>
      </c>
      <c r="F19" s="3" t="n">
        <f aca="false">SUMIFS(Equipes!$D$2:$D$60,Equipes!$A$2:$A$60,"LOT-03",Equipes!$B$2:$B$60,"&lt;="&amp;$A19,Equipes!$C$2:$C$60,"&gt;="&amp;$A19)</f>
        <v>0</v>
      </c>
      <c r="G19" s="3" t="n">
        <f aca="false">IF(F19&gt;0,ROUNDUP(F19/Parametres!$B$7,0)+1,0)</f>
        <v>0</v>
      </c>
      <c r="H19" s="3" t="n">
        <f aca="false">SUMIFS(Equipes!$D$2:$D$60,Equipes!$A$2:$A$60,"LOT-04",Equipes!$B$2:$B$60,"&lt;="&amp;$A19,Equipes!$C$2:$C$60,"&gt;="&amp;$A19)</f>
        <v>0</v>
      </c>
      <c r="I19" s="3" t="n">
        <f aca="false">IF(H19&gt;0,ROUNDUP(H19/Parametres!$B$7,0)+1,0)</f>
        <v>0</v>
      </c>
      <c r="J19" s="3" t="n">
        <f aca="false">SUMIFS(Equipes!$D$2:$D$60,Equipes!$A$2:$A$60,"LOT-05",Equipes!$B$2:$B$60,"&lt;="&amp;$A19,Equipes!$C$2:$C$60,"&gt;="&amp;$A19)</f>
        <v>0</v>
      </c>
      <c r="K19" s="3" t="n">
        <f aca="false">IF(J19&gt;0,ROUNDUP(J19/Parametres!$B$7,0)+1,0)</f>
        <v>0</v>
      </c>
      <c r="L19" s="3" t="n">
        <f aca="false">SUMIFS(Equipes!$D$2:$D$60,Equipes!$A$2:$A$60,"LOT-06",Equipes!$B$2:$B$60,"&lt;="&amp;$A19,Equipes!$C$2:$C$60,"&gt;="&amp;$A19)</f>
        <v>0</v>
      </c>
      <c r="M19" s="3" t="n">
        <f aca="false">IF(L19&gt;0,ROUNDUP(L19/Parametres!$B$7,0)+1,0)</f>
        <v>0</v>
      </c>
      <c r="N19" s="3" t="n">
        <f aca="false">SUMIFS(Equipes!$D$2:$D$60,Equipes!$A$2:$A$60,"LOT-07",Equipes!$B$2:$B$60,"&lt;="&amp;$A19,Equipes!$C$2:$C$60,"&gt;="&amp;$A19)</f>
        <v>0</v>
      </c>
      <c r="O19" s="3" t="n">
        <f aca="false">IF(N19&gt;0,ROUNDUP(N19/Parametres!$B$7,0)+1,0)</f>
        <v>0</v>
      </c>
      <c r="P19" s="3" t="n">
        <f aca="false">SUMIFS(Equipes!$D$2:$D$60,Equipes!$A$2:$A$60,"LOT-08",Equipes!$B$2:$B$60,"&lt;="&amp;$A19,Equipes!$C$2:$C$60,"&gt;="&amp;$A19)</f>
        <v>0</v>
      </c>
      <c r="Q19" s="3" t="n">
        <f aca="false">IF(P19&gt;0,ROUNDUP(P19/Parametres!$B$7,0)+1,0)</f>
        <v>0</v>
      </c>
    </row>
    <row r="20" customFormat="false" ht="15" hidden="false" customHeight="false" outlineLevel="0" collapsed="false">
      <c r="A20" s="2" t="n">
        <v>46101</v>
      </c>
      <c r="B20" s="3" t="n">
        <f aca="false">SUMIFS(Equipes!$D$2:$D$60,Equipes!$A$2:$A$60,"LOT-01",Equipes!$B$2:$B$60,"&lt;="&amp;$A20,Equipes!$C$2:$C$60,"&gt;="&amp;$A20)</f>
        <v>5</v>
      </c>
      <c r="C20" s="3" t="n">
        <f aca="false">IF(B20&gt;0,ROUNDUP(B20/Parametres!$B$7,0)+1,0)</f>
        <v>2</v>
      </c>
      <c r="D20" s="3" t="n">
        <f aca="false">SUMIFS(Equipes!$D$2:$D$60,Equipes!$A$2:$A$60,"LOT-02",Equipes!$B$2:$B$60,"&lt;="&amp;$A20,Equipes!$C$2:$C$60,"&gt;="&amp;$A20)</f>
        <v>8</v>
      </c>
      <c r="E20" s="3" t="n">
        <f aca="false">IF(D20&gt;0,ROUNDUP(D20/Parametres!$B$7,0)+1,0)</f>
        <v>2</v>
      </c>
      <c r="F20" s="3" t="n">
        <f aca="false">SUMIFS(Equipes!$D$2:$D$60,Equipes!$A$2:$A$60,"LOT-03",Equipes!$B$2:$B$60,"&lt;="&amp;$A20,Equipes!$C$2:$C$60,"&gt;="&amp;$A20)</f>
        <v>0</v>
      </c>
      <c r="G20" s="3" t="n">
        <f aca="false">IF(F20&gt;0,ROUNDUP(F20/Parametres!$B$7,0)+1,0)</f>
        <v>0</v>
      </c>
      <c r="H20" s="3" t="n">
        <f aca="false">SUMIFS(Equipes!$D$2:$D$60,Equipes!$A$2:$A$60,"LOT-04",Equipes!$B$2:$B$60,"&lt;="&amp;$A20,Equipes!$C$2:$C$60,"&gt;="&amp;$A20)</f>
        <v>0</v>
      </c>
      <c r="I20" s="3" t="n">
        <f aca="false">IF(H20&gt;0,ROUNDUP(H20/Parametres!$B$7,0)+1,0)</f>
        <v>0</v>
      </c>
      <c r="J20" s="3" t="n">
        <f aca="false">SUMIFS(Equipes!$D$2:$D$60,Equipes!$A$2:$A$60,"LOT-05",Equipes!$B$2:$B$60,"&lt;="&amp;$A20,Equipes!$C$2:$C$60,"&gt;="&amp;$A20)</f>
        <v>0</v>
      </c>
      <c r="K20" s="3" t="n">
        <f aca="false">IF(J20&gt;0,ROUNDUP(J20/Parametres!$B$7,0)+1,0)</f>
        <v>0</v>
      </c>
      <c r="L20" s="3" t="n">
        <f aca="false">SUMIFS(Equipes!$D$2:$D$60,Equipes!$A$2:$A$60,"LOT-06",Equipes!$B$2:$B$60,"&lt;="&amp;$A20,Equipes!$C$2:$C$60,"&gt;="&amp;$A20)</f>
        <v>0</v>
      </c>
      <c r="M20" s="3" t="n">
        <f aca="false">IF(L20&gt;0,ROUNDUP(L20/Parametres!$B$7,0)+1,0)</f>
        <v>0</v>
      </c>
      <c r="N20" s="3" t="n">
        <f aca="false">SUMIFS(Equipes!$D$2:$D$60,Equipes!$A$2:$A$60,"LOT-07",Equipes!$B$2:$B$60,"&lt;="&amp;$A20,Equipes!$C$2:$C$60,"&gt;="&amp;$A20)</f>
        <v>0</v>
      </c>
      <c r="O20" s="3" t="n">
        <f aca="false">IF(N20&gt;0,ROUNDUP(N20/Parametres!$B$7,0)+1,0)</f>
        <v>0</v>
      </c>
      <c r="P20" s="3" t="n">
        <f aca="false">SUMIFS(Equipes!$D$2:$D$60,Equipes!$A$2:$A$60,"LOT-08",Equipes!$B$2:$B$60,"&lt;="&amp;$A20,Equipes!$C$2:$C$60,"&gt;="&amp;$A20)</f>
        <v>0</v>
      </c>
      <c r="Q20" s="3" t="n">
        <f aca="false">IF(P20&gt;0,ROUNDUP(P20/Parametres!$B$7,0)+1,0)</f>
        <v>0</v>
      </c>
    </row>
    <row r="21" customFormat="false" ht="15" hidden="false" customHeight="false" outlineLevel="0" collapsed="false">
      <c r="A21" s="2" t="n">
        <v>46102</v>
      </c>
      <c r="B21" s="3" t="n">
        <f aca="false">SUMIFS(Equipes!$D$2:$D$60,Equipes!$A$2:$A$60,"LOT-01",Equipes!$B$2:$B$60,"&lt;="&amp;$A21,Equipes!$C$2:$C$60,"&gt;="&amp;$A21)</f>
        <v>5</v>
      </c>
      <c r="C21" s="3" t="n">
        <f aca="false">IF(B21&gt;0,ROUNDUP(B21/Parametres!$B$7,0)+1,0)</f>
        <v>2</v>
      </c>
      <c r="D21" s="3" t="n">
        <f aca="false">SUMIFS(Equipes!$D$2:$D$60,Equipes!$A$2:$A$60,"LOT-02",Equipes!$B$2:$B$60,"&lt;="&amp;$A21,Equipes!$C$2:$C$60,"&gt;="&amp;$A21)</f>
        <v>8</v>
      </c>
      <c r="E21" s="3" t="n">
        <f aca="false">IF(D21&gt;0,ROUNDUP(D21/Parametres!$B$7,0)+1,0)</f>
        <v>2</v>
      </c>
      <c r="F21" s="3" t="n">
        <f aca="false">SUMIFS(Equipes!$D$2:$D$60,Equipes!$A$2:$A$60,"LOT-03",Equipes!$B$2:$B$60,"&lt;="&amp;$A21,Equipes!$C$2:$C$60,"&gt;="&amp;$A21)</f>
        <v>0</v>
      </c>
      <c r="G21" s="3" t="n">
        <f aca="false">IF(F21&gt;0,ROUNDUP(F21/Parametres!$B$7,0)+1,0)</f>
        <v>0</v>
      </c>
      <c r="H21" s="3" t="n">
        <f aca="false">SUMIFS(Equipes!$D$2:$D$60,Equipes!$A$2:$A$60,"LOT-04",Equipes!$B$2:$B$60,"&lt;="&amp;$A21,Equipes!$C$2:$C$60,"&gt;="&amp;$A21)</f>
        <v>0</v>
      </c>
      <c r="I21" s="3" t="n">
        <f aca="false">IF(H21&gt;0,ROUNDUP(H21/Parametres!$B$7,0)+1,0)</f>
        <v>0</v>
      </c>
      <c r="J21" s="3" t="n">
        <f aca="false">SUMIFS(Equipes!$D$2:$D$60,Equipes!$A$2:$A$60,"LOT-05",Equipes!$B$2:$B$60,"&lt;="&amp;$A21,Equipes!$C$2:$C$60,"&gt;="&amp;$A21)</f>
        <v>0</v>
      </c>
      <c r="K21" s="3" t="n">
        <f aca="false">IF(J21&gt;0,ROUNDUP(J21/Parametres!$B$7,0)+1,0)</f>
        <v>0</v>
      </c>
      <c r="L21" s="3" t="n">
        <f aca="false">SUMIFS(Equipes!$D$2:$D$60,Equipes!$A$2:$A$60,"LOT-06",Equipes!$B$2:$B$60,"&lt;="&amp;$A21,Equipes!$C$2:$C$60,"&gt;="&amp;$A21)</f>
        <v>0</v>
      </c>
      <c r="M21" s="3" t="n">
        <f aca="false">IF(L21&gt;0,ROUNDUP(L21/Parametres!$B$7,0)+1,0)</f>
        <v>0</v>
      </c>
      <c r="N21" s="3" t="n">
        <f aca="false">SUMIFS(Equipes!$D$2:$D$60,Equipes!$A$2:$A$60,"LOT-07",Equipes!$B$2:$B$60,"&lt;="&amp;$A21,Equipes!$C$2:$C$60,"&gt;="&amp;$A21)</f>
        <v>0</v>
      </c>
      <c r="O21" s="3" t="n">
        <f aca="false">IF(N21&gt;0,ROUNDUP(N21/Parametres!$B$7,0)+1,0)</f>
        <v>0</v>
      </c>
      <c r="P21" s="3" t="n">
        <f aca="false">SUMIFS(Equipes!$D$2:$D$60,Equipes!$A$2:$A$60,"LOT-08",Equipes!$B$2:$B$60,"&lt;="&amp;$A21,Equipes!$C$2:$C$60,"&gt;="&amp;$A21)</f>
        <v>0</v>
      </c>
      <c r="Q21" s="3" t="n">
        <f aca="false">IF(P21&gt;0,ROUNDUP(P21/Parametres!$B$7,0)+1,0)</f>
        <v>0</v>
      </c>
    </row>
    <row r="22" customFormat="false" ht="15" hidden="false" customHeight="false" outlineLevel="0" collapsed="false">
      <c r="A22" s="2" t="n">
        <v>46103</v>
      </c>
      <c r="B22" s="3" t="n">
        <f aca="false">SUMIFS(Equipes!$D$2:$D$60,Equipes!$A$2:$A$60,"LOT-01",Equipes!$B$2:$B$60,"&lt;="&amp;$A22,Equipes!$C$2:$C$60,"&gt;="&amp;$A22)</f>
        <v>5</v>
      </c>
      <c r="C22" s="3" t="n">
        <f aca="false">IF(B22&gt;0,ROUNDUP(B22/Parametres!$B$7,0)+1,0)</f>
        <v>2</v>
      </c>
      <c r="D22" s="3" t="n">
        <f aca="false">SUMIFS(Equipes!$D$2:$D$60,Equipes!$A$2:$A$60,"LOT-02",Equipes!$B$2:$B$60,"&lt;="&amp;$A22,Equipes!$C$2:$C$60,"&gt;="&amp;$A22)</f>
        <v>8</v>
      </c>
      <c r="E22" s="3" t="n">
        <f aca="false">IF(D22&gt;0,ROUNDUP(D22/Parametres!$B$7,0)+1,0)</f>
        <v>2</v>
      </c>
      <c r="F22" s="3" t="n">
        <f aca="false">SUMIFS(Equipes!$D$2:$D$60,Equipes!$A$2:$A$60,"LOT-03",Equipes!$B$2:$B$60,"&lt;="&amp;$A22,Equipes!$C$2:$C$60,"&gt;="&amp;$A22)</f>
        <v>0</v>
      </c>
      <c r="G22" s="3" t="n">
        <f aca="false">IF(F22&gt;0,ROUNDUP(F22/Parametres!$B$7,0)+1,0)</f>
        <v>0</v>
      </c>
      <c r="H22" s="3" t="n">
        <f aca="false">SUMIFS(Equipes!$D$2:$D$60,Equipes!$A$2:$A$60,"LOT-04",Equipes!$B$2:$B$60,"&lt;="&amp;$A22,Equipes!$C$2:$C$60,"&gt;="&amp;$A22)</f>
        <v>0</v>
      </c>
      <c r="I22" s="3" t="n">
        <f aca="false">IF(H22&gt;0,ROUNDUP(H22/Parametres!$B$7,0)+1,0)</f>
        <v>0</v>
      </c>
      <c r="J22" s="3" t="n">
        <f aca="false">SUMIFS(Equipes!$D$2:$D$60,Equipes!$A$2:$A$60,"LOT-05",Equipes!$B$2:$B$60,"&lt;="&amp;$A22,Equipes!$C$2:$C$60,"&gt;="&amp;$A22)</f>
        <v>0</v>
      </c>
      <c r="K22" s="3" t="n">
        <f aca="false">IF(J22&gt;0,ROUNDUP(J22/Parametres!$B$7,0)+1,0)</f>
        <v>0</v>
      </c>
      <c r="L22" s="3" t="n">
        <f aca="false">SUMIFS(Equipes!$D$2:$D$60,Equipes!$A$2:$A$60,"LOT-06",Equipes!$B$2:$B$60,"&lt;="&amp;$A22,Equipes!$C$2:$C$60,"&gt;="&amp;$A22)</f>
        <v>0</v>
      </c>
      <c r="M22" s="3" t="n">
        <f aca="false">IF(L22&gt;0,ROUNDUP(L22/Parametres!$B$7,0)+1,0)</f>
        <v>0</v>
      </c>
      <c r="N22" s="3" t="n">
        <f aca="false">SUMIFS(Equipes!$D$2:$D$60,Equipes!$A$2:$A$60,"LOT-07",Equipes!$B$2:$B$60,"&lt;="&amp;$A22,Equipes!$C$2:$C$60,"&gt;="&amp;$A22)</f>
        <v>0</v>
      </c>
      <c r="O22" s="3" t="n">
        <f aca="false">IF(N22&gt;0,ROUNDUP(N22/Parametres!$B$7,0)+1,0)</f>
        <v>0</v>
      </c>
      <c r="P22" s="3" t="n">
        <f aca="false">SUMIFS(Equipes!$D$2:$D$60,Equipes!$A$2:$A$60,"LOT-08",Equipes!$B$2:$B$60,"&lt;="&amp;$A22,Equipes!$C$2:$C$60,"&gt;="&amp;$A22)</f>
        <v>0</v>
      </c>
      <c r="Q22" s="3" t="n">
        <f aca="false">IF(P22&gt;0,ROUNDUP(P22/Parametres!$B$7,0)+1,0)</f>
        <v>0</v>
      </c>
    </row>
    <row r="23" customFormat="false" ht="15" hidden="false" customHeight="false" outlineLevel="0" collapsed="false">
      <c r="A23" s="2" t="n">
        <v>46104</v>
      </c>
      <c r="B23" s="3" t="n">
        <f aca="false">SUMIFS(Equipes!$D$2:$D$60,Equipes!$A$2:$A$60,"LOT-01",Equipes!$B$2:$B$60,"&lt;="&amp;$A23,Equipes!$C$2:$C$60,"&gt;="&amp;$A23)</f>
        <v>5</v>
      </c>
      <c r="C23" s="3" t="n">
        <f aca="false">IF(B23&gt;0,ROUNDUP(B23/Parametres!$B$7,0)+1,0)</f>
        <v>2</v>
      </c>
      <c r="D23" s="3" t="n">
        <f aca="false">SUMIFS(Equipes!$D$2:$D$60,Equipes!$A$2:$A$60,"LOT-02",Equipes!$B$2:$B$60,"&lt;="&amp;$A23,Equipes!$C$2:$C$60,"&gt;="&amp;$A23)</f>
        <v>8</v>
      </c>
      <c r="E23" s="3" t="n">
        <f aca="false">IF(D23&gt;0,ROUNDUP(D23/Parametres!$B$7,0)+1,0)</f>
        <v>2</v>
      </c>
      <c r="F23" s="3" t="n">
        <f aca="false">SUMIFS(Equipes!$D$2:$D$60,Equipes!$A$2:$A$60,"LOT-03",Equipes!$B$2:$B$60,"&lt;="&amp;$A23,Equipes!$C$2:$C$60,"&gt;="&amp;$A23)</f>
        <v>0</v>
      </c>
      <c r="G23" s="3" t="n">
        <f aca="false">IF(F23&gt;0,ROUNDUP(F23/Parametres!$B$7,0)+1,0)</f>
        <v>0</v>
      </c>
      <c r="H23" s="3" t="n">
        <f aca="false">SUMIFS(Equipes!$D$2:$D$60,Equipes!$A$2:$A$60,"LOT-04",Equipes!$B$2:$B$60,"&lt;="&amp;$A23,Equipes!$C$2:$C$60,"&gt;="&amp;$A23)</f>
        <v>0</v>
      </c>
      <c r="I23" s="3" t="n">
        <f aca="false">IF(H23&gt;0,ROUNDUP(H23/Parametres!$B$7,0)+1,0)</f>
        <v>0</v>
      </c>
      <c r="J23" s="3" t="n">
        <f aca="false">SUMIFS(Equipes!$D$2:$D$60,Equipes!$A$2:$A$60,"LOT-05",Equipes!$B$2:$B$60,"&lt;="&amp;$A23,Equipes!$C$2:$C$60,"&gt;="&amp;$A23)</f>
        <v>0</v>
      </c>
      <c r="K23" s="3" t="n">
        <f aca="false">IF(J23&gt;0,ROUNDUP(J23/Parametres!$B$7,0)+1,0)</f>
        <v>0</v>
      </c>
      <c r="L23" s="3" t="n">
        <f aca="false">SUMIFS(Equipes!$D$2:$D$60,Equipes!$A$2:$A$60,"LOT-06",Equipes!$B$2:$B$60,"&lt;="&amp;$A23,Equipes!$C$2:$C$60,"&gt;="&amp;$A23)</f>
        <v>0</v>
      </c>
      <c r="M23" s="3" t="n">
        <f aca="false">IF(L23&gt;0,ROUNDUP(L23/Parametres!$B$7,0)+1,0)</f>
        <v>0</v>
      </c>
      <c r="N23" s="3" t="n">
        <f aca="false">SUMIFS(Equipes!$D$2:$D$60,Equipes!$A$2:$A$60,"LOT-07",Equipes!$B$2:$B$60,"&lt;="&amp;$A23,Equipes!$C$2:$C$60,"&gt;="&amp;$A23)</f>
        <v>0</v>
      </c>
      <c r="O23" s="3" t="n">
        <f aca="false">IF(N23&gt;0,ROUNDUP(N23/Parametres!$B$7,0)+1,0)</f>
        <v>0</v>
      </c>
      <c r="P23" s="3" t="n">
        <f aca="false">SUMIFS(Equipes!$D$2:$D$60,Equipes!$A$2:$A$60,"LOT-08",Equipes!$B$2:$B$60,"&lt;="&amp;$A23,Equipes!$C$2:$C$60,"&gt;="&amp;$A23)</f>
        <v>0</v>
      </c>
      <c r="Q23" s="3" t="n">
        <f aca="false">IF(P23&gt;0,ROUNDUP(P23/Parametres!$B$7,0)+1,0)</f>
        <v>0</v>
      </c>
    </row>
    <row r="24" customFormat="false" ht="15" hidden="false" customHeight="false" outlineLevel="0" collapsed="false">
      <c r="A24" s="2" t="n">
        <v>46105</v>
      </c>
      <c r="B24" s="3" t="n">
        <f aca="false">SUMIFS(Equipes!$D$2:$D$60,Equipes!$A$2:$A$60,"LOT-01",Equipes!$B$2:$B$60,"&lt;="&amp;$A24,Equipes!$C$2:$C$60,"&gt;="&amp;$A24)</f>
        <v>9</v>
      </c>
      <c r="C24" s="3" t="n">
        <f aca="false">IF(B24&gt;0,ROUNDUP(B24/Parametres!$B$7,0)+1,0)</f>
        <v>2</v>
      </c>
      <c r="D24" s="3" t="n">
        <f aca="false">SUMIFS(Equipes!$D$2:$D$60,Equipes!$A$2:$A$60,"LOT-02",Equipes!$B$2:$B$60,"&lt;="&amp;$A24,Equipes!$C$2:$C$60,"&gt;="&amp;$A24)</f>
        <v>8</v>
      </c>
      <c r="E24" s="3" t="n">
        <f aca="false">IF(D24&gt;0,ROUNDUP(D24/Parametres!$B$7,0)+1,0)</f>
        <v>2</v>
      </c>
      <c r="F24" s="3" t="n">
        <f aca="false">SUMIFS(Equipes!$D$2:$D$60,Equipes!$A$2:$A$60,"LOT-03",Equipes!$B$2:$B$60,"&lt;="&amp;$A24,Equipes!$C$2:$C$60,"&gt;="&amp;$A24)</f>
        <v>0</v>
      </c>
      <c r="G24" s="3" t="n">
        <f aca="false">IF(F24&gt;0,ROUNDUP(F24/Parametres!$B$7,0)+1,0)</f>
        <v>0</v>
      </c>
      <c r="H24" s="3" t="n">
        <f aca="false">SUMIFS(Equipes!$D$2:$D$60,Equipes!$A$2:$A$60,"LOT-04",Equipes!$B$2:$B$60,"&lt;="&amp;$A24,Equipes!$C$2:$C$60,"&gt;="&amp;$A24)</f>
        <v>0</v>
      </c>
      <c r="I24" s="3" t="n">
        <f aca="false">IF(H24&gt;0,ROUNDUP(H24/Parametres!$B$7,0)+1,0)</f>
        <v>0</v>
      </c>
      <c r="J24" s="3" t="n">
        <f aca="false">SUMIFS(Equipes!$D$2:$D$60,Equipes!$A$2:$A$60,"LOT-05",Equipes!$B$2:$B$60,"&lt;="&amp;$A24,Equipes!$C$2:$C$60,"&gt;="&amp;$A24)</f>
        <v>0</v>
      </c>
      <c r="K24" s="3" t="n">
        <f aca="false">IF(J24&gt;0,ROUNDUP(J24/Parametres!$B$7,0)+1,0)</f>
        <v>0</v>
      </c>
      <c r="L24" s="3" t="n">
        <f aca="false">SUMIFS(Equipes!$D$2:$D$60,Equipes!$A$2:$A$60,"LOT-06",Equipes!$B$2:$B$60,"&lt;="&amp;$A24,Equipes!$C$2:$C$60,"&gt;="&amp;$A24)</f>
        <v>0</v>
      </c>
      <c r="M24" s="3" t="n">
        <f aca="false">IF(L24&gt;0,ROUNDUP(L24/Parametres!$B$7,0)+1,0)</f>
        <v>0</v>
      </c>
      <c r="N24" s="3" t="n">
        <f aca="false">SUMIFS(Equipes!$D$2:$D$60,Equipes!$A$2:$A$60,"LOT-07",Equipes!$B$2:$B$60,"&lt;="&amp;$A24,Equipes!$C$2:$C$60,"&gt;="&amp;$A24)</f>
        <v>0</v>
      </c>
      <c r="O24" s="3" t="n">
        <f aca="false">IF(N24&gt;0,ROUNDUP(N24/Parametres!$B$7,0)+1,0)</f>
        <v>0</v>
      </c>
      <c r="P24" s="3" t="n">
        <f aca="false">SUMIFS(Equipes!$D$2:$D$60,Equipes!$A$2:$A$60,"LOT-08",Equipes!$B$2:$B$60,"&lt;="&amp;$A24,Equipes!$C$2:$C$60,"&gt;="&amp;$A24)</f>
        <v>0</v>
      </c>
      <c r="Q24" s="3" t="n">
        <f aca="false">IF(P24&gt;0,ROUNDUP(P24/Parametres!$B$7,0)+1,0)</f>
        <v>0</v>
      </c>
    </row>
    <row r="25" customFormat="false" ht="15" hidden="false" customHeight="false" outlineLevel="0" collapsed="false">
      <c r="A25" s="2" t="n">
        <v>46106</v>
      </c>
      <c r="B25" s="3" t="n">
        <f aca="false">SUMIFS(Equipes!$D$2:$D$60,Equipes!$A$2:$A$60,"LOT-01",Equipes!$B$2:$B$60,"&lt;="&amp;$A25,Equipes!$C$2:$C$60,"&gt;="&amp;$A25)</f>
        <v>9</v>
      </c>
      <c r="C25" s="3" t="n">
        <f aca="false">IF(B25&gt;0,ROUNDUP(B25/Parametres!$B$7,0)+1,0)</f>
        <v>2</v>
      </c>
      <c r="D25" s="3" t="n">
        <f aca="false">SUMIFS(Equipes!$D$2:$D$60,Equipes!$A$2:$A$60,"LOT-02",Equipes!$B$2:$B$60,"&lt;="&amp;$A25,Equipes!$C$2:$C$60,"&gt;="&amp;$A25)</f>
        <v>8</v>
      </c>
      <c r="E25" s="3" t="n">
        <f aca="false">IF(D25&gt;0,ROUNDUP(D25/Parametres!$B$7,0)+1,0)</f>
        <v>2</v>
      </c>
      <c r="F25" s="3" t="n">
        <f aca="false">SUMIFS(Equipes!$D$2:$D$60,Equipes!$A$2:$A$60,"LOT-03",Equipes!$B$2:$B$60,"&lt;="&amp;$A25,Equipes!$C$2:$C$60,"&gt;="&amp;$A25)</f>
        <v>0</v>
      </c>
      <c r="G25" s="3" t="n">
        <f aca="false">IF(F25&gt;0,ROUNDUP(F25/Parametres!$B$7,0)+1,0)</f>
        <v>0</v>
      </c>
      <c r="H25" s="3" t="n">
        <f aca="false">SUMIFS(Equipes!$D$2:$D$60,Equipes!$A$2:$A$60,"LOT-04",Equipes!$B$2:$B$60,"&lt;="&amp;$A25,Equipes!$C$2:$C$60,"&gt;="&amp;$A25)</f>
        <v>0</v>
      </c>
      <c r="I25" s="3" t="n">
        <f aca="false">IF(H25&gt;0,ROUNDUP(H25/Parametres!$B$7,0)+1,0)</f>
        <v>0</v>
      </c>
      <c r="J25" s="3" t="n">
        <f aca="false">SUMIFS(Equipes!$D$2:$D$60,Equipes!$A$2:$A$60,"LOT-05",Equipes!$B$2:$B$60,"&lt;="&amp;$A25,Equipes!$C$2:$C$60,"&gt;="&amp;$A25)</f>
        <v>0</v>
      </c>
      <c r="K25" s="3" t="n">
        <f aca="false">IF(J25&gt;0,ROUNDUP(J25/Parametres!$B$7,0)+1,0)</f>
        <v>0</v>
      </c>
      <c r="L25" s="3" t="n">
        <f aca="false">SUMIFS(Equipes!$D$2:$D$60,Equipes!$A$2:$A$60,"LOT-06",Equipes!$B$2:$B$60,"&lt;="&amp;$A25,Equipes!$C$2:$C$60,"&gt;="&amp;$A25)</f>
        <v>0</v>
      </c>
      <c r="M25" s="3" t="n">
        <f aca="false">IF(L25&gt;0,ROUNDUP(L25/Parametres!$B$7,0)+1,0)</f>
        <v>0</v>
      </c>
      <c r="N25" s="3" t="n">
        <f aca="false">SUMIFS(Equipes!$D$2:$D$60,Equipes!$A$2:$A$60,"LOT-07",Equipes!$B$2:$B$60,"&lt;="&amp;$A25,Equipes!$C$2:$C$60,"&gt;="&amp;$A25)</f>
        <v>0</v>
      </c>
      <c r="O25" s="3" t="n">
        <f aca="false">IF(N25&gt;0,ROUNDUP(N25/Parametres!$B$7,0)+1,0)</f>
        <v>0</v>
      </c>
      <c r="P25" s="3" t="n">
        <f aca="false">SUMIFS(Equipes!$D$2:$D$60,Equipes!$A$2:$A$60,"LOT-08",Equipes!$B$2:$B$60,"&lt;="&amp;$A25,Equipes!$C$2:$C$60,"&gt;="&amp;$A25)</f>
        <v>0</v>
      </c>
      <c r="Q25" s="3" t="n">
        <f aca="false">IF(P25&gt;0,ROUNDUP(P25/Parametres!$B$7,0)+1,0)</f>
        <v>0</v>
      </c>
    </row>
    <row r="26" customFormat="false" ht="15" hidden="false" customHeight="false" outlineLevel="0" collapsed="false">
      <c r="A26" s="2" t="n">
        <v>46107</v>
      </c>
      <c r="B26" s="3" t="n">
        <f aca="false">SUMIFS(Equipes!$D$2:$D$60,Equipes!$A$2:$A$60,"LOT-01",Equipes!$B$2:$B$60,"&lt;="&amp;$A26,Equipes!$C$2:$C$60,"&gt;="&amp;$A26)</f>
        <v>9</v>
      </c>
      <c r="C26" s="3" t="n">
        <f aca="false">IF(B26&gt;0,ROUNDUP(B26/Parametres!$B$7,0)+1,0)</f>
        <v>2</v>
      </c>
      <c r="D26" s="3" t="n">
        <f aca="false">SUMIFS(Equipes!$D$2:$D$60,Equipes!$A$2:$A$60,"LOT-02",Equipes!$B$2:$B$60,"&lt;="&amp;$A26,Equipes!$C$2:$C$60,"&gt;="&amp;$A26)</f>
        <v>8</v>
      </c>
      <c r="E26" s="3" t="n">
        <f aca="false">IF(D26&gt;0,ROUNDUP(D26/Parametres!$B$7,0)+1,0)</f>
        <v>2</v>
      </c>
      <c r="F26" s="3" t="n">
        <f aca="false">SUMIFS(Equipes!$D$2:$D$60,Equipes!$A$2:$A$60,"LOT-03",Equipes!$B$2:$B$60,"&lt;="&amp;$A26,Equipes!$C$2:$C$60,"&gt;="&amp;$A26)</f>
        <v>0</v>
      </c>
      <c r="G26" s="3" t="n">
        <f aca="false">IF(F26&gt;0,ROUNDUP(F26/Parametres!$B$7,0)+1,0)</f>
        <v>0</v>
      </c>
      <c r="H26" s="3" t="n">
        <f aca="false">SUMIFS(Equipes!$D$2:$D$60,Equipes!$A$2:$A$60,"LOT-04",Equipes!$B$2:$B$60,"&lt;="&amp;$A26,Equipes!$C$2:$C$60,"&gt;="&amp;$A26)</f>
        <v>0</v>
      </c>
      <c r="I26" s="3" t="n">
        <f aca="false">IF(H26&gt;0,ROUNDUP(H26/Parametres!$B$7,0)+1,0)</f>
        <v>0</v>
      </c>
      <c r="J26" s="3" t="n">
        <f aca="false">SUMIFS(Equipes!$D$2:$D$60,Equipes!$A$2:$A$60,"LOT-05",Equipes!$B$2:$B$60,"&lt;="&amp;$A26,Equipes!$C$2:$C$60,"&gt;="&amp;$A26)</f>
        <v>0</v>
      </c>
      <c r="K26" s="3" t="n">
        <f aca="false">IF(J26&gt;0,ROUNDUP(J26/Parametres!$B$7,0)+1,0)</f>
        <v>0</v>
      </c>
      <c r="L26" s="3" t="n">
        <f aca="false">SUMIFS(Equipes!$D$2:$D$60,Equipes!$A$2:$A$60,"LOT-06",Equipes!$B$2:$B$60,"&lt;="&amp;$A26,Equipes!$C$2:$C$60,"&gt;="&amp;$A26)</f>
        <v>0</v>
      </c>
      <c r="M26" s="3" t="n">
        <f aca="false">IF(L26&gt;0,ROUNDUP(L26/Parametres!$B$7,0)+1,0)</f>
        <v>0</v>
      </c>
      <c r="N26" s="3" t="n">
        <f aca="false">SUMIFS(Equipes!$D$2:$D$60,Equipes!$A$2:$A$60,"LOT-07",Equipes!$B$2:$B$60,"&lt;="&amp;$A26,Equipes!$C$2:$C$60,"&gt;="&amp;$A26)</f>
        <v>0</v>
      </c>
      <c r="O26" s="3" t="n">
        <f aca="false">IF(N26&gt;0,ROUNDUP(N26/Parametres!$B$7,0)+1,0)</f>
        <v>0</v>
      </c>
      <c r="P26" s="3" t="n">
        <f aca="false">SUMIFS(Equipes!$D$2:$D$60,Equipes!$A$2:$A$60,"LOT-08",Equipes!$B$2:$B$60,"&lt;="&amp;$A26,Equipes!$C$2:$C$60,"&gt;="&amp;$A26)</f>
        <v>0</v>
      </c>
      <c r="Q26" s="3" t="n">
        <f aca="false">IF(P26&gt;0,ROUNDUP(P26/Parametres!$B$7,0)+1,0)</f>
        <v>0</v>
      </c>
    </row>
    <row r="27" customFormat="false" ht="15" hidden="false" customHeight="false" outlineLevel="0" collapsed="false">
      <c r="A27" s="2" t="n">
        <v>46108</v>
      </c>
      <c r="B27" s="3" t="n">
        <f aca="false">SUMIFS(Equipes!$D$2:$D$60,Equipes!$A$2:$A$60,"LOT-01",Equipes!$B$2:$B$60,"&lt;="&amp;$A27,Equipes!$C$2:$C$60,"&gt;="&amp;$A27)</f>
        <v>9</v>
      </c>
      <c r="C27" s="3" t="n">
        <f aca="false">IF(B27&gt;0,ROUNDUP(B27/Parametres!$B$7,0)+1,0)</f>
        <v>2</v>
      </c>
      <c r="D27" s="3" t="n">
        <f aca="false">SUMIFS(Equipes!$D$2:$D$60,Equipes!$A$2:$A$60,"LOT-02",Equipes!$B$2:$B$60,"&lt;="&amp;$A27,Equipes!$C$2:$C$60,"&gt;="&amp;$A27)</f>
        <v>8</v>
      </c>
      <c r="E27" s="3" t="n">
        <f aca="false">IF(D27&gt;0,ROUNDUP(D27/Parametres!$B$7,0)+1,0)</f>
        <v>2</v>
      </c>
      <c r="F27" s="3" t="n">
        <f aca="false">SUMIFS(Equipes!$D$2:$D$60,Equipes!$A$2:$A$60,"LOT-03",Equipes!$B$2:$B$60,"&lt;="&amp;$A27,Equipes!$C$2:$C$60,"&gt;="&amp;$A27)</f>
        <v>0</v>
      </c>
      <c r="G27" s="3" t="n">
        <f aca="false">IF(F27&gt;0,ROUNDUP(F27/Parametres!$B$7,0)+1,0)</f>
        <v>0</v>
      </c>
      <c r="H27" s="3" t="n">
        <f aca="false">SUMIFS(Equipes!$D$2:$D$60,Equipes!$A$2:$A$60,"LOT-04",Equipes!$B$2:$B$60,"&lt;="&amp;$A27,Equipes!$C$2:$C$60,"&gt;="&amp;$A27)</f>
        <v>0</v>
      </c>
      <c r="I27" s="3" t="n">
        <f aca="false">IF(H27&gt;0,ROUNDUP(H27/Parametres!$B$7,0)+1,0)</f>
        <v>0</v>
      </c>
      <c r="J27" s="3" t="n">
        <f aca="false">SUMIFS(Equipes!$D$2:$D$60,Equipes!$A$2:$A$60,"LOT-05",Equipes!$B$2:$B$60,"&lt;="&amp;$A27,Equipes!$C$2:$C$60,"&gt;="&amp;$A27)</f>
        <v>0</v>
      </c>
      <c r="K27" s="3" t="n">
        <f aca="false">IF(J27&gt;0,ROUNDUP(J27/Parametres!$B$7,0)+1,0)</f>
        <v>0</v>
      </c>
      <c r="L27" s="3" t="n">
        <f aca="false">SUMIFS(Equipes!$D$2:$D$60,Equipes!$A$2:$A$60,"LOT-06",Equipes!$B$2:$B$60,"&lt;="&amp;$A27,Equipes!$C$2:$C$60,"&gt;="&amp;$A27)</f>
        <v>0</v>
      </c>
      <c r="M27" s="3" t="n">
        <f aca="false">IF(L27&gt;0,ROUNDUP(L27/Parametres!$B$7,0)+1,0)</f>
        <v>0</v>
      </c>
      <c r="N27" s="3" t="n">
        <f aca="false">SUMIFS(Equipes!$D$2:$D$60,Equipes!$A$2:$A$60,"LOT-07",Equipes!$B$2:$B$60,"&lt;="&amp;$A27,Equipes!$C$2:$C$60,"&gt;="&amp;$A27)</f>
        <v>0</v>
      </c>
      <c r="O27" s="3" t="n">
        <f aca="false">IF(N27&gt;0,ROUNDUP(N27/Parametres!$B$7,0)+1,0)</f>
        <v>0</v>
      </c>
      <c r="P27" s="3" t="n">
        <f aca="false">SUMIFS(Equipes!$D$2:$D$60,Equipes!$A$2:$A$60,"LOT-08",Equipes!$B$2:$B$60,"&lt;="&amp;$A27,Equipes!$C$2:$C$60,"&gt;="&amp;$A27)</f>
        <v>0</v>
      </c>
      <c r="Q27" s="3" t="n">
        <f aca="false">IF(P27&gt;0,ROUNDUP(P27/Parametres!$B$7,0)+1,0)</f>
        <v>0</v>
      </c>
    </row>
    <row r="28" customFormat="false" ht="15" hidden="false" customHeight="false" outlineLevel="0" collapsed="false">
      <c r="A28" s="2" t="n">
        <v>46109</v>
      </c>
      <c r="B28" s="3" t="n">
        <f aca="false">SUMIFS(Equipes!$D$2:$D$60,Equipes!$A$2:$A$60,"LOT-01",Equipes!$B$2:$B$60,"&lt;="&amp;$A28,Equipes!$C$2:$C$60,"&gt;="&amp;$A28)</f>
        <v>9</v>
      </c>
      <c r="C28" s="3" t="n">
        <f aca="false">IF(B28&gt;0,ROUNDUP(B28/Parametres!$B$7,0)+1,0)</f>
        <v>2</v>
      </c>
      <c r="D28" s="3" t="n">
        <f aca="false">SUMIFS(Equipes!$D$2:$D$60,Equipes!$A$2:$A$60,"LOT-02",Equipes!$B$2:$B$60,"&lt;="&amp;$A28,Equipes!$C$2:$C$60,"&gt;="&amp;$A28)</f>
        <v>8</v>
      </c>
      <c r="E28" s="3" t="n">
        <f aca="false">IF(D28&gt;0,ROUNDUP(D28/Parametres!$B$7,0)+1,0)</f>
        <v>2</v>
      </c>
      <c r="F28" s="3" t="n">
        <f aca="false">SUMIFS(Equipes!$D$2:$D$60,Equipes!$A$2:$A$60,"LOT-03",Equipes!$B$2:$B$60,"&lt;="&amp;$A28,Equipes!$C$2:$C$60,"&gt;="&amp;$A28)</f>
        <v>0</v>
      </c>
      <c r="G28" s="3" t="n">
        <f aca="false">IF(F28&gt;0,ROUNDUP(F28/Parametres!$B$7,0)+1,0)</f>
        <v>0</v>
      </c>
      <c r="H28" s="3" t="n">
        <f aca="false">SUMIFS(Equipes!$D$2:$D$60,Equipes!$A$2:$A$60,"LOT-04",Equipes!$B$2:$B$60,"&lt;="&amp;$A28,Equipes!$C$2:$C$60,"&gt;="&amp;$A28)</f>
        <v>0</v>
      </c>
      <c r="I28" s="3" t="n">
        <f aca="false">IF(H28&gt;0,ROUNDUP(H28/Parametres!$B$7,0)+1,0)</f>
        <v>0</v>
      </c>
      <c r="J28" s="3" t="n">
        <f aca="false">SUMIFS(Equipes!$D$2:$D$60,Equipes!$A$2:$A$60,"LOT-05",Equipes!$B$2:$B$60,"&lt;="&amp;$A28,Equipes!$C$2:$C$60,"&gt;="&amp;$A28)</f>
        <v>0</v>
      </c>
      <c r="K28" s="3" t="n">
        <f aca="false">IF(J28&gt;0,ROUNDUP(J28/Parametres!$B$7,0)+1,0)</f>
        <v>0</v>
      </c>
      <c r="L28" s="3" t="n">
        <f aca="false">SUMIFS(Equipes!$D$2:$D$60,Equipes!$A$2:$A$60,"LOT-06",Equipes!$B$2:$B$60,"&lt;="&amp;$A28,Equipes!$C$2:$C$60,"&gt;="&amp;$A28)</f>
        <v>0</v>
      </c>
      <c r="M28" s="3" t="n">
        <f aca="false">IF(L28&gt;0,ROUNDUP(L28/Parametres!$B$7,0)+1,0)</f>
        <v>0</v>
      </c>
      <c r="N28" s="3" t="n">
        <f aca="false">SUMIFS(Equipes!$D$2:$D$60,Equipes!$A$2:$A$60,"LOT-07",Equipes!$B$2:$B$60,"&lt;="&amp;$A28,Equipes!$C$2:$C$60,"&gt;="&amp;$A28)</f>
        <v>0</v>
      </c>
      <c r="O28" s="3" t="n">
        <f aca="false">IF(N28&gt;0,ROUNDUP(N28/Parametres!$B$7,0)+1,0)</f>
        <v>0</v>
      </c>
      <c r="P28" s="3" t="n">
        <f aca="false">SUMIFS(Equipes!$D$2:$D$60,Equipes!$A$2:$A$60,"LOT-08",Equipes!$B$2:$B$60,"&lt;="&amp;$A28,Equipes!$C$2:$C$60,"&gt;="&amp;$A28)</f>
        <v>0</v>
      </c>
      <c r="Q28" s="3" t="n">
        <f aca="false">IF(P28&gt;0,ROUNDUP(P28/Parametres!$B$7,0)+1,0)</f>
        <v>0</v>
      </c>
    </row>
    <row r="29" customFormat="false" ht="15" hidden="false" customHeight="false" outlineLevel="0" collapsed="false">
      <c r="A29" s="2" t="n">
        <v>46110</v>
      </c>
      <c r="B29" s="3" t="n">
        <f aca="false">SUMIFS(Equipes!$D$2:$D$60,Equipes!$A$2:$A$60,"LOT-01",Equipes!$B$2:$B$60,"&lt;="&amp;$A29,Equipes!$C$2:$C$60,"&gt;="&amp;$A29)</f>
        <v>9</v>
      </c>
      <c r="C29" s="3" t="n">
        <f aca="false">IF(B29&gt;0,ROUNDUP(B29/Parametres!$B$7,0)+1,0)</f>
        <v>2</v>
      </c>
      <c r="D29" s="3" t="n">
        <f aca="false">SUMIFS(Equipes!$D$2:$D$60,Equipes!$A$2:$A$60,"LOT-02",Equipes!$B$2:$B$60,"&lt;="&amp;$A29,Equipes!$C$2:$C$60,"&gt;="&amp;$A29)</f>
        <v>8</v>
      </c>
      <c r="E29" s="3" t="n">
        <f aca="false">IF(D29&gt;0,ROUNDUP(D29/Parametres!$B$7,0)+1,0)</f>
        <v>2</v>
      </c>
      <c r="F29" s="3" t="n">
        <f aca="false">SUMIFS(Equipes!$D$2:$D$60,Equipes!$A$2:$A$60,"LOT-03",Equipes!$B$2:$B$60,"&lt;="&amp;$A29,Equipes!$C$2:$C$60,"&gt;="&amp;$A29)</f>
        <v>0</v>
      </c>
      <c r="G29" s="3" t="n">
        <f aca="false">IF(F29&gt;0,ROUNDUP(F29/Parametres!$B$7,0)+1,0)</f>
        <v>0</v>
      </c>
      <c r="H29" s="3" t="n">
        <f aca="false">SUMIFS(Equipes!$D$2:$D$60,Equipes!$A$2:$A$60,"LOT-04",Equipes!$B$2:$B$60,"&lt;="&amp;$A29,Equipes!$C$2:$C$60,"&gt;="&amp;$A29)</f>
        <v>0</v>
      </c>
      <c r="I29" s="3" t="n">
        <f aca="false">IF(H29&gt;0,ROUNDUP(H29/Parametres!$B$7,0)+1,0)</f>
        <v>0</v>
      </c>
      <c r="J29" s="3" t="n">
        <f aca="false">SUMIFS(Equipes!$D$2:$D$60,Equipes!$A$2:$A$60,"LOT-05",Equipes!$B$2:$B$60,"&lt;="&amp;$A29,Equipes!$C$2:$C$60,"&gt;="&amp;$A29)</f>
        <v>0</v>
      </c>
      <c r="K29" s="3" t="n">
        <f aca="false">IF(J29&gt;0,ROUNDUP(J29/Parametres!$B$7,0)+1,0)</f>
        <v>0</v>
      </c>
      <c r="L29" s="3" t="n">
        <f aca="false">SUMIFS(Equipes!$D$2:$D$60,Equipes!$A$2:$A$60,"LOT-06",Equipes!$B$2:$B$60,"&lt;="&amp;$A29,Equipes!$C$2:$C$60,"&gt;="&amp;$A29)</f>
        <v>0</v>
      </c>
      <c r="M29" s="3" t="n">
        <f aca="false">IF(L29&gt;0,ROUNDUP(L29/Parametres!$B$7,0)+1,0)</f>
        <v>0</v>
      </c>
      <c r="N29" s="3" t="n">
        <f aca="false">SUMIFS(Equipes!$D$2:$D$60,Equipes!$A$2:$A$60,"LOT-07",Equipes!$B$2:$B$60,"&lt;="&amp;$A29,Equipes!$C$2:$C$60,"&gt;="&amp;$A29)</f>
        <v>0</v>
      </c>
      <c r="O29" s="3" t="n">
        <f aca="false">IF(N29&gt;0,ROUNDUP(N29/Parametres!$B$7,0)+1,0)</f>
        <v>0</v>
      </c>
      <c r="P29" s="3" t="n">
        <f aca="false">SUMIFS(Equipes!$D$2:$D$60,Equipes!$A$2:$A$60,"LOT-08",Equipes!$B$2:$B$60,"&lt;="&amp;$A29,Equipes!$C$2:$C$60,"&gt;="&amp;$A29)</f>
        <v>0</v>
      </c>
      <c r="Q29" s="3" t="n">
        <f aca="false">IF(P29&gt;0,ROUNDUP(P29/Parametres!$B$7,0)+1,0)</f>
        <v>0</v>
      </c>
    </row>
    <row r="30" customFormat="false" ht="15" hidden="false" customHeight="false" outlineLevel="0" collapsed="false">
      <c r="A30" s="2" t="n">
        <v>46111</v>
      </c>
      <c r="B30" s="3" t="n">
        <f aca="false">SUMIFS(Equipes!$D$2:$D$60,Equipes!$A$2:$A$60,"LOT-01",Equipes!$B$2:$B$60,"&lt;="&amp;$A30,Equipes!$C$2:$C$60,"&gt;="&amp;$A30)</f>
        <v>5</v>
      </c>
      <c r="C30" s="3" t="n">
        <f aca="false">IF(B30&gt;0,ROUNDUP(B30/Parametres!$B$7,0)+1,0)</f>
        <v>2</v>
      </c>
      <c r="D30" s="3" t="n">
        <f aca="false">SUMIFS(Equipes!$D$2:$D$60,Equipes!$A$2:$A$60,"LOT-02",Equipes!$B$2:$B$60,"&lt;="&amp;$A30,Equipes!$C$2:$C$60,"&gt;="&amp;$A30)</f>
        <v>8</v>
      </c>
      <c r="E30" s="3" t="n">
        <f aca="false">IF(D30&gt;0,ROUNDUP(D30/Parametres!$B$7,0)+1,0)</f>
        <v>2</v>
      </c>
      <c r="F30" s="3" t="n">
        <f aca="false">SUMIFS(Equipes!$D$2:$D$60,Equipes!$A$2:$A$60,"LOT-03",Equipes!$B$2:$B$60,"&lt;="&amp;$A30,Equipes!$C$2:$C$60,"&gt;="&amp;$A30)</f>
        <v>0</v>
      </c>
      <c r="G30" s="3" t="n">
        <f aca="false">IF(F30&gt;0,ROUNDUP(F30/Parametres!$B$7,0)+1,0)</f>
        <v>0</v>
      </c>
      <c r="H30" s="3" t="n">
        <f aca="false">SUMIFS(Equipes!$D$2:$D$60,Equipes!$A$2:$A$60,"LOT-04",Equipes!$B$2:$B$60,"&lt;="&amp;$A30,Equipes!$C$2:$C$60,"&gt;="&amp;$A30)</f>
        <v>0</v>
      </c>
      <c r="I30" s="3" t="n">
        <f aca="false">IF(H30&gt;0,ROUNDUP(H30/Parametres!$B$7,0)+1,0)</f>
        <v>0</v>
      </c>
      <c r="J30" s="3" t="n">
        <f aca="false">SUMIFS(Equipes!$D$2:$D$60,Equipes!$A$2:$A$60,"LOT-05",Equipes!$B$2:$B$60,"&lt;="&amp;$A30,Equipes!$C$2:$C$60,"&gt;="&amp;$A30)</f>
        <v>0</v>
      </c>
      <c r="K30" s="3" t="n">
        <f aca="false">IF(J30&gt;0,ROUNDUP(J30/Parametres!$B$7,0)+1,0)</f>
        <v>0</v>
      </c>
      <c r="L30" s="3" t="n">
        <f aca="false">SUMIFS(Equipes!$D$2:$D$60,Equipes!$A$2:$A$60,"LOT-06",Equipes!$B$2:$B$60,"&lt;="&amp;$A30,Equipes!$C$2:$C$60,"&gt;="&amp;$A30)</f>
        <v>0</v>
      </c>
      <c r="M30" s="3" t="n">
        <f aca="false">IF(L30&gt;0,ROUNDUP(L30/Parametres!$B$7,0)+1,0)</f>
        <v>0</v>
      </c>
      <c r="N30" s="3" t="n">
        <f aca="false">SUMIFS(Equipes!$D$2:$D$60,Equipes!$A$2:$A$60,"LOT-07",Equipes!$B$2:$B$60,"&lt;="&amp;$A30,Equipes!$C$2:$C$60,"&gt;="&amp;$A30)</f>
        <v>0</v>
      </c>
      <c r="O30" s="3" t="n">
        <f aca="false">IF(N30&gt;0,ROUNDUP(N30/Parametres!$B$7,0)+1,0)</f>
        <v>0</v>
      </c>
      <c r="P30" s="3" t="n">
        <f aca="false">SUMIFS(Equipes!$D$2:$D$60,Equipes!$A$2:$A$60,"LOT-08",Equipes!$B$2:$B$60,"&lt;="&amp;$A30,Equipes!$C$2:$C$60,"&gt;="&amp;$A30)</f>
        <v>0</v>
      </c>
      <c r="Q30" s="3" t="n">
        <f aca="false">IF(P30&gt;0,ROUNDUP(P30/Parametres!$B$7,0)+1,0)</f>
        <v>0</v>
      </c>
    </row>
    <row r="31" customFormat="false" ht="15" hidden="false" customHeight="false" outlineLevel="0" collapsed="false">
      <c r="A31" s="2" t="n">
        <v>46112</v>
      </c>
      <c r="B31" s="3" t="n">
        <f aca="false">SUMIFS(Equipes!$D$2:$D$60,Equipes!$A$2:$A$60,"LOT-01",Equipes!$B$2:$B$60,"&lt;="&amp;$A31,Equipes!$C$2:$C$60,"&gt;="&amp;$A31)</f>
        <v>5</v>
      </c>
      <c r="C31" s="3" t="n">
        <f aca="false">IF(B31&gt;0,ROUNDUP(B31/Parametres!$B$7,0)+1,0)</f>
        <v>2</v>
      </c>
      <c r="D31" s="3" t="n">
        <f aca="false">SUMIFS(Equipes!$D$2:$D$60,Equipes!$A$2:$A$60,"LOT-02",Equipes!$B$2:$B$60,"&lt;="&amp;$A31,Equipes!$C$2:$C$60,"&gt;="&amp;$A31)</f>
        <v>8</v>
      </c>
      <c r="E31" s="3" t="n">
        <f aca="false">IF(D31&gt;0,ROUNDUP(D31/Parametres!$B$7,0)+1,0)</f>
        <v>2</v>
      </c>
      <c r="F31" s="3" t="n">
        <f aca="false">SUMIFS(Equipes!$D$2:$D$60,Equipes!$A$2:$A$60,"LOT-03",Equipes!$B$2:$B$60,"&lt;="&amp;$A31,Equipes!$C$2:$C$60,"&gt;="&amp;$A31)</f>
        <v>0</v>
      </c>
      <c r="G31" s="3" t="n">
        <f aca="false">IF(F31&gt;0,ROUNDUP(F31/Parametres!$B$7,0)+1,0)</f>
        <v>0</v>
      </c>
      <c r="H31" s="3" t="n">
        <f aca="false">SUMIFS(Equipes!$D$2:$D$60,Equipes!$A$2:$A$60,"LOT-04",Equipes!$B$2:$B$60,"&lt;="&amp;$A31,Equipes!$C$2:$C$60,"&gt;="&amp;$A31)</f>
        <v>0</v>
      </c>
      <c r="I31" s="3" t="n">
        <f aca="false">IF(H31&gt;0,ROUNDUP(H31/Parametres!$B$7,0)+1,0)</f>
        <v>0</v>
      </c>
      <c r="J31" s="3" t="n">
        <f aca="false">SUMIFS(Equipes!$D$2:$D$60,Equipes!$A$2:$A$60,"LOT-05",Equipes!$B$2:$B$60,"&lt;="&amp;$A31,Equipes!$C$2:$C$60,"&gt;="&amp;$A31)</f>
        <v>0</v>
      </c>
      <c r="K31" s="3" t="n">
        <f aca="false">IF(J31&gt;0,ROUNDUP(J31/Parametres!$B$7,0)+1,0)</f>
        <v>0</v>
      </c>
      <c r="L31" s="3" t="n">
        <f aca="false">SUMIFS(Equipes!$D$2:$D$60,Equipes!$A$2:$A$60,"LOT-06",Equipes!$B$2:$B$60,"&lt;="&amp;$A31,Equipes!$C$2:$C$60,"&gt;="&amp;$A31)</f>
        <v>0</v>
      </c>
      <c r="M31" s="3" t="n">
        <f aca="false">IF(L31&gt;0,ROUNDUP(L31/Parametres!$B$7,0)+1,0)</f>
        <v>0</v>
      </c>
      <c r="N31" s="3" t="n">
        <f aca="false">SUMIFS(Equipes!$D$2:$D$60,Equipes!$A$2:$A$60,"LOT-07",Equipes!$B$2:$B$60,"&lt;="&amp;$A31,Equipes!$C$2:$C$60,"&gt;="&amp;$A31)</f>
        <v>0</v>
      </c>
      <c r="O31" s="3" t="n">
        <f aca="false">IF(N31&gt;0,ROUNDUP(N31/Parametres!$B$7,0)+1,0)</f>
        <v>0</v>
      </c>
      <c r="P31" s="3" t="n">
        <f aca="false">SUMIFS(Equipes!$D$2:$D$60,Equipes!$A$2:$A$60,"LOT-08",Equipes!$B$2:$B$60,"&lt;="&amp;$A31,Equipes!$C$2:$C$60,"&gt;="&amp;$A31)</f>
        <v>0</v>
      </c>
      <c r="Q31" s="3" t="n">
        <f aca="false">IF(P31&gt;0,ROUNDUP(P31/Parametres!$B$7,0)+1,0)</f>
        <v>0</v>
      </c>
    </row>
    <row r="32" customFormat="false" ht="15" hidden="false" customHeight="false" outlineLevel="0" collapsed="false">
      <c r="A32" s="2" t="n">
        <v>46113</v>
      </c>
      <c r="B32" s="3" t="n">
        <f aca="false">SUMIFS(Equipes!$D$2:$D$60,Equipes!$A$2:$A$60,"LOT-01",Equipes!$B$2:$B$60,"&lt;="&amp;$A32,Equipes!$C$2:$C$60,"&gt;="&amp;$A32)</f>
        <v>0</v>
      </c>
      <c r="C32" s="3" t="n">
        <f aca="false">IF(B32&gt;0,ROUNDUP(B32/Parametres!$B$7,0)+1,0)</f>
        <v>0</v>
      </c>
      <c r="D32" s="3" t="n">
        <f aca="false">SUMIFS(Equipes!$D$2:$D$60,Equipes!$A$2:$A$60,"LOT-02",Equipes!$B$2:$B$60,"&lt;="&amp;$A32,Equipes!$C$2:$C$60,"&gt;="&amp;$A32)</f>
        <v>8</v>
      </c>
      <c r="E32" s="3" t="n">
        <f aca="false">IF(D32&gt;0,ROUNDUP(D32/Parametres!$B$7,0)+1,0)</f>
        <v>2</v>
      </c>
      <c r="F32" s="3" t="n">
        <f aca="false">SUMIFS(Equipes!$D$2:$D$60,Equipes!$A$2:$A$60,"LOT-03",Equipes!$B$2:$B$60,"&lt;="&amp;$A32,Equipes!$C$2:$C$60,"&gt;="&amp;$A32)</f>
        <v>0</v>
      </c>
      <c r="G32" s="3" t="n">
        <f aca="false">IF(F32&gt;0,ROUNDUP(F32/Parametres!$B$7,0)+1,0)</f>
        <v>0</v>
      </c>
      <c r="H32" s="3" t="n">
        <f aca="false">SUMIFS(Equipes!$D$2:$D$60,Equipes!$A$2:$A$60,"LOT-04",Equipes!$B$2:$B$60,"&lt;="&amp;$A32,Equipes!$C$2:$C$60,"&gt;="&amp;$A32)</f>
        <v>0</v>
      </c>
      <c r="I32" s="3" t="n">
        <f aca="false">IF(H32&gt;0,ROUNDUP(H32/Parametres!$B$7,0)+1,0)</f>
        <v>0</v>
      </c>
      <c r="J32" s="3" t="n">
        <f aca="false">SUMIFS(Equipes!$D$2:$D$60,Equipes!$A$2:$A$60,"LOT-05",Equipes!$B$2:$B$60,"&lt;="&amp;$A32,Equipes!$C$2:$C$60,"&gt;="&amp;$A32)</f>
        <v>0</v>
      </c>
      <c r="K32" s="3" t="n">
        <f aca="false">IF(J32&gt;0,ROUNDUP(J32/Parametres!$B$7,0)+1,0)</f>
        <v>0</v>
      </c>
      <c r="L32" s="3" t="n">
        <f aca="false">SUMIFS(Equipes!$D$2:$D$60,Equipes!$A$2:$A$60,"LOT-06",Equipes!$B$2:$B$60,"&lt;="&amp;$A32,Equipes!$C$2:$C$60,"&gt;="&amp;$A32)</f>
        <v>0</v>
      </c>
      <c r="M32" s="3" t="n">
        <f aca="false">IF(L32&gt;0,ROUNDUP(L32/Parametres!$B$7,0)+1,0)</f>
        <v>0</v>
      </c>
      <c r="N32" s="3" t="n">
        <f aca="false">SUMIFS(Equipes!$D$2:$D$60,Equipes!$A$2:$A$60,"LOT-07",Equipes!$B$2:$B$60,"&lt;="&amp;$A32,Equipes!$C$2:$C$60,"&gt;="&amp;$A32)</f>
        <v>0</v>
      </c>
      <c r="O32" s="3" t="n">
        <f aca="false">IF(N32&gt;0,ROUNDUP(N32/Parametres!$B$7,0)+1,0)</f>
        <v>0</v>
      </c>
      <c r="P32" s="3" t="n">
        <f aca="false">SUMIFS(Equipes!$D$2:$D$60,Equipes!$A$2:$A$60,"LOT-08",Equipes!$B$2:$B$60,"&lt;="&amp;$A32,Equipes!$C$2:$C$60,"&gt;="&amp;$A32)</f>
        <v>0</v>
      </c>
      <c r="Q32" s="3" t="n">
        <f aca="false">IF(P32&gt;0,ROUNDUP(P32/Parametres!$B$7,0)+1,0)</f>
        <v>0</v>
      </c>
    </row>
    <row r="33" customFormat="false" ht="15" hidden="false" customHeight="false" outlineLevel="0" collapsed="false">
      <c r="A33" s="2" t="n">
        <v>46114</v>
      </c>
      <c r="B33" s="3" t="n">
        <f aca="false">SUMIFS(Equipes!$D$2:$D$60,Equipes!$A$2:$A$60,"LOT-01",Equipes!$B$2:$B$60,"&lt;="&amp;$A33,Equipes!$C$2:$C$60,"&gt;="&amp;$A33)</f>
        <v>0</v>
      </c>
      <c r="C33" s="3" t="n">
        <f aca="false">IF(B33&gt;0,ROUNDUP(B33/Parametres!$B$7,0)+1,0)</f>
        <v>0</v>
      </c>
      <c r="D33" s="3" t="n">
        <f aca="false">SUMIFS(Equipes!$D$2:$D$60,Equipes!$A$2:$A$60,"LOT-02",Equipes!$B$2:$B$60,"&lt;="&amp;$A33,Equipes!$C$2:$C$60,"&gt;="&amp;$A33)</f>
        <v>8</v>
      </c>
      <c r="E33" s="3" t="n">
        <f aca="false">IF(D33&gt;0,ROUNDUP(D33/Parametres!$B$7,0)+1,0)</f>
        <v>2</v>
      </c>
      <c r="F33" s="3" t="n">
        <f aca="false">SUMIFS(Equipes!$D$2:$D$60,Equipes!$A$2:$A$60,"LOT-03",Equipes!$B$2:$B$60,"&lt;="&amp;$A33,Equipes!$C$2:$C$60,"&gt;="&amp;$A33)</f>
        <v>0</v>
      </c>
      <c r="G33" s="3" t="n">
        <f aca="false">IF(F33&gt;0,ROUNDUP(F33/Parametres!$B$7,0)+1,0)</f>
        <v>0</v>
      </c>
      <c r="H33" s="3" t="n">
        <f aca="false">SUMIFS(Equipes!$D$2:$D$60,Equipes!$A$2:$A$60,"LOT-04",Equipes!$B$2:$B$60,"&lt;="&amp;$A33,Equipes!$C$2:$C$60,"&gt;="&amp;$A33)</f>
        <v>0</v>
      </c>
      <c r="I33" s="3" t="n">
        <f aca="false">IF(H33&gt;0,ROUNDUP(H33/Parametres!$B$7,0)+1,0)</f>
        <v>0</v>
      </c>
      <c r="J33" s="3" t="n">
        <f aca="false">SUMIFS(Equipes!$D$2:$D$60,Equipes!$A$2:$A$60,"LOT-05",Equipes!$B$2:$B$60,"&lt;="&amp;$A33,Equipes!$C$2:$C$60,"&gt;="&amp;$A33)</f>
        <v>0</v>
      </c>
      <c r="K33" s="3" t="n">
        <f aca="false">IF(J33&gt;0,ROUNDUP(J33/Parametres!$B$7,0)+1,0)</f>
        <v>0</v>
      </c>
      <c r="L33" s="3" t="n">
        <f aca="false">SUMIFS(Equipes!$D$2:$D$60,Equipes!$A$2:$A$60,"LOT-06",Equipes!$B$2:$B$60,"&lt;="&amp;$A33,Equipes!$C$2:$C$60,"&gt;="&amp;$A33)</f>
        <v>0</v>
      </c>
      <c r="M33" s="3" t="n">
        <f aca="false">IF(L33&gt;0,ROUNDUP(L33/Parametres!$B$7,0)+1,0)</f>
        <v>0</v>
      </c>
      <c r="N33" s="3" t="n">
        <f aca="false">SUMIFS(Equipes!$D$2:$D$60,Equipes!$A$2:$A$60,"LOT-07",Equipes!$B$2:$B$60,"&lt;="&amp;$A33,Equipes!$C$2:$C$60,"&gt;="&amp;$A33)</f>
        <v>0</v>
      </c>
      <c r="O33" s="3" t="n">
        <f aca="false">IF(N33&gt;0,ROUNDUP(N33/Parametres!$B$7,0)+1,0)</f>
        <v>0</v>
      </c>
      <c r="P33" s="3" t="n">
        <f aca="false">SUMIFS(Equipes!$D$2:$D$60,Equipes!$A$2:$A$60,"LOT-08",Equipes!$B$2:$B$60,"&lt;="&amp;$A33,Equipes!$C$2:$C$60,"&gt;="&amp;$A33)</f>
        <v>0</v>
      </c>
      <c r="Q33" s="3" t="n">
        <f aca="false">IF(P33&gt;0,ROUNDUP(P33/Parametres!$B$7,0)+1,0)</f>
        <v>0</v>
      </c>
    </row>
    <row r="34" customFormat="false" ht="15" hidden="false" customHeight="false" outlineLevel="0" collapsed="false">
      <c r="A34" s="2" t="n">
        <v>46115</v>
      </c>
      <c r="B34" s="3" t="n">
        <f aca="false">SUMIFS(Equipes!$D$2:$D$60,Equipes!$A$2:$A$60,"LOT-01",Equipes!$B$2:$B$60,"&lt;="&amp;$A34,Equipes!$C$2:$C$60,"&gt;="&amp;$A34)</f>
        <v>0</v>
      </c>
      <c r="C34" s="3" t="n">
        <f aca="false">IF(B34&gt;0,ROUNDUP(B34/Parametres!$B$7,0)+1,0)</f>
        <v>0</v>
      </c>
      <c r="D34" s="3" t="n">
        <f aca="false">SUMIFS(Equipes!$D$2:$D$60,Equipes!$A$2:$A$60,"LOT-02",Equipes!$B$2:$B$60,"&lt;="&amp;$A34,Equipes!$C$2:$C$60,"&gt;="&amp;$A34)</f>
        <v>8</v>
      </c>
      <c r="E34" s="3" t="n">
        <f aca="false">IF(D34&gt;0,ROUNDUP(D34/Parametres!$B$7,0)+1,0)</f>
        <v>2</v>
      </c>
      <c r="F34" s="3" t="n">
        <f aca="false">SUMIFS(Equipes!$D$2:$D$60,Equipes!$A$2:$A$60,"LOT-03",Equipes!$B$2:$B$60,"&lt;="&amp;$A34,Equipes!$C$2:$C$60,"&gt;="&amp;$A34)</f>
        <v>0</v>
      </c>
      <c r="G34" s="3" t="n">
        <f aca="false">IF(F34&gt;0,ROUNDUP(F34/Parametres!$B$7,0)+1,0)</f>
        <v>0</v>
      </c>
      <c r="H34" s="3" t="n">
        <f aca="false">SUMIFS(Equipes!$D$2:$D$60,Equipes!$A$2:$A$60,"LOT-04",Equipes!$B$2:$B$60,"&lt;="&amp;$A34,Equipes!$C$2:$C$60,"&gt;="&amp;$A34)</f>
        <v>0</v>
      </c>
      <c r="I34" s="3" t="n">
        <f aca="false">IF(H34&gt;0,ROUNDUP(H34/Parametres!$B$7,0)+1,0)</f>
        <v>0</v>
      </c>
      <c r="J34" s="3" t="n">
        <f aca="false">SUMIFS(Equipes!$D$2:$D$60,Equipes!$A$2:$A$60,"LOT-05",Equipes!$B$2:$B$60,"&lt;="&amp;$A34,Equipes!$C$2:$C$60,"&gt;="&amp;$A34)</f>
        <v>0</v>
      </c>
      <c r="K34" s="3" t="n">
        <f aca="false">IF(J34&gt;0,ROUNDUP(J34/Parametres!$B$7,0)+1,0)</f>
        <v>0</v>
      </c>
      <c r="L34" s="3" t="n">
        <f aca="false">SUMIFS(Equipes!$D$2:$D$60,Equipes!$A$2:$A$60,"LOT-06",Equipes!$B$2:$B$60,"&lt;="&amp;$A34,Equipes!$C$2:$C$60,"&gt;="&amp;$A34)</f>
        <v>0</v>
      </c>
      <c r="M34" s="3" t="n">
        <f aca="false">IF(L34&gt;0,ROUNDUP(L34/Parametres!$B$7,0)+1,0)</f>
        <v>0</v>
      </c>
      <c r="N34" s="3" t="n">
        <f aca="false">SUMIFS(Equipes!$D$2:$D$60,Equipes!$A$2:$A$60,"LOT-07",Equipes!$B$2:$B$60,"&lt;="&amp;$A34,Equipes!$C$2:$C$60,"&gt;="&amp;$A34)</f>
        <v>0</v>
      </c>
      <c r="O34" s="3" t="n">
        <f aca="false">IF(N34&gt;0,ROUNDUP(N34/Parametres!$B$7,0)+1,0)</f>
        <v>0</v>
      </c>
      <c r="P34" s="3" t="n">
        <f aca="false">SUMIFS(Equipes!$D$2:$D$60,Equipes!$A$2:$A$60,"LOT-08",Equipes!$B$2:$B$60,"&lt;="&amp;$A34,Equipes!$C$2:$C$60,"&gt;="&amp;$A34)</f>
        <v>0</v>
      </c>
      <c r="Q34" s="3" t="n">
        <f aca="false">IF(P34&gt;0,ROUNDUP(P34/Parametres!$B$7,0)+1,0)</f>
        <v>0</v>
      </c>
    </row>
    <row r="35" customFormat="false" ht="15" hidden="false" customHeight="false" outlineLevel="0" collapsed="false">
      <c r="A35" s="2" t="n">
        <v>46116</v>
      </c>
      <c r="B35" s="3" t="n">
        <f aca="false">SUMIFS(Equipes!$D$2:$D$60,Equipes!$A$2:$A$60,"LOT-01",Equipes!$B$2:$B$60,"&lt;="&amp;$A35,Equipes!$C$2:$C$60,"&gt;="&amp;$A35)</f>
        <v>0</v>
      </c>
      <c r="C35" s="3" t="n">
        <f aca="false">IF(B35&gt;0,ROUNDUP(B35/Parametres!$B$7,0)+1,0)</f>
        <v>0</v>
      </c>
      <c r="D35" s="3" t="n">
        <f aca="false">SUMIFS(Equipes!$D$2:$D$60,Equipes!$A$2:$A$60,"LOT-02",Equipes!$B$2:$B$60,"&lt;="&amp;$A35,Equipes!$C$2:$C$60,"&gt;="&amp;$A35)</f>
        <v>8</v>
      </c>
      <c r="E35" s="3" t="n">
        <f aca="false">IF(D35&gt;0,ROUNDUP(D35/Parametres!$B$7,0)+1,0)</f>
        <v>2</v>
      </c>
      <c r="F35" s="3" t="n">
        <f aca="false">SUMIFS(Equipes!$D$2:$D$60,Equipes!$A$2:$A$60,"LOT-03",Equipes!$B$2:$B$60,"&lt;="&amp;$A35,Equipes!$C$2:$C$60,"&gt;="&amp;$A35)</f>
        <v>0</v>
      </c>
      <c r="G35" s="3" t="n">
        <f aca="false">IF(F35&gt;0,ROUNDUP(F35/Parametres!$B$7,0)+1,0)</f>
        <v>0</v>
      </c>
      <c r="H35" s="3" t="n">
        <f aca="false">SUMIFS(Equipes!$D$2:$D$60,Equipes!$A$2:$A$60,"LOT-04",Equipes!$B$2:$B$60,"&lt;="&amp;$A35,Equipes!$C$2:$C$60,"&gt;="&amp;$A35)</f>
        <v>0</v>
      </c>
      <c r="I35" s="3" t="n">
        <f aca="false">IF(H35&gt;0,ROUNDUP(H35/Parametres!$B$7,0)+1,0)</f>
        <v>0</v>
      </c>
      <c r="J35" s="3" t="n">
        <f aca="false">SUMIFS(Equipes!$D$2:$D$60,Equipes!$A$2:$A$60,"LOT-05",Equipes!$B$2:$B$60,"&lt;="&amp;$A35,Equipes!$C$2:$C$60,"&gt;="&amp;$A35)</f>
        <v>0</v>
      </c>
      <c r="K35" s="3" t="n">
        <f aca="false">IF(J35&gt;0,ROUNDUP(J35/Parametres!$B$7,0)+1,0)</f>
        <v>0</v>
      </c>
      <c r="L35" s="3" t="n">
        <f aca="false">SUMIFS(Equipes!$D$2:$D$60,Equipes!$A$2:$A$60,"LOT-06",Equipes!$B$2:$B$60,"&lt;="&amp;$A35,Equipes!$C$2:$C$60,"&gt;="&amp;$A35)</f>
        <v>0</v>
      </c>
      <c r="M35" s="3" t="n">
        <f aca="false">IF(L35&gt;0,ROUNDUP(L35/Parametres!$B$7,0)+1,0)</f>
        <v>0</v>
      </c>
      <c r="N35" s="3" t="n">
        <f aca="false">SUMIFS(Equipes!$D$2:$D$60,Equipes!$A$2:$A$60,"LOT-07",Equipes!$B$2:$B$60,"&lt;="&amp;$A35,Equipes!$C$2:$C$60,"&gt;="&amp;$A35)</f>
        <v>0</v>
      </c>
      <c r="O35" s="3" t="n">
        <f aca="false">IF(N35&gt;0,ROUNDUP(N35/Parametres!$B$7,0)+1,0)</f>
        <v>0</v>
      </c>
      <c r="P35" s="3" t="n">
        <f aca="false">SUMIFS(Equipes!$D$2:$D$60,Equipes!$A$2:$A$60,"LOT-08",Equipes!$B$2:$B$60,"&lt;="&amp;$A35,Equipes!$C$2:$C$60,"&gt;="&amp;$A35)</f>
        <v>0</v>
      </c>
      <c r="Q35" s="3" t="n">
        <f aca="false">IF(P35&gt;0,ROUNDUP(P35/Parametres!$B$7,0)+1,0)</f>
        <v>0</v>
      </c>
    </row>
    <row r="36" customFormat="false" ht="15" hidden="false" customHeight="false" outlineLevel="0" collapsed="false">
      <c r="A36" s="2" t="n">
        <v>46117</v>
      </c>
      <c r="B36" s="3" t="n">
        <f aca="false">SUMIFS(Equipes!$D$2:$D$60,Equipes!$A$2:$A$60,"LOT-01",Equipes!$B$2:$B$60,"&lt;="&amp;$A36,Equipes!$C$2:$C$60,"&gt;="&amp;$A36)</f>
        <v>0</v>
      </c>
      <c r="C36" s="3" t="n">
        <f aca="false">IF(B36&gt;0,ROUNDUP(B36/Parametres!$B$7,0)+1,0)</f>
        <v>0</v>
      </c>
      <c r="D36" s="3" t="n">
        <f aca="false">SUMIFS(Equipes!$D$2:$D$60,Equipes!$A$2:$A$60,"LOT-02",Equipes!$B$2:$B$60,"&lt;="&amp;$A36,Equipes!$C$2:$C$60,"&gt;="&amp;$A36)</f>
        <v>8</v>
      </c>
      <c r="E36" s="3" t="n">
        <f aca="false">IF(D36&gt;0,ROUNDUP(D36/Parametres!$B$7,0)+1,0)</f>
        <v>2</v>
      </c>
      <c r="F36" s="3" t="n">
        <f aca="false">SUMIFS(Equipes!$D$2:$D$60,Equipes!$A$2:$A$60,"LOT-03",Equipes!$B$2:$B$60,"&lt;="&amp;$A36,Equipes!$C$2:$C$60,"&gt;="&amp;$A36)</f>
        <v>0</v>
      </c>
      <c r="G36" s="3" t="n">
        <f aca="false">IF(F36&gt;0,ROUNDUP(F36/Parametres!$B$7,0)+1,0)</f>
        <v>0</v>
      </c>
      <c r="H36" s="3" t="n">
        <f aca="false">SUMIFS(Equipes!$D$2:$D$60,Equipes!$A$2:$A$60,"LOT-04",Equipes!$B$2:$B$60,"&lt;="&amp;$A36,Equipes!$C$2:$C$60,"&gt;="&amp;$A36)</f>
        <v>0</v>
      </c>
      <c r="I36" s="3" t="n">
        <f aca="false">IF(H36&gt;0,ROUNDUP(H36/Parametres!$B$7,0)+1,0)</f>
        <v>0</v>
      </c>
      <c r="J36" s="3" t="n">
        <f aca="false">SUMIFS(Equipes!$D$2:$D$60,Equipes!$A$2:$A$60,"LOT-05",Equipes!$B$2:$B$60,"&lt;="&amp;$A36,Equipes!$C$2:$C$60,"&gt;="&amp;$A36)</f>
        <v>0</v>
      </c>
      <c r="K36" s="3" t="n">
        <f aca="false">IF(J36&gt;0,ROUNDUP(J36/Parametres!$B$7,0)+1,0)</f>
        <v>0</v>
      </c>
      <c r="L36" s="3" t="n">
        <f aca="false">SUMIFS(Equipes!$D$2:$D$60,Equipes!$A$2:$A$60,"LOT-06",Equipes!$B$2:$B$60,"&lt;="&amp;$A36,Equipes!$C$2:$C$60,"&gt;="&amp;$A36)</f>
        <v>0</v>
      </c>
      <c r="M36" s="3" t="n">
        <f aca="false">IF(L36&gt;0,ROUNDUP(L36/Parametres!$B$7,0)+1,0)</f>
        <v>0</v>
      </c>
      <c r="N36" s="3" t="n">
        <f aca="false">SUMIFS(Equipes!$D$2:$D$60,Equipes!$A$2:$A$60,"LOT-07",Equipes!$B$2:$B$60,"&lt;="&amp;$A36,Equipes!$C$2:$C$60,"&gt;="&amp;$A36)</f>
        <v>0</v>
      </c>
      <c r="O36" s="3" t="n">
        <f aca="false">IF(N36&gt;0,ROUNDUP(N36/Parametres!$B$7,0)+1,0)</f>
        <v>0</v>
      </c>
      <c r="P36" s="3" t="n">
        <f aca="false">SUMIFS(Equipes!$D$2:$D$60,Equipes!$A$2:$A$60,"LOT-08",Equipes!$B$2:$B$60,"&lt;="&amp;$A36,Equipes!$C$2:$C$60,"&gt;="&amp;$A36)</f>
        <v>0</v>
      </c>
      <c r="Q36" s="3" t="n">
        <f aca="false">IF(P36&gt;0,ROUNDUP(P36/Parametres!$B$7,0)+1,0)</f>
        <v>0</v>
      </c>
    </row>
    <row r="37" customFormat="false" ht="15" hidden="false" customHeight="false" outlineLevel="0" collapsed="false">
      <c r="A37" s="2" t="n">
        <v>46118</v>
      </c>
      <c r="B37" s="3" t="n">
        <f aca="false">SUMIFS(Equipes!$D$2:$D$60,Equipes!$A$2:$A$60,"LOT-01",Equipes!$B$2:$B$60,"&lt;="&amp;$A37,Equipes!$C$2:$C$60,"&gt;="&amp;$A37)</f>
        <v>0</v>
      </c>
      <c r="C37" s="3" t="n">
        <f aca="false">IF(B37&gt;0,ROUNDUP(B37/Parametres!$B$7,0)+1,0)</f>
        <v>0</v>
      </c>
      <c r="D37" s="3" t="n">
        <f aca="false">SUMIFS(Equipes!$D$2:$D$60,Equipes!$A$2:$A$60,"LOT-02",Equipes!$B$2:$B$60,"&lt;="&amp;$A37,Equipes!$C$2:$C$60,"&gt;="&amp;$A37)</f>
        <v>8</v>
      </c>
      <c r="E37" s="3" t="n">
        <f aca="false">IF(D37&gt;0,ROUNDUP(D37/Parametres!$B$7,0)+1,0)</f>
        <v>2</v>
      </c>
      <c r="F37" s="3" t="n">
        <f aca="false">SUMIFS(Equipes!$D$2:$D$60,Equipes!$A$2:$A$60,"LOT-03",Equipes!$B$2:$B$60,"&lt;="&amp;$A37,Equipes!$C$2:$C$60,"&gt;="&amp;$A37)</f>
        <v>0</v>
      </c>
      <c r="G37" s="3" t="n">
        <f aca="false">IF(F37&gt;0,ROUNDUP(F37/Parametres!$B$7,0)+1,0)</f>
        <v>0</v>
      </c>
      <c r="H37" s="3" t="n">
        <f aca="false">SUMIFS(Equipes!$D$2:$D$60,Equipes!$A$2:$A$60,"LOT-04",Equipes!$B$2:$B$60,"&lt;="&amp;$A37,Equipes!$C$2:$C$60,"&gt;="&amp;$A37)</f>
        <v>0</v>
      </c>
      <c r="I37" s="3" t="n">
        <f aca="false">IF(H37&gt;0,ROUNDUP(H37/Parametres!$B$7,0)+1,0)</f>
        <v>0</v>
      </c>
      <c r="J37" s="3" t="n">
        <f aca="false">SUMIFS(Equipes!$D$2:$D$60,Equipes!$A$2:$A$60,"LOT-05",Equipes!$B$2:$B$60,"&lt;="&amp;$A37,Equipes!$C$2:$C$60,"&gt;="&amp;$A37)</f>
        <v>0</v>
      </c>
      <c r="K37" s="3" t="n">
        <f aca="false">IF(J37&gt;0,ROUNDUP(J37/Parametres!$B$7,0)+1,0)</f>
        <v>0</v>
      </c>
      <c r="L37" s="3" t="n">
        <f aca="false">SUMIFS(Equipes!$D$2:$D$60,Equipes!$A$2:$A$60,"LOT-06",Equipes!$B$2:$B$60,"&lt;="&amp;$A37,Equipes!$C$2:$C$60,"&gt;="&amp;$A37)</f>
        <v>0</v>
      </c>
      <c r="M37" s="3" t="n">
        <f aca="false">IF(L37&gt;0,ROUNDUP(L37/Parametres!$B$7,0)+1,0)</f>
        <v>0</v>
      </c>
      <c r="N37" s="3" t="n">
        <f aca="false">SUMIFS(Equipes!$D$2:$D$60,Equipes!$A$2:$A$60,"LOT-07",Equipes!$B$2:$B$60,"&lt;="&amp;$A37,Equipes!$C$2:$C$60,"&gt;="&amp;$A37)</f>
        <v>0</v>
      </c>
      <c r="O37" s="3" t="n">
        <f aca="false">IF(N37&gt;0,ROUNDUP(N37/Parametres!$B$7,0)+1,0)</f>
        <v>0</v>
      </c>
      <c r="P37" s="3" t="n">
        <f aca="false">SUMIFS(Equipes!$D$2:$D$60,Equipes!$A$2:$A$60,"LOT-08",Equipes!$B$2:$B$60,"&lt;="&amp;$A37,Equipes!$C$2:$C$60,"&gt;="&amp;$A37)</f>
        <v>0</v>
      </c>
      <c r="Q37" s="3" t="n">
        <f aca="false">IF(P37&gt;0,ROUNDUP(P37/Parametres!$B$7,0)+1,0)</f>
        <v>0</v>
      </c>
    </row>
    <row r="38" customFormat="false" ht="15" hidden="false" customHeight="false" outlineLevel="0" collapsed="false">
      <c r="A38" s="2" t="n">
        <v>46119</v>
      </c>
      <c r="B38" s="3" t="n">
        <f aca="false">SUMIFS(Equipes!$D$2:$D$60,Equipes!$A$2:$A$60,"LOT-01",Equipes!$B$2:$B$60,"&lt;="&amp;$A38,Equipes!$C$2:$C$60,"&gt;="&amp;$A38)</f>
        <v>0</v>
      </c>
      <c r="C38" s="3" t="n">
        <f aca="false">IF(B38&gt;0,ROUNDUP(B38/Parametres!$B$7,0)+1,0)</f>
        <v>0</v>
      </c>
      <c r="D38" s="3" t="n">
        <f aca="false">SUMIFS(Equipes!$D$2:$D$60,Equipes!$A$2:$A$60,"LOT-02",Equipes!$B$2:$B$60,"&lt;="&amp;$A38,Equipes!$C$2:$C$60,"&gt;="&amp;$A38)</f>
        <v>8</v>
      </c>
      <c r="E38" s="3" t="n">
        <f aca="false">IF(D38&gt;0,ROUNDUP(D38/Parametres!$B$7,0)+1,0)</f>
        <v>2</v>
      </c>
      <c r="F38" s="3" t="n">
        <f aca="false">SUMIFS(Equipes!$D$2:$D$60,Equipes!$A$2:$A$60,"LOT-03",Equipes!$B$2:$B$60,"&lt;="&amp;$A38,Equipes!$C$2:$C$60,"&gt;="&amp;$A38)</f>
        <v>0</v>
      </c>
      <c r="G38" s="3" t="n">
        <f aca="false">IF(F38&gt;0,ROUNDUP(F38/Parametres!$B$7,0)+1,0)</f>
        <v>0</v>
      </c>
      <c r="H38" s="3" t="n">
        <f aca="false">SUMIFS(Equipes!$D$2:$D$60,Equipes!$A$2:$A$60,"LOT-04",Equipes!$B$2:$B$60,"&lt;="&amp;$A38,Equipes!$C$2:$C$60,"&gt;="&amp;$A38)</f>
        <v>0</v>
      </c>
      <c r="I38" s="3" t="n">
        <f aca="false">IF(H38&gt;0,ROUNDUP(H38/Parametres!$B$7,0)+1,0)</f>
        <v>0</v>
      </c>
      <c r="J38" s="3" t="n">
        <f aca="false">SUMIFS(Equipes!$D$2:$D$60,Equipes!$A$2:$A$60,"LOT-05",Equipes!$B$2:$B$60,"&lt;="&amp;$A38,Equipes!$C$2:$C$60,"&gt;="&amp;$A38)</f>
        <v>0</v>
      </c>
      <c r="K38" s="3" t="n">
        <f aca="false">IF(J38&gt;0,ROUNDUP(J38/Parametres!$B$7,0)+1,0)</f>
        <v>0</v>
      </c>
      <c r="L38" s="3" t="n">
        <f aca="false">SUMIFS(Equipes!$D$2:$D$60,Equipes!$A$2:$A$60,"LOT-06",Equipes!$B$2:$B$60,"&lt;="&amp;$A38,Equipes!$C$2:$C$60,"&gt;="&amp;$A38)</f>
        <v>0</v>
      </c>
      <c r="M38" s="3" t="n">
        <f aca="false">IF(L38&gt;0,ROUNDUP(L38/Parametres!$B$7,0)+1,0)</f>
        <v>0</v>
      </c>
      <c r="N38" s="3" t="n">
        <f aca="false">SUMIFS(Equipes!$D$2:$D$60,Equipes!$A$2:$A$60,"LOT-07",Equipes!$B$2:$B$60,"&lt;="&amp;$A38,Equipes!$C$2:$C$60,"&gt;="&amp;$A38)</f>
        <v>0</v>
      </c>
      <c r="O38" s="3" t="n">
        <f aca="false">IF(N38&gt;0,ROUNDUP(N38/Parametres!$B$7,0)+1,0)</f>
        <v>0</v>
      </c>
      <c r="P38" s="3" t="n">
        <f aca="false">SUMIFS(Equipes!$D$2:$D$60,Equipes!$A$2:$A$60,"LOT-08",Equipes!$B$2:$B$60,"&lt;="&amp;$A38,Equipes!$C$2:$C$60,"&gt;="&amp;$A38)</f>
        <v>0</v>
      </c>
      <c r="Q38" s="3" t="n">
        <f aca="false">IF(P38&gt;0,ROUNDUP(P38/Parametres!$B$7,0)+1,0)</f>
        <v>0</v>
      </c>
    </row>
    <row r="39" customFormat="false" ht="15" hidden="false" customHeight="false" outlineLevel="0" collapsed="false">
      <c r="A39" s="2" t="n">
        <v>46120</v>
      </c>
      <c r="B39" s="3" t="n">
        <f aca="false">SUMIFS(Equipes!$D$2:$D$60,Equipes!$A$2:$A$60,"LOT-01",Equipes!$B$2:$B$60,"&lt;="&amp;$A39,Equipes!$C$2:$C$60,"&gt;="&amp;$A39)</f>
        <v>0</v>
      </c>
      <c r="C39" s="3" t="n">
        <f aca="false">IF(B39&gt;0,ROUNDUP(B39/Parametres!$B$7,0)+1,0)</f>
        <v>0</v>
      </c>
      <c r="D39" s="3" t="n">
        <f aca="false">SUMIFS(Equipes!$D$2:$D$60,Equipes!$A$2:$A$60,"LOT-02",Equipes!$B$2:$B$60,"&lt;="&amp;$A39,Equipes!$C$2:$C$60,"&gt;="&amp;$A39)</f>
        <v>8</v>
      </c>
      <c r="E39" s="3" t="n">
        <f aca="false">IF(D39&gt;0,ROUNDUP(D39/Parametres!$B$7,0)+1,0)</f>
        <v>2</v>
      </c>
      <c r="F39" s="3" t="n">
        <f aca="false">SUMIFS(Equipes!$D$2:$D$60,Equipes!$A$2:$A$60,"LOT-03",Equipes!$B$2:$B$60,"&lt;="&amp;$A39,Equipes!$C$2:$C$60,"&gt;="&amp;$A39)</f>
        <v>0</v>
      </c>
      <c r="G39" s="3" t="n">
        <f aca="false">IF(F39&gt;0,ROUNDUP(F39/Parametres!$B$7,0)+1,0)</f>
        <v>0</v>
      </c>
      <c r="H39" s="3" t="n">
        <f aca="false">SUMIFS(Equipes!$D$2:$D$60,Equipes!$A$2:$A$60,"LOT-04",Equipes!$B$2:$B$60,"&lt;="&amp;$A39,Equipes!$C$2:$C$60,"&gt;="&amp;$A39)</f>
        <v>0</v>
      </c>
      <c r="I39" s="3" t="n">
        <f aca="false">IF(H39&gt;0,ROUNDUP(H39/Parametres!$B$7,0)+1,0)</f>
        <v>0</v>
      </c>
      <c r="J39" s="3" t="n">
        <f aca="false">SUMIFS(Equipes!$D$2:$D$60,Equipes!$A$2:$A$60,"LOT-05",Equipes!$B$2:$B$60,"&lt;="&amp;$A39,Equipes!$C$2:$C$60,"&gt;="&amp;$A39)</f>
        <v>0</v>
      </c>
      <c r="K39" s="3" t="n">
        <f aca="false">IF(J39&gt;0,ROUNDUP(J39/Parametres!$B$7,0)+1,0)</f>
        <v>0</v>
      </c>
      <c r="L39" s="3" t="n">
        <f aca="false">SUMIFS(Equipes!$D$2:$D$60,Equipes!$A$2:$A$60,"LOT-06",Equipes!$B$2:$B$60,"&lt;="&amp;$A39,Equipes!$C$2:$C$60,"&gt;="&amp;$A39)</f>
        <v>0</v>
      </c>
      <c r="M39" s="3" t="n">
        <f aca="false">IF(L39&gt;0,ROUNDUP(L39/Parametres!$B$7,0)+1,0)</f>
        <v>0</v>
      </c>
      <c r="N39" s="3" t="n">
        <f aca="false">SUMIFS(Equipes!$D$2:$D$60,Equipes!$A$2:$A$60,"LOT-07",Equipes!$B$2:$B$60,"&lt;="&amp;$A39,Equipes!$C$2:$C$60,"&gt;="&amp;$A39)</f>
        <v>0</v>
      </c>
      <c r="O39" s="3" t="n">
        <f aca="false">IF(N39&gt;0,ROUNDUP(N39/Parametres!$B$7,0)+1,0)</f>
        <v>0</v>
      </c>
      <c r="P39" s="3" t="n">
        <f aca="false">SUMIFS(Equipes!$D$2:$D$60,Equipes!$A$2:$A$60,"LOT-08",Equipes!$B$2:$B$60,"&lt;="&amp;$A39,Equipes!$C$2:$C$60,"&gt;="&amp;$A39)</f>
        <v>0</v>
      </c>
      <c r="Q39" s="3" t="n">
        <f aca="false">IF(P39&gt;0,ROUNDUP(P39/Parametres!$B$7,0)+1,0)</f>
        <v>0</v>
      </c>
    </row>
    <row r="40" customFormat="false" ht="15" hidden="false" customHeight="false" outlineLevel="0" collapsed="false">
      <c r="A40" s="2" t="n">
        <v>46121</v>
      </c>
      <c r="B40" s="3" t="n">
        <f aca="false">SUMIFS(Equipes!$D$2:$D$60,Equipes!$A$2:$A$60,"LOT-01",Equipes!$B$2:$B$60,"&lt;="&amp;$A40,Equipes!$C$2:$C$60,"&gt;="&amp;$A40)</f>
        <v>0</v>
      </c>
      <c r="C40" s="3" t="n">
        <f aca="false">IF(B40&gt;0,ROUNDUP(B40/Parametres!$B$7,0)+1,0)</f>
        <v>0</v>
      </c>
      <c r="D40" s="3" t="n">
        <f aca="false">SUMIFS(Equipes!$D$2:$D$60,Equipes!$A$2:$A$60,"LOT-02",Equipes!$B$2:$B$60,"&lt;="&amp;$A40,Equipes!$C$2:$C$60,"&gt;="&amp;$A40)</f>
        <v>8</v>
      </c>
      <c r="E40" s="3" t="n">
        <f aca="false">IF(D40&gt;0,ROUNDUP(D40/Parametres!$B$7,0)+1,0)</f>
        <v>2</v>
      </c>
      <c r="F40" s="3" t="n">
        <f aca="false">SUMIFS(Equipes!$D$2:$D$60,Equipes!$A$2:$A$60,"LOT-03",Equipes!$B$2:$B$60,"&lt;="&amp;$A40,Equipes!$C$2:$C$60,"&gt;="&amp;$A40)</f>
        <v>0</v>
      </c>
      <c r="G40" s="3" t="n">
        <f aca="false">IF(F40&gt;0,ROUNDUP(F40/Parametres!$B$7,0)+1,0)</f>
        <v>0</v>
      </c>
      <c r="H40" s="3" t="n">
        <f aca="false">SUMIFS(Equipes!$D$2:$D$60,Equipes!$A$2:$A$60,"LOT-04",Equipes!$B$2:$B$60,"&lt;="&amp;$A40,Equipes!$C$2:$C$60,"&gt;="&amp;$A40)</f>
        <v>0</v>
      </c>
      <c r="I40" s="3" t="n">
        <f aca="false">IF(H40&gt;0,ROUNDUP(H40/Parametres!$B$7,0)+1,0)</f>
        <v>0</v>
      </c>
      <c r="J40" s="3" t="n">
        <f aca="false">SUMIFS(Equipes!$D$2:$D$60,Equipes!$A$2:$A$60,"LOT-05",Equipes!$B$2:$B$60,"&lt;="&amp;$A40,Equipes!$C$2:$C$60,"&gt;="&amp;$A40)</f>
        <v>0</v>
      </c>
      <c r="K40" s="3" t="n">
        <f aca="false">IF(J40&gt;0,ROUNDUP(J40/Parametres!$B$7,0)+1,0)</f>
        <v>0</v>
      </c>
      <c r="L40" s="3" t="n">
        <f aca="false">SUMIFS(Equipes!$D$2:$D$60,Equipes!$A$2:$A$60,"LOT-06",Equipes!$B$2:$B$60,"&lt;="&amp;$A40,Equipes!$C$2:$C$60,"&gt;="&amp;$A40)</f>
        <v>0</v>
      </c>
      <c r="M40" s="3" t="n">
        <f aca="false">IF(L40&gt;0,ROUNDUP(L40/Parametres!$B$7,0)+1,0)</f>
        <v>0</v>
      </c>
      <c r="N40" s="3" t="n">
        <f aca="false">SUMIFS(Equipes!$D$2:$D$60,Equipes!$A$2:$A$60,"LOT-07",Equipes!$B$2:$B$60,"&lt;="&amp;$A40,Equipes!$C$2:$C$60,"&gt;="&amp;$A40)</f>
        <v>0</v>
      </c>
      <c r="O40" s="3" t="n">
        <f aca="false">IF(N40&gt;0,ROUNDUP(N40/Parametres!$B$7,0)+1,0)</f>
        <v>0</v>
      </c>
      <c r="P40" s="3" t="n">
        <f aca="false">SUMIFS(Equipes!$D$2:$D$60,Equipes!$A$2:$A$60,"LOT-08",Equipes!$B$2:$B$60,"&lt;="&amp;$A40,Equipes!$C$2:$C$60,"&gt;="&amp;$A40)</f>
        <v>0</v>
      </c>
      <c r="Q40" s="3" t="n">
        <f aca="false">IF(P40&gt;0,ROUNDUP(P40/Parametres!$B$7,0)+1,0)</f>
        <v>0</v>
      </c>
    </row>
    <row r="41" customFormat="false" ht="15" hidden="false" customHeight="false" outlineLevel="0" collapsed="false">
      <c r="A41" s="2" t="n">
        <v>46122</v>
      </c>
      <c r="B41" s="3" t="n">
        <f aca="false">SUMIFS(Equipes!$D$2:$D$60,Equipes!$A$2:$A$60,"LOT-01",Equipes!$B$2:$B$60,"&lt;="&amp;$A41,Equipes!$C$2:$C$60,"&gt;="&amp;$A41)</f>
        <v>0</v>
      </c>
      <c r="C41" s="3" t="n">
        <f aca="false">IF(B41&gt;0,ROUNDUP(B41/Parametres!$B$7,0)+1,0)</f>
        <v>0</v>
      </c>
      <c r="D41" s="3" t="n">
        <f aca="false">SUMIFS(Equipes!$D$2:$D$60,Equipes!$A$2:$A$60,"LOT-02",Equipes!$B$2:$B$60,"&lt;="&amp;$A41,Equipes!$C$2:$C$60,"&gt;="&amp;$A41)</f>
        <v>8</v>
      </c>
      <c r="E41" s="3" t="n">
        <f aca="false">IF(D41&gt;0,ROUNDUP(D41/Parametres!$B$7,0)+1,0)</f>
        <v>2</v>
      </c>
      <c r="F41" s="3" t="n">
        <f aca="false">SUMIFS(Equipes!$D$2:$D$60,Equipes!$A$2:$A$60,"LOT-03",Equipes!$B$2:$B$60,"&lt;="&amp;$A41,Equipes!$C$2:$C$60,"&gt;="&amp;$A41)</f>
        <v>0</v>
      </c>
      <c r="G41" s="3" t="n">
        <f aca="false">IF(F41&gt;0,ROUNDUP(F41/Parametres!$B$7,0)+1,0)</f>
        <v>0</v>
      </c>
      <c r="H41" s="3" t="n">
        <f aca="false">SUMIFS(Equipes!$D$2:$D$60,Equipes!$A$2:$A$60,"LOT-04",Equipes!$B$2:$B$60,"&lt;="&amp;$A41,Equipes!$C$2:$C$60,"&gt;="&amp;$A41)</f>
        <v>0</v>
      </c>
      <c r="I41" s="3" t="n">
        <f aca="false">IF(H41&gt;0,ROUNDUP(H41/Parametres!$B$7,0)+1,0)</f>
        <v>0</v>
      </c>
      <c r="J41" s="3" t="n">
        <f aca="false">SUMIFS(Equipes!$D$2:$D$60,Equipes!$A$2:$A$60,"LOT-05",Equipes!$B$2:$B$60,"&lt;="&amp;$A41,Equipes!$C$2:$C$60,"&gt;="&amp;$A41)</f>
        <v>0</v>
      </c>
      <c r="K41" s="3" t="n">
        <f aca="false">IF(J41&gt;0,ROUNDUP(J41/Parametres!$B$7,0)+1,0)</f>
        <v>0</v>
      </c>
      <c r="L41" s="3" t="n">
        <f aca="false">SUMIFS(Equipes!$D$2:$D$60,Equipes!$A$2:$A$60,"LOT-06",Equipes!$B$2:$B$60,"&lt;="&amp;$A41,Equipes!$C$2:$C$60,"&gt;="&amp;$A41)</f>
        <v>0</v>
      </c>
      <c r="M41" s="3" t="n">
        <f aca="false">IF(L41&gt;0,ROUNDUP(L41/Parametres!$B$7,0)+1,0)</f>
        <v>0</v>
      </c>
      <c r="N41" s="3" t="n">
        <f aca="false">SUMIFS(Equipes!$D$2:$D$60,Equipes!$A$2:$A$60,"LOT-07",Equipes!$B$2:$B$60,"&lt;="&amp;$A41,Equipes!$C$2:$C$60,"&gt;="&amp;$A41)</f>
        <v>0</v>
      </c>
      <c r="O41" s="3" t="n">
        <f aca="false">IF(N41&gt;0,ROUNDUP(N41/Parametres!$B$7,0)+1,0)</f>
        <v>0</v>
      </c>
      <c r="P41" s="3" t="n">
        <f aca="false">SUMIFS(Equipes!$D$2:$D$60,Equipes!$A$2:$A$60,"LOT-08",Equipes!$B$2:$B$60,"&lt;="&amp;$A41,Equipes!$C$2:$C$60,"&gt;="&amp;$A41)</f>
        <v>0</v>
      </c>
      <c r="Q41" s="3" t="n">
        <f aca="false">IF(P41&gt;0,ROUNDUP(P41/Parametres!$B$7,0)+1,0)</f>
        <v>0</v>
      </c>
    </row>
    <row r="42" customFormat="false" ht="15" hidden="false" customHeight="false" outlineLevel="0" collapsed="false">
      <c r="A42" s="2" t="n">
        <v>46123</v>
      </c>
      <c r="B42" s="3" t="n">
        <f aca="false">SUMIFS(Equipes!$D$2:$D$60,Equipes!$A$2:$A$60,"LOT-01",Equipes!$B$2:$B$60,"&lt;="&amp;$A42,Equipes!$C$2:$C$60,"&gt;="&amp;$A42)</f>
        <v>0</v>
      </c>
      <c r="C42" s="3" t="n">
        <f aca="false">IF(B42&gt;0,ROUNDUP(B42/Parametres!$B$7,0)+1,0)</f>
        <v>0</v>
      </c>
      <c r="D42" s="3" t="n">
        <f aca="false">SUMIFS(Equipes!$D$2:$D$60,Equipes!$A$2:$A$60,"LOT-02",Equipes!$B$2:$B$60,"&lt;="&amp;$A42,Equipes!$C$2:$C$60,"&gt;="&amp;$A42)</f>
        <v>8</v>
      </c>
      <c r="E42" s="3" t="n">
        <f aca="false">IF(D42&gt;0,ROUNDUP(D42/Parametres!$B$7,0)+1,0)</f>
        <v>2</v>
      </c>
      <c r="F42" s="3" t="n">
        <f aca="false">SUMIFS(Equipes!$D$2:$D$60,Equipes!$A$2:$A$60,"LOT-03",Equipes!$B$2:$B$60,"&lt;="&amp;$A42,Equipes!$C$2:$C$60,"&gt;="&amp;$A42)</f>
        <v>0</v>
      </c>
      <c r="G42" s="3" t="n">
        <f aca="false">IF(F42&gt;0,ROUNDUP(F42/Parametres!$B$7,0)+1,0)</f>
        <v>0</v>
      </c>
      <c r="H42" s="3" t="n">
        <f aca="false">SUMIFS(Equipes!$D$2:$D$60,Equipes!$A$2:$A$60,"LOT-04",Equipes!$B$2:$B$60,"&lt;="&amp;$A42,Equipes!$C$2:$C$60,"&gt;="&amp;$A42)</f>
        <v>0</v>
      </c>
      <c r="I42" s="3" t="n">
        <f aca="false">IF(H42&gt;0,ROUNDUP(H42/Parametres!$B$7,0)+1,0)</f>
        <v>0</v>
      </c>
      <c r="J42" s="3" t="n">
        <f aca="false">SUMIFS(Equipes!$D$2:$D$60,Equipes!$A$2:$A$60,"LOT-05",Equipes!$B$2:$B$60,"&lt;="&amp;$A42,Equipes!$C$2:$C$60,"&gt;="&amp;$A42)</f>
        <v>0</v>
      </c>
      <c r="K42" s="3" t="n">
        <f aca="false">IF(J42&gt;0,ROUNDUP(J42/Parametres!$B$7,0)+1,0)</f>
        <v>0</v>
      </c>
      <c r="L42" s="3" t="n">
        <f aca="false">SUMIFS(Equipes!$D$2:$D$60,Equipes!$A$2:$A$60,"LOT-06",Equipes!$B$2:$B$60,"&lt;="&amp;$A42,Equipes!$C$2:$C$60,"&gt;="&amp;$A42)</f>
        <v>0</v>
      </c>
      <c r="M42" s="3" t="n">
        <f aca="false">IF(L42&gt;0,ROUNDUP(L42/Parametres!$B$7,0)+1,0)</f>
        <v>0</v>
      </c>
      <c r="N42" s="3" t="n">
        <f aca="false">SUMIFS(Equipes!$D$2:$D$60,Equipes!$A$2:$A$60,"LOT-07",Equipes!$B$2:$B$60,"&lt;="&amp;$A42,Equipes!$C$2:$C$60,"&gt;="&amp;$A42)</f>
        <v>0</v>
      </c>
      <c r="O42" s="3" t="n">
        <f aca="false">IF(N42&gt;0,ROUNDUP(N42/Parametres!$B$7,0)+1,0)</f>
        <v>0</v>
      </c>
      <c r="P42" s="3" t="n">
        <f aca="false">SUMIFS(Equipes!$D$2:$D$60,Equipes!$A$2:$A$60,"LOT-08",Equipes!$B$2:$B$60,"&lt;="&amp;$A42,Equipes!$C$2:$C$60,"&gt;="&amp;$A42)</f>
        <v>0</v>
      </c>
      <c r="Q42" s="3" t="n">
        <f aca="false">IF(P42&gt;0,ROUNDUP(P42/Parametres!$B$7,0)+1,0)</f>
        <v>0</v>
      </c>
    </row>
    <row r="43" customFormat="false" ht="15" hidden="false" customHeight="false" outlineLevel="0" collapsed="false">
      <c r="A43" s="2" t="n">
        <v>46124</v>
      </c>
      <c r="B43" s="3" t="n">
        <f aca="false">SUMIFS(Equipes!$D$2:$D$60,Equipes!$A$2:$A$60,"LOT-01",Equipes!$B$2:$B$60,"&lt;="&amp;$A43,Equipes!$C$2:$C$60,"&gt;="&amp;$A43)</f>
        <v>0</v>
      </c>
      <c r="C43" s="3" t="n">
        <f aca="false">IF(B43&gt;0,ROUNDUP(B43/Parametres!$B$7,0)+1,0)</f>
        <v>0</v>
      </c>
      <c r="D43" s="3" t="n">
        <f aca="false">SUMIFS(Equipes!$D$2:$D$60,Equipes!$A$2:$A$60,"LOT-02",Equipes!$B$2:$B$60,"&lt;="&amp;$A43,Equipes!$C$2:$C$60,"&gt;="&amp;$A43)</f>
        <v>8</v>
      </c>
      <c r="E43" s="3" t="n">
        <f aca="false">IF(D43&gt;0,ROUNDUP(D43/Parametres!$B$7,0)+1,0)</f>
        <v>2</v>
      </c>
      <c r="F43" s="3" t="n">
        <f aca="false">SUMIFS(Equipes!$D$2:$D$60,Equipes!$A$2:$A$60,"LOT-03",Equipes!$B$2:$B$60,"&lt;="&amp;$A43,Equipes!$C$2:$C$60,"&gt;="&amp;$A43)</f>
        <v>0</v>
      </c>
      <c r="G43" s="3" t="n">
        <f aca="false">IF(F43&gt;0,ROUNDUP(F43/Parametres!$B$7,0)+1,0)</f>
        <v>0</v>
      </c>
      <c r="H43" s="3" t="n">
        <f aca="false">SUMIFS(Equipes!$D$2:$D$60,Equipes!$A$2:$A$60,"LOT-04",Equipes!$B$2:$B$60,"&lt;="&amp;$A43,Equipes!$C$2:$C$60,"&gt;="&amp;$A43)</f>
        <v>0</v>
      </c>
      <c r="I43" s="3" t="n">
        <f aca="false">IF(H43&gt;0,ROUNDUP(H43/Parametres!$B$7,0)+1,0)</f>
        <v>0</v>
      </c>
      <c r="J43" s="3" t="n">
        <f aca="false">SUMIFS(Equipes!$D$2:$D$60,Equipes!$A$2:$A$60,"LOT-05",Equipes!$B$2:$B$60,"&lt;="&amp;$A43,Equipes!$C$2:$C$60,"&gt;="&amp;$A43)</f>
        <v>0</v>
      </c>
      <c r="K43" s="3" t="n">
        <f aca="false">IF(J43&gt;0,ROUNDUP(J43/Parametres!$B$7,0)+1,0)</f>
        <v>0</v>
      </c>
      <c r="L43" s="3" t="n">
        <f aca="false">SUMIFS(Equipes!$D$2:$D$60,Equipes!$A$2:$A$60,"LOT-06",Equipes!$B$2:$B$60,"&lt;="&amp;$A43,Equipes!$C$2:$C$60,"&gt;="&amp;$A43)</f>
        <v>0</v>
      </c>
      <c r="M43" s="3" t="n">
        <f aca="false">IF(L43&gt;0,ROUNDUP(L43/Parametres!$B$7,0)+1,0)</f>
        <v>0</v>
      </c>
      <c r="N43" s="3" t="n">
        <f aca="false">SUMIFS(Equipes!$D$2:$D$60,Equipes!$A$2:$A$60,"LOT-07",Equipes!$B$2:$B$60,"&lt;="&amp;$A43,Equipes!$C$2:$C$60,"&gt;="&amp;$A43)</f>
        <v>0</v>
      </c>
      <c r="O43" s="3" t="n">
        <f aca="false">IF(N43&gt;0,ROUNDUP(N43/Parametres!$B$7,0)+1,0)</f>
        <v>0</v>
      </c>
      <c r="P43" s="3" t="n">
        <f aca="false">SUMIFS(Equipes!$D$2:$D$60,Equipes!$A$2:$A$60,"LOT-08",Equipes!$B$2:$B$60,"&lt;="&amp;$A43,Equipes!$C$2:$C$60,"&gt;="&amp;$A43)</f>
        <v>0</v>
      </c>
      <c r="Q43" s="3" t="n">
        <f aca="false">IF(P43&gt;0,ROUNDUP(P43/Parametres!$B$7,0)+1,0)</f>
        <v>0</v>
      </c>
    </row>
    <row r="44" customFormat="false" ht="15" hidden="false" customHeight="false" outlineLevel="0" collapsed="false">
      <c r="A44" s="2" t="n">
        <v>46125</v>
      </c>
      <c r="B44" s="3" t="n">
        <f aca="false">SUMIFS(Equipes!$D$2:$D$60,Equipes!$A$2:$A$60,"LOT-01",Equipes!$B$2:$B$60,"&lt;="&amp;$A44,Equipes!$C$2:$C$60,"&gt;="&amp;$A44)</f>
        <v>0</v>
      </c>
      <c r="C44" s="3" t="n">
        <f aca="false">IF(B44&gt;0,ROUNDUP(B44/Parametres!$B$7,0)+1,0)</f>
        <v>0</v>
      </c>
      <c r="D44" s="3" t="n">
        <f aca="false">SUMIFS(Equipes!$D$2:$D$60,Equipes!$A$2:$A$60,"LOT-02",Equipes!$B$2:$B$60,"&lt;="&amp;$A44,Equipes!$C$2:$C$60,"&gt;="&amp;$A44)</f>
        <v>8</v>
      </c>
      <c r="E44" s="3" t="n">
        <f aca="false">IF(D44&gt;0,ROUNDUP(D44/Parametres!$B$7,0)+1,0)</f>
        <v>2</v>
      </c>
      <c r="F44" s="3" t="n">
        <f aca="false">SUMIFS(Equipes!$D$2:$D$60,Equipes!$A$2:$A$60,"LOT-03",Equipes!$B$2:$B$60,"&lt;="&amp;$A44,Equipes!$C$2:$C$60,"&gt;="&amp;$A44)</f>
        <v>0</v>
      </c>
      <c r="G44" s="3" t="n">
        <f aca="false">IF(F44&gt;0,ROUNDUP(F44/Parametres!$B$7,0)+1,0)</f>
        <v>0</v>
      </c>
      <c r="H44" s="3" t="n">
        <f aca="false">SUMIFS(Equipes!$D$2:$D$60,Equipes!$A$2:$A$60,"LOT-04",Equipes!$B$2:$B$60,"&lt;="&amp;$A44,Equipes!$C$2:$C$60,"&gt;="&amp;$A44)</f>
        <v>0</v>
      </c>
      <c r="I44" s="3" t="n">
        <f aca="false">IF(H44&gt;0,ROUNDUP(H44/Parametres!$B$7,0)+1,0)</f>
        <v>0</v>
      </c>
      <c r="J44" s="3" t="n">
        <f aca="false">SUMIFS(Equipes!$D$2:$D$60,Equipes!$A$2:$A$60,"LOT-05",Equipes!$B$2:$B$60,"&lt;="&amp;$A44,Equipes!$C$2:$C$60,"&gt;="&amp;$A44)</f>
        <v>0</v>
      </c>
      <c r="K44" s="3" t="n">
        <f aca="false">IF(J44&gt;0,ROUNDUP(J44/Parametres!$B$7,0)+1,0)</f>
        <v>0</v>
      </c>
      <c r="L44" s="3" t="n">
        <f aca="false">SUMIFS(Equipes!$D$2:$D$60,Equipes!$A$2:$A$60,"LOT-06",Equipes!$B$2:$B$60,"&lt;="&amp;$A44,Equipes!$C$2:$C$60,"&gt;="&amp;$A44)</f>
        <v>0</v>
      </c>
      <c r="M44" s="3" t="n">
        <f aca="false">IF(L44&gt;0,ROUNDUP(L44/Parametres!$B$7,0)+1,0)</f>
        <v>0</v>
      </c>
      <c r="N44" s="3" t="n">
        <f aca="false">SUMIFS(Equipes!$D$2:$D$60,Equipes!$A$2:$A$60,"LOT-07",Equipes!$B$2:$B$60,"&lt;="&amp;$A44,Equipes!$C$2:$C$60,"&gt;="&amp;$A44)</f>
        <v>0</v>
      </c>
      <c r="O44" s="3" t="n">
        <f aca="false">IF(N44&gt;0,ROUNDUP(N44/Parametres!$B$7,0)+1,0)</f>
        <v>0</v>
      </c>
      <c r="P44" s="3" t="n">
        <f aca="false">SUMIFS(Equipes!$D$2:$D$60,Equipes!$A$2:$A$60,"LOT-08",Equipes!$B$2:$B$60,"&lt;="&amp;$A44,Equipes!$C$2:$C$60,"&gt;="&amp;$A44)</f>
        <v>0</v>
      </c>
      <c r="Q44" s="3" t="n">
        <f aca="false">IF(P44&gt;0,ROUNDUP(P44/Parametres!$B$7,0)+1,0)</f>
        <v>0</v>
      </c>
    </row>
    <row r="45" customFormat="false" ht="15" hidden="false" customHeight="false" outlineLevel="0" collapsed="false">
      <c r="A45" s="2" t="n">
        <v>46126</v>
      </c>
      <c r="B45" s="3" t="n">
        <f aca="false">SUMIFS(Equipes!$D$2:$D$60,Equipes!$A$2:$A$60,"LOT-01",Equipes!$B$2:$B$60,"&lt;="&amp;$A45,Equipes!$C$2:$C$60,"&gt;="&amp;$A45)</f>
        <v>0</v>
      </c>
      <c r="C45" s="3" t="n">
        <f aca="false">IF(B45&gt;0,ROUNDUP(B45/Parametres!$B$7,0)+1,0)</f>
        <v>0</v>
      </c>
      <c r="D45" s="3" t="n">
        <f aca="false">SUMIFS(Equipes!$D$2:$D$60,Equipes!$A$2:$A$60,"LOT-02",Equipes!$B$2:$B$60,"&lt;="&amp;$A45,Equipes!$C$2:$C$60,"&gt;="&amp;$A45)</f>
        <v>8</v>
      </c>
      <c r="E45" s="3" t="n">
        <f aca="false">IF(D45&gt;0,ROUNDUP(D45/Parametres!$B$7,0)+1,0)</f>
        <v>2</v>
      </c>
      <c r="F45" s="3" t="n">
        <f aca="false">SUMIFS(Equipes!$D$2:$D$60,Equipes!$A$2:$A$60,"LOT-03",Equipes!$B$2:$B$60,"&lt;="&amp;$A45,Equipes!$C$2:$C$60,"&gt;="&amp;$A45)</f>
        <v>0</v>
      </c>
      <c r="G45" s="3" t="n">
        <f aca="false">IF(F45&gt;0,ROUNDUP(F45/Parametres!$B$7,0)+1,0)</f>
        <v>0</v>
      </c>
      <c r="H45" s="3" t="n">
        <f aca="false">SUMIFS(Equipes!$D$2:$D$60,Equipes!$A$2:$A$60,"LOT-04",Equipes!$B$2:$B$60,"&lt;="&amp;$A45,Equipes!$C$2:$C$60,"&gt;="&amp;$A45)</f>
        <v>0</v>
      </c>
      <c r="I45" s="3" t="n">
        <f aca="false">IF(H45&gt;0,ROUNDUP(H45/Parametres!$B$7,0)+1,0)</f>
        <v>0</v>
      </c>
      <c r="J45" s="3" t="n">
        <f aca="false">SUMIFS(Equipes!$D$2:$D$60,Equipes!$A$2:$A$60,"LOT-05",Equipes!$B$2:$B$60,"&lt;="&amp;$A45,Equipes!$C$2:$C$60,"&gt;="&amp;$A45)</f>
        <v>0</v>
      </c>
      <c r="K45" s="3" t="n">
        <f aca="false">IF(J45&gt;0,ROUNDUP(J45/Parametres!$B$7,0)+1,0)</f>
        <v>0</v>
      </c>
      <c r="L45" s="3" t="n">
        <f aca="false">SUMIFS(Equipes!$D$2:$D$60,Equipes!$A$2:$A$60,"LOT-06",Equipes!$B$2:$B$60,"&lt;="&amp;$A45,Equipes!$C$2:$C$60,"&gt;="&amp;$A45)</f>
        <v>0</v>
      </c>
      <c r="M45" s="3" t="n">
        <f aca="false">IF(L45&gt;0,ROUNDUP(L45/Parametres!$B$7,0)+1,0)</f>
        <v>0</v>
      </c>
      <c r="N45" s="3" t="n">
        <f aca="false">SUMIFS(Equipes!$D$2:$D$60,Equipes!$A$2:$A$60,"LOT-07",Equipes!$B$2:$B$60,"&lt;="&amp;$A45,Equipes!$C$2:$C$60,"&gt;="&amp;$A45)</f>
        <v>0</v>
      </c>
      <c r="O45" s="3" t="n">
        <f aca="false">IF(N45&gt;0,ROUNDUP(N45/Parametres!$B$7,0)+1,0)</f>
        <v>0</v>
      </c>
      <c r="P45" s="3" t="n">
        <f aca="false">SUMIFS(Equipes!$D$2:$D$60,Equipes!$A$2:$A$60,"LOT-08",Equipes!$B$2:$B$60,"&lt;="&amp;$A45,Equipes!$C$2:$C$60,"&gt;="&amp;$A45)</f>
        <v>0</v>
      </c>
      <c r="Q45" s="3" t="n">
        <f aca="false">IF(P45&gt;0,ROUNDUP(P45/Parametres!$B$7,0)+1,0)</f>
        <v>0</v>
      </c>
    </row>
    <row r="46" customFormat="false" ht="15" hidden="false" customHeight="false" outlineLevel="0" collapsed="false">
      <c r="A46" s="2" t="n">
        <v>46127</v>
      </c>
      <c r="B46" s="3" t="n">
        <f aca="false">SUMIFS(Equipes!$D$2:$D$60,Equipes!$A$2:$A$60,"LOT-01",Equipes!$B$2:$B$60,"&lt;="&amp;$A46,Equipes!$C$2:$C$60,"&gt;="&amp;$A46)</f>
        <v>0</v>
      </c>
      <c r="C46" s="3" t="n">
        <f aca="false">IF(B46&gt;0,ROUNDUP(B46/Parametres!$B$7,0)+1,0)</f>
        <v>0</v>
      </c>
      <c r="D46" s="3" t="n">
        <f aca="false">SUMIFS(Equipes!$D$2:$D$60,Equipes!$A$2:$A$60,"LOT-02",Equipes!$B$2:$B$60,"&lt;="&amp;$A46,Equipes!$C$2:$C$60,"&gt;="&amp;$A46)</f>
        <v>8</v>
      </c>
      <c r="E46" s="3" t="n">
        <f aca="false">IF(D46&gt;0,ROUNDUP(D46/Parametres!$B$7,0)+1,0)</f>
        <v>2</v>
      </c>
      <c r="F46" s="3" t="n">
        <f aca="false">SUMIFS(Equipes!$D$2:$D$60,Equipes!$A$2:$A$60,"LOT-03",Equipes!$B$2:$B$60,"&lt;="&amp;$A46,Equipes!$C$2:$C$60,"&gt;="&amp;$A46)</f>
        <v>0</v>
      </c>
      <c r="G46" s="3" t="n">
        <f aca="false">IF(F46&gt;0,ROUNDUP(F46/Parametres!$B$7,0)+1,0)</f>
        <v>0</v>
      </c>
      <c r="H46" s="3" t="n">
        <f aca="false">SUMIFS(Equipes!$D$2:$D$60,Equipes!$A$2:$A$60,"LOT-04",Equipes!$B$2:$B$60,"&lt;="&amp;$A46,Equipes!$C$2:$C$60,"&gt;="&amp;$A46)</f>
        <v>0</v>
      </c>
      <c r="I46" s="3" t="n">
        <f aca="false">IF(H46&gt;0,ROUNDUP(H46/Parametres!$B$7,0)+1,0)</f>
        <v>0</v>
      </c>
      <c r="J46" s="3" t="n">
        <f aca="false">SUMIFS(Equipes!$D$2:$D$60,Equipes!$A$2:$A$60,"LOT-05",Equipes!$B$2:$B$60,"&lt;="&amp;$A46,Equipes!$C$2:$C$60,"&gt;="&amp;$A46)</f>
        <v>0</v>
      </c>
      <c r="K46" s="3" t="n">
        <f aca="false">IF(J46&gt;0,ROUNDUP(J46/Parametres!$B$7,0)+1,0)</f>
        <v>0</v>
      </c>
      <c r="L46" s="3" t="n">
        <f aca="false">SUMIFS(Equipes!$D$2:$D$60,Equipes!$A$2:$A$60,"LOT-06",Equipes!$B$2:$B$60,"&lt;="&amp;$A46,Equipes!$C$2:$C$60,"&gt;="&amp;$A46)</f>
        <v>0</v>
      </c>
      <c r="M46" s="3" t="n">
        <f aca="false">IF(L46&gt;0,ROUNDUP(L46/Parametres!$B$7,0)+1,0)</f>
        <v>0</v>
      </c>
      <c r="N46" s="3" t="n">
        <f aca="false">SUMIFS(Equipes!$D$2:$D$60,Equipes!$A$2:$A$60,"LOT-07",Equipes!$B$2:$B$60,"&lt;="&amp;$A46,Equipes!$C$2:$C$60,"&gt;="&amp;$A46)</f>
        <v>0</v>
      </c>
      <c r="O46" s="3" t="n">
        <f aca="false">IF(N46&gt;0,ROUNDUP(N46/Parametres!$B$7,0)+1,0)</f>
        <v>0</v>
      </c>
      <c r="P46" s="3" t="n">
        <f aca="false">SUMIFS(Equipes!$D$2:$D$60,Equipes!$A$2:$A$60,"LOT-08",Equipes!$B$2:$B$60,"&lt;="&amp;$A46,Equipes!$C$2:$C$60,"&gt;="&amp;$A46)</f>
        <v>0</v>
      </c>
      <c r="Q46" s="3" t="n">
        <f aca="false">IF(P46&gt;0,ROUNDUP(P46/Parametres!$B$7,0)+1,0)</f>
        <v>0</v>
      </c>
    </row>
    <row r="47" customFormat="false" ht="15" hidden="false" customHeight="false" outlineLevel="0" collapsed="false">
      <c r="A47" s="2" t="n">
        <v>46128</v>
      </c>
      <c r="B47" s="3" t="n">
        <f aca="false">SUMIFS(Equipes!$D$2:$D$60,Equipes!$A$2:$A$60,"LOT-01",Equipes!$B$2:$B$60,"&lt;="&amp;$A47,Equipes!$C$2:$C$60,"&gt;="&amp;$A47)</f>
        <v>0</v>
      </c>
      <c r="C47" s="3" t="n">
        <f aca="false">IF(B47&gt;0,ROUNDUP(B47/Parametres!$B$7,0)+1,0)</f>
        <v>0</v>
      </c>
      <c r="D47" s="3" t="n">
        <f aca="false">SUMIFS(Equipes!$D$2:$D$60,Equipes!$A$2:$A$60,"LOT-02",Equipes!$B$2:$B$60,"&lt;="&amp;$A47,Equipes!$C$2:$C$60,"&gt;="&amp;$A47)</f>
        <v>8</v>
      </c>
      <c r="E47" s="3" t="n">
        <f aca="false">IF(D47&gt;0,ROUNDUP(D47/Parametres!$B$7,0)+1,0)</f>
        <v>2</v>
      </c>
      <c r="F47" s="3" t="n">
        <f aca="false">SUMIFS(Equipes!$D$2:$D$60,Equipes!$A$2:$A$60,"LOT-03",Equipes!$B$2:$B$60,"&lt;="&amp;$A47,Equipes!$C$2:$C$60,"&gt;="&amp;$A47)</f>
        <v>0</v>
      </c>
      <c r="G47" s="3" t="n">
        <f aca="false">IF(F47&gt;0,ROUNDUP(F47/Parametres!$B$7,0)+1,0)</f>
        <v>0</v>
      </c>
      <c r="H47" s="3" t="n">
        <f aca="false">SUMIFS(Equipes!$D$2:$D$60,Equipes!$A$2:$A$60,"LOT-04",Equipes!$B$2:$B$60,"&lt;="&amp;$A47,Equipes!$C$2:$C$60,"&gt;="&amp;$A47)</f>
        <v>0</v>
      </c>
      <c r="I47" s="3" t="n">
        <f aca="false">IF(H47&gt;0,ROUNDUP(H47/Parametres!$B$7,0)+1,0)</f>
        <v>0</v>
      </c>
      <c r="J47" s="3" t="n">
        <f aca="false">SUMIFS(Equipes!$D$2:$D$60,Equipes!$A$2:$A$60,"LOT-05",Equipes!$B$2:$B$60,"&lt;="&amp;$A47,Equipes!$C$2:$C$60,"&gt;="&amp;$A47)</f>
        <v>0</v>
      </c>
      <c r="K47" s="3" t="n">
        <f aca="false">IF(J47&gt;0,ROUNDUP(J47/Parametres!$B$7,0)+1,0)</f>
        <v>0</v>
      </c>
      <c r="L47" s="3" t="n">
        <f aca="false">SUMIFS(Equipes!$D$2:$D$60,Equipes!$A$2:$A$60,"LOT-06",Equipes!$B$2:$B$60,"&lt;="&amp;$A47,Equipes!$C$2:$C$60,"&gt;="&amp;$A47)</f>
        <v>0</v>
      </c>
      <c r="M47" s="3" t="n">
        <f aca="false">IF(L47&gt;0,ROUNDUP(L47/Parametres!$B$7,0)+1,0)</f>
        <v>0</v>
      </c>
      <c r="N47" s="3" t="n">
        <f aca="false">SUMIFS(Equipes!$D$2:$D$60,Equipes!$A$2:$A$60,"LOT-07",Equipes!$B$2:$B$60,"&lt;="&amp;$A47,Equipes!$C$2:$C$60,"&gt;="&amp;$A47)</f>
        <v>0</v>
      </c>
      <c r="O47" s="3" t="n">
        <f aca="false">IF(N47&gt;0,ROUNDUP(N47/Parametres!$B$7,0)+1,0)</f>
        <v>0</v>
      </c>
      <c r="P47" s="3" t="n">
        <f aca="false">SUMIFS(Equipes!$D$2:$D$60,Equipes!$A$2:$A$60,"LOT-08",Equipes!$B$2:$B$60,"&lt;="&amp;$A47,Equipes!$C$2:$C$60,"&gt;="&amp;$A47)</f>
        <v>0</v>
      </c>
      <c r="Q47" s="3" t="n">
        <f aca="false">IF(P47&gt;0,ROUNDUP(P47/Parametres!$B$7,0)+1,0)</f>
        <v>0</v>
      </c>
    </row>
    <row r="48" customFormat="false" ht="15" hidden="false" customHeight="false" outlineLevel="0" collapsed="false">
      <c r="A48" s="2" t="n">
        <v>46129</v>
      </c>
      <c r="B48" s="3" t="n">
        <f aca="false">SUMIFS(Equipes!$D$2:$D$60,Equipes!$A$2:$A$60,"LOT-01",Equipes!$B$2:$B$60,"&lt;="&amp;$A48,Equipes!$C$2:$C$60,"&gt;="&amp;$A48)</f>
        <v>0</v>
      </c>
      <c r="C48" s="3" t="n">
        <f aca="false">IF(B48&gt;0,ROUNDUP(B48/Parametres!$B$7,0)+1,0)</f>
        <v>0</v>
      </c>
      <c r="D48" s="3" t="n">
        <f aca="false">SUMIFS(Equipes!$D$2:$D$60,Equipes!$A$2:$A$60,"LOT-02",Equipes!$B$2:$B$60,"&lt;="&amp;$A48,Equipes!$C$2:$C$60,"&gt;="&amp;$A48)</f>
        <v>8</v>
      </c>
      <c r="E48" s="3" t="n">
        <f aca="false">IF(D48&gt;0,ROUNDUP(D48/Parametres!$B$7,0)+1,0)</f>
        <v>2</v>
      </c>
      <c r="F48" s="3" t="n">
        <f aca="false">SUMIFS(Equipes!$D$2:$D$60,Equipes!$A$2:$A$60,"LOT-03",Equipes!$B$2:$B$60,"&lt;="&amp;$A48,Equipes!$C$2:$C$60,"&gt;="&amp;$A48)</f>
        <v>0</v>
      </c>
      <c r="G48" s="3" t="n">
        <f aca="false">IF(F48&gt;0,ROUNDUP(F48/Parametres!$B$7,0)+1,0)</f>
        <v>0</v>
      </c>
      <c r="H48" s="3" t="n">
        <f aca="false">SUMIFS(Equipes!$D$2:$D$60,Equipes!$A$2:$A$60,"LOT-04",Equipes!$B$2:$B$60,"&lt;="&amp;$A48,Equipes!$C$2:$C$60,"&gt;="&amp;$A48)</f>
        <v>0</v>
      </c>
      <c r="I48" s="3" t="n">
        <f aca="false">IF(H48&gt;0,ROUNDUP(H48/Parametres!$B$7,0)+1,0)</f>
        <v>0</v>
      </c>
      <c r="J48" s="3" t="n">
        <f aca="false">SUMIFS(Equipes!$D$2:$D$60,Equipes!$A$2:$A$60,"LOT-05",Equipes!$B$2:$B$60,"&lt;="&amp;$A48,Equipes!$C$2:$C$60,"&gt;="&amp;$A48)</f>
        <v>0</v>
      </c>
      <c r="K48" s="3" t="n">
        <f aca="false">IF(J48&gt;0,ROUNDUP(J48/Parametres!$B$7,0)+1,0)</f>
        <v>0</v>
      </c>
      <c r="L48" s="3" t="n">
        <f aca="false">SUMIFS(Equipes!$D$2:$D$60,Equipes!$A$2:$A$60,"LOT-06",Equipes!$B$2:$B$60,"&lt;="&amp;$A48,Equipes!$C$2:$C$60,"&gt;="&amp;$A48)</f>
        <v>0</v>
      </c>
      <c r="M48" s="3" t="n">
        <f aca="false">IF(L48&gt;0,ROUNDUP(L48/Parametres!$B$7,0)+1,0)</f>
        <v>0</v>
      </c>
      <c r="N48" s="3" t="n">
        <f aca="false">SUMIFS(Equipes!$D$2:$D$60,Equipes!$A$2:$A$60,"LOT-07",Equipes!$B$2:$B$60,"&lt;="&amp;$A48,Equipes!$C$2:$C$60,"&gt;="&amp;$A48)</f>
        <v>0</v>
      </c>
      <c r="O48" s="3" t="n">
        <f aca="false">IF(N48&gt;0,ROUNDUP(N48/Parametres!$B$7,0)+1,0)</f>
        <v>0</v>
      </c>
      <c r="P48" s="3" t="n">
        <f aca="false">SUMIFS(Equipes!$D$2:$D$60,Equipes!$A$2:$A$60,"LOT-08",Equipes!$B$2:$B$60,"&lt;="&amp;$A48,Equipes!$C$2:$C$60,"&gt;="&amp;$A48)</f>
        <v>0</v>
      </c>
      <c r="Q48" s="3" t="n">
        <f aca="false">IF(P48&gt;0,ROUNDUP(P48/Parametres!$B$7,0)+1,0)</f>
        <v>0</v>
      </c>
    </row>
    <row r="49" customFormat="false" ht="15" hidden="false" customHeight="false" outlineLevel="0" collapsed="false">
      <c r="A49" s="2" t="n">
        <v>46130</v>
      </c>
      <c r="B49" s="3" t="n">
        <f aca="false">SUMIFS(Equipes!$D$2:$D$60,Equipes!$A$2:$A$60,"LOT-01",Equipes!$B$2:$B$60,"&lt;="&amp;$A49,Equipes!$C$2:$C$60,"&gt;="&amp;$A49)</f>
        <v>0</v>
      </c>
      <c r="C49" s="3" t="n">
        <f aca="false">IF(B49&gt;0,ROUNDUP(B49/Parametres!$B$7,0)+1,0)</f>
        <v>0</v>
      </c>
      <c r="D49" s="3" t="n">
        <f aca="false">SUMIFS(Equipes!$D$2:$D$60,Equipes!$A$2:$A$60,"LOT-02",Equipes!$B$2:$B$60,"&lt;="&amp;$A49,Equipes!$C$2:$C$60,"&gt;="&amp;$A49)</f>
        <v>8</v>
      </c>
      <c r="E49" s="3" t="n">
        <f aca="false">IF(D49&gt;0,ROUNDUP(D49/Parametres!$B$7,0)+1,0)</f>
        <v>2</v>
      </c>
      <c r="F49" s="3" t="n">
        <f aca="false">SUMIFS(Equipes!$D$2:$D$60,Equipes!$A$2:$A$60,"LOT-03",Equipes!$B$2:$B$60,"&lt;="&amp;$A49,Equipes!$C$2:$C$60,"&gt;="&amp;$A49)</f>
        <v>0</v>
      </c>
      <c r="G49" s="3" t="n">
        <f aca="false">IF(F49&gt;0,ROUNDUP(F49/Parametres!$B$7,0)+1,0)</f>
        <v>0</v>
      </c>
      <c r="H49" s="3" t="n">
        <f aca="false">SUMIFS(Equipes!$D$2:$D$60,Equipes!$A$2:$A$60,"LOT-04",Equipes!$B$2:$B$60,"&lt;="&amp;$A49,Equipes!$C$2:$C$60,"&gt;="&amp;$A49)</f>
        <v>0</v>
      </c>
      <c r="I49" s="3" t="n">
        <f aca="false">IF(H49&gt;0,ROUNDUP(H49/Parametres!$B$7,0)+1,0)</f>
        <v>0</v>
      </c>
      <c r="J49" s="3" t="n">
        <f aca="false">SUMIFS(Equipes!$D$2:$D$60,Equipes!$A$2:$A$60,"LOT-05",Equipes!$B$2:$B$60,"&lt;="&amp;$A49,Equipes!$C$2:$C$60,"&gt;="&amp;$A49)</f>
        <v>0</v>
      </c>
      <c r="K49" s="3" t="n">
        <f aca="false">IF(J49&gt;0,ROUNDUP(J49/Parametres!$B$7,0)+1,0)</f>
        <v>0</v>
      </c>
      <c r="L49" s="3" t="n">
        <f aca="false">SUMIFS(Equipes!$D$2:$D$60,Equipes!$A$2:$A$60,"LOT-06",Equipes!$B$2:$B$60,"&lt;="&amp;$A49,Equipes!$C$2:$C$60,"&gt;="&amp;$A49)</f>
        <v>0</v>
      </c>
      <c r="M49" s="3" t="n">
        <f aca="false">IF(L49&gt;0,ROUNDUP(L49/Parametres!$B$7,0)+1,0)</f>
        <v>0</v>
      </c>
      <c r="N49" s="3" t="n">
        <f aca="false">SUMIFS(Equipes!$D$2:$D$60,Equipes!$A$2:$A$60,"LOT-07",Equipes!$B$2:$B$60,"&lt;="&amp;$A49,Equipes!$C$2:$C$60,"&gt;="&amp;$A49)</f>
        <v>0</v>
      </c>
      <c r="O49" s="3" t="n">
        <f aca="false">IF(N49&gt;0,ROUNDUP(N49/Parametres!$B$7,0)+1,0)</f>
        <v>0</v>
      </c>
      <c r="P49" s="3" t="n">
        <f aca="false">SUMIFS(Equipes!$D$2:$D$60,Equipes!$A$2:$A$60,"LOT-08",Equipes!$B$2:$B$60,"&lt;="&amp;$A49,Equipes!$C$2:$C$60,"&gt;="&amp;$A49)</f>
        <v>0</v>
      </c>
      <c r="Q49" s="3" t="n">
        <f aca="false">IF(P49&gt;0,ROUNDUP(P49/Parametres!$B$7,0)+1,0)</f>
        <v>0</v>
      </c>
    </row>
    <row r="50" customFormat="false" ht="15" hidden="false" customHeight="false" outlineLevel="0" collapsed="false">
      <c r="A50" s="2" t="n">
        <v>46131</v>
      </c>
      <c r="B50" s="3" t="n">
        <f aca="false">SUMIFS(Equipes!$D$2:$D$60,Equipes!$A$2:$A$60,"LOT-01",Equipes!$B$2:$B$60,"&lt;="&amp;$A50,Equipes!$C$2:$C$60,"&gt;="&amp;$A50)</f>
        <v>0</v>
      </c>
      <c r="C50" s="3" t="n">
        <f aca="false">IF(B50&gt;0,ROUNDUP(B50/Parametres!$B$7,0)+1,0)</f>
        <v>0</v>
      </c>
      <c r="D50" s="3" t="n">
        <f aca="false">SUMIFS(Equipes!$D$2:$D$60,Equipes!$A$2:$A$60,"LOT-02",Equipes!$B$2:$B$60,"&lt;="&amp;$A50,Equipes!$C$2:$C$60,"&gt;="&amp;$A50)</f>
        <v>8</v>
      </c>
      <c r="E50" s="3" t="n">
        <f aca="false">IF(D50&gt;0,ROUNDUP(D50/Parametres!$B$7,0)+1,0)</f>
        <v>2</v>
      </c>
      <c r="F50" s="3" t="n">
        <f aca="false">SUMIFS(Equipes!$D$2:$D$60,Equipes!$A$2:$A$60,"LOT-03",Equipes!$B$2:$B$60,"&lt;="&amp;$A50,Equipes!$C$2:$C$60,"&gt;="&amp;$A50)</f>
        <v>0</v>
      </c>
      <c r="G50" s="3" t="n">
        <f aca="false">IF(F50&gt;0,ROUNDUP(F50/Parametres!$B$7,0)+1,0)</f>
        <v>0</v>
      </c>
      <c r="H50" s="3" t="n">
        <f aca="false">SUMIFS(Equipes!$D$2:$D$60,Equipes!$A$2:$A$60,"LOT-04",Equipes!$B$2:$B$60,"&lt;="&amp;$A50,Equipes!$C$2:$C$60,"&gt;="&amp;$A50)</f>
        <v>0</v>
      </c>
      <c r="I50" s="3" t="n">
        <f aca="false">IF(H50&gt;0,ROUNDUP(H50/Parametres!$B$7,0)+1,0)</f>
        <v>0</v>
      </c>
      <c r="J50" s="3" t="n">
        <f aca="false">SUMIFS(Equipes!$D$2:$D$60,Equipes!$A$2:$A$60,"LOT-05",Equipes!$B$2:$B$60,"&lt;="&amp;$A50,Equipes!$C$2:$C$60,"&gt;="&amp;$A50)</f>
        <v>0</v>
      </c>
      <c r="K50" s="3" t="n">
        <f aca="false">IF(J50&gt;0,ROUNDUP(J50/Parametres!$B$7,0)+1,0)</f>
        <v>0</v>
      </c>
      <c r="L50" s="3" t="n">
        <f aca="false">SUMIFS(Equipes!$D$2:$D$60,Equipes!$A$2:$A$60,"LOT-06",Equipes!$B$2:$B$60,"&lt;="&amp;$A50,Equipes!$C$2:$C$60,"&gt;="&amp;$A50)</f>
        <v>0</v>
      </c>
      <c r="M50" s="3" t="n">
        <f aca="false">IF(L50&gt;0,ROUNDUP(L50/Parametres!$B$7,0)+1,0)</f>
        <v>0</v>
      </c>
      <c r="N50" s="3" t="n">
        <f aca="false">SUMIFS(Equipes!$D$2:$D$60,Equipes!$A$2:$A$60,"LOT-07",Equipes!$B$2:$B$60,"&lt;="&amp;$A50,Equipes!$C$2:$C$60,"&gt;="&amp;$A50)</f>
        <v>0</v>
      </c>
      <c r="O50" s="3" t="n">
        <f aca="false">IF(N50&gt;0,ROUNDUP(N50/Parametres!$B$7,0)+1,0)</f>
        <v>0</v>
      </c>
      <c r="P50" s="3" t="n">
        <f aca="false">SUMIFS(Equipes!$D$2:$D$60,Equipes!$A$2:$A$60,"LOT-08",Equipes!$B$2:$B$60,"&lt;="&amp;$A50,Equipes!$C$2:$C$60,"&gt;="&amp;$A50)</f>
        <v>0</v>
      </c>
      <c r="Q50" s="3" t="n">
        <f aca="false">IF(P50&gt;0,ROUNDUP(P50/Parametres!$B$7,0)+1,0)</f>
        <v>0</v>
      </c>
    </row>
    <row r="51" customFormat="false" ht="15" hidden="false" customHeight="false" outlineLevel="0" collapsed="false">
      <c r="A51" s="2" t="n">
        <v>46132</v>
      </c>
      <c r="B51" s="3" t="n">
        <f aca="false">SUMIFS(Equipes!$D$2:$D$60,Equipes!$A$2:$A$60,"LOT-01",Equipes!$B$2:$B$60,"&lt;="&amp;$A51,Equipes!$C$2:$C$60,"&gt;="&amp;$A51)</f>
        <v>0</v>
      </c>
      <c r="C51" s="3" t="n">
        <f aca="false">IF(B51&gt;0,ROUNDUP(B51/Parametres!$B$7,0)+1,0)</f>
        <v>0</v>
      </c>
      <c r="D51" s="3" t="n">
        <f aca="false">SUMIFS(Equipes!$D$2:$D$60,Equipes!$A$2:$A$60,"LOT-02",Equipes!$B$2:$B$60,"&lt;="&amp;$A51,Equipes!$C$2:$C$60,"&gt;="&amp;$A51)</f>
        <v>8</v>
      </c>
      <c r="E51" s="3" t="n">
        <f aca="false">IF(D51&gt;0,ROUNDUP(D51/Parametres!$B$7,0)+1,0)</f>
        <v>2</v>
      </c>
      <c r="F51" s="3" t="n">
        <f aca="false">SUMIFS(Equipes!$D$2:$D$60,Equipes!$A$2:$A$60,"LOT-03",Equipes!$B$2:$B$60,"&lt;="&amp;$A51,Equipes!$C$2:$C$60,"&gt;="&amp;$A51)</f>
        <v>0</v>
      </c>
      <c r="G51" s="3" t="n">
        <f aca="false">IF(F51&gt;0,ROUNDUP(F51/Parametres!$B$7,0)+1,0)</f>
        <v>0</v>
      </c>
      <c r="H51" s="3" t="n">
        <f aca="false">SUMIFS(Equipes!$D$2:$D$60,Equipes!$A$2:$A$60,"LOT-04",Equipes!$B$2:$B$60,"&lt;="&amp;$A51,Equipes!$C$2:$C$60,"&gt;="&amp;$A51)</f>
        <v>0</v>
      </c>
      <c r="I51" s="3" t="n">
        <f aca="false">IF(H51&gt;0,ROUNDUP(H51/Parametres!$B$7,0)+1,0)</f>
        <v>0</v>
      </c>
      <c r="J51" s="3" t="n">
        <f aca="false">SUMIFS(Equipes!$D$2:$D$60,Equipes!$A$2:$A$60,"LOT-05",Equipes!$B$2:$B$60,"&lt;="&amp;$A51,Equipes!$C$2:$C$60,"&gt;="&amp;$A51)</f>
        <v>0</v>
      </c>
      <c r="K51" s="3" t="n">
        <f aca="false">IF(J51&gt;0,ROUNDUP(J51/Parametres!$B$7,0)+1,0)</f>
        <v>0</v>
      </c>
      <c r="L51" s="3" t="n">
        <f aca="false">SUMIFS(Equipes!$D$2:$D$60,Equipes!$A$2:$A$60,"LOT-06",Equipes!$B$2:$B$60,"&lt;="&amp;$A51,Equipes!$C$2:$C$60,"&gt;="&amp;$A51)</f>
        <v>0</v>
      </c>
      <c r="M51" s="3" t="n">
        <f aca="false">IF(L51&gt;0,ROUNDUP(L51/Parametres!$B$7,0)+1,0)</f>
        <v>0</v>
      </c>
      <c r="N51" s="3" t="n">
        <f aca="false">SUMIFS(Equipes!$D$2:$D$60,Equipes!$A$2:$A$60,"LOT-07",Equipes!$B$2:$B$60,"&lt;="&amp;$A51,Equipes!$C$2:$C$60,"&gt;="&amp;$A51)</f>
        <v>0</v>
      </c>
      <c r="O51" s="3" t="n">
        <f aca="false">IF(N51&gt;0,ROUNDUP(N51/Parametres!$B$7,0)+1,0)</f>
        <v>0</v>
      </c>
      <c r="P51" s="3" t="n">
        <f aca="false">SUMIFS(Equipes!$D$2:$D$60,Equipes!$A$2:$A$60,"LOT-08",Equipes!$B$2:$B$60,"&lt;="&amp;$A51,Equipes!$C$2:$C$60,"&gt;="&amp;$A51)</f>
        <v>0</v>
      </c>
      <c r="Q51" s="3" t="n">
        <f aca="false">IF(P51&gt;0,ROUNDUP(P51/Parametres!$B$7,0)+1,0)</f>
        <v>0</v>
      </c>
    </row>
    <row r="52" customFormat="false" ht="15" hidden="false" customHeight="false" outlineLevel="0" collapsed="false">
      <c r="A52" s="2" t="n">
        <v>46133</v>
      </c>
      <c r="B52" s="3" t="n">
        <f aca="false">SUMIFS(Equipes!$D$2:$D$60,Equipes!$A$2:$A$60,"LOT-01",Equipes!$B$2:$B$60,"&lt;="&amp;$A52,Equipes!$C$2:$C$60,"&gt;="&amp;$A52)</f>
        <v>0</v>
      </c>
      <c r="C52" s="3" t="n">
        <f aca="false">IF(B52&gt;0,ROUNDUP(B52/Parametres!$B$7,0)+1,0)</f>
        <v>0</v>
      </c>
      <c r="D52" s="3" t="n">
        <f aca="false">SUMIFS(Equipes!$D$2:$D$60,Equipes!$A$2:$A$60,"LOT-02",Equipes!$B$2:$B$60,"&lt;="&amp;$A52,Equipes!$C$2:$C$60,"&gt;="&amp;$A52)</f>
        <v>0</v>
      </c>
      <c r="E52" s="3" t="n">
        <f aca="false">IF(D52&gt;0,ROUNDUP(D52/Parametres!$B$7,0)+1,0)</f>
        <v>0</v>
      </c>
      <c r="F52" s="3" t="n">
        <f aca="false">SUMIFS(Equipes!$D$2:$D$60,Equipes!$A$2:$A$60,"LOT-03",Equipes!$B$2:$B$60,"&lt;="&amp;$A52,Equipes!$C$2:$C$60,"&gt;="&amp;$A52)</f>
        <v>14</v>
      </c>
      <c r="G52" s="3" t="n">
        <f aca="false">IF(F52&gt;0,ROUNDUP(F52/Parametres!$B$7,0)+1,0)</f>
        <v>3</v>
      </c>
      <c r="H52" s="3" t="n">
        <f aca="false">SUMIFS(Equipes!$D$2:$D$60,Equipes!$A$2:$A$60,"LOT-04",Equipes!$B$2:$B$60,"&lt;="&amp;$A52,Equipes!$C$2:$C$60,"&gt;="&amp;$A52)</f>
        <v>0</v>
      </c>
      <c r="I52" s="3" t="n">
        <f aca="false">IF(H52&gt;0,ROUNDUP(H52/Parametres!$B$7,0)+1,0)</f>
        <v>0</v>
      </c>
      <c r="J52" s="3" t="n">
        <f aca="false">SUMIFS(Equipes!$D$2:$D$60,Equipes!$A$2:$A$60,"LOT-05",Equipes!$B$2:$B$60,"&lt;="&amp;$A52,Equipes!$C$2:$C$60,"&gt;="&amp;$A52)</f>
        <v>0</v>
      </c>
      <c r="K52" s="3" t="n">
        <f aca="false">IF(J52&gt;0,ROUNDUP(J52/Parametres!$B$7,0)+1,0)</f>
        <v>0</v>
      </c>
      <c r="L52" s="3" t="n">
        <f aca="false">SUMIFS(Equipes!$D$2:$D$60,Equipes!$A$2:$A$60,"LOT-06",Equipes!$B$2:$B$60,"&lt;="&amp;$A52,Equipes!$C$2:$C$60,"&gt;="&amp;$A52)</f>
        <v>0</v>
      </c>
      <c r="M52" s="3" t="n">
        <f aca="false">IF(L52&gt;0,ROUNDUP(L52/Parametres!$B$7,0)+1,0)</f>
        <v>0</v>
      </c>
      <c r="N52" s="3" t="n">
        <f aca="false">SUMIFS(Equipes!$D$2:$D$60,Equipes!$A$2:$A$60,"LOT-07",Equipes!$B$2:$B$60,"&lt;="&amp;$A52,Equipes!$C$2:$C$60,"&gt;="&amp;$A52)</f>
        <v>0</v>
      </c>
      <c r="O52" s="3" t="n">
        <f aca="false">IF(N52&gt;0,ROUNDUP(N52/Parametres!$B$7,0)+1,0)</f>
        <v>0</v>
      </c>
      <c r="P52" s="3" t="n">
        <f aca="false">SUMIFS(Equipes!$D$2:$D$60,Equipes!$A$2:$A$60,"LOT-08",Equipes!$B$2:$B$60,"&lt;="&amp;$A52,Equipes!$C$2:$C$60,"&gt;="&amp;$A52)</f>
        <v>0</v>
      </c>
      <c r="Q52" s="3" t="n">
        <f aca="false">IF(P52&gt;0,ROUNDUP(P52/Parametres!$B$7,0)+1,0)</f>
        <v>0</v>
      </c>
    </row>
    <row r="53" customFormat="false" ht="15" hidden="false" customHeight="false" outlineLevel="0" collapsed="false">
      <c r="A53" s="2" t="n">
        <v>46134</v>
      </c>
      <c r="B53" s="3" t="n">
        <f aca="false">SUMIFS(Equipes!$D$2:$D$60,Equipes!$A$2:$A$60,"LOT-01",Equipes!$B$2:$B$60,"&lt;="&amp;$A53,Equipes!$C$2:$C$60,"&gt;="&amp;$A53)</f>
        <v>0</v>
      </c>
      <c r="C53" s="3" t="n">
        <f aca="false">IF(B53&gt;0,ROUNDUP(B53/Parametres!$B$7,0)+1,0)</f>
        <v>0</v>
      </c>
      <c r="D53" s="3" t="n">
        <f aca="false">SUMIFS(Equipes!$D$2:$D$60,Equipes!$A$2:$A$60,"LOT-02",Equipes!$B$2:$B$60,"&lt;="&amp;$A53,Equipes!$C$2:$C$60,"&gt;="&amp;$A53)</f>
        <v>0</v>
      </c>
      <c r="E53" s="3" t="n">
        <f aca="false">IF(D53&gt;0,ROUNDUP(D53/Parametres!$B$7,0)+1,0)</f>
        <v>0</v>
      </c>
      <c r="F53" s="3" t="n">
        <f aca="false">SUMIFS(Equipes!$D$2:$D$60,Equipes!$A$2:$A$60,"LOT-03",Equipes!$B$2:$B$60,"&lt;="&amp;$A53,Equipes!$C$2:$C$60,"&gt;="&amp;$A53)</f>
        <v>14</v>
      </c>
      <c r="G53" s="3" t="n">
        <f aca="false">IF(F53&gt;0,ROUNDUP(F53/Parametres!$B$7,0)+1,0)</f>
        <v>3</v>
      </c>
      <c r="H53" s="3" t="n">
        <f aca="false">SUMIFS(Equipes!$D$2:$D$60,Equipes!$A$2:$A$60,"LOT-04",Equipes!$B$2:$B$60,"&lt;="&amp;$A53,Equipes!$C$2:$C$60,"&gt;="&amp;$A53)</f>
        <v>0</v>
      </c>
      <c r="I53" s="3" t="n">
        <f aca="false">IF(H53&gt;0,ROUNDUP(H53/Parametres!$B$7,0)+1,0)</f>
        <v>0</v>
      </c>
      <c r="J53" s="3" t="n">
        <f aca="false">SUMIFS(Equipes!$D$2:$D$60,Equipes!$A$2:$A$60,"LOT-05",Equipes!$B$2:$B$60,"&lt;="&amp;$A53,Equipes!$C$2:$C$60,"&gt;="&amp;$A53)</f>
        <v>0</v>
      </c>
      <c r="K53" s="3" t="n">
        <f aca="false">IF(J53&gt;0,ROUNDUP(J53/Parametres!$B$7,0)+1,0)</f>
        <v>0</v>
      </c>
      <c r="L53" s="3" t="n">
        <f aca="false">SUMIFS(Equipes!$D$2:$D$60,Equipes!$A$2:$A$60,"LOT-06",Equipes!$B$2:$B$60,"&lt;="&amp;$A53,Equipes!$C$2:$C$60,"&gt;="&amp;$A53)</f>
        <v>0</v>
      </c>
      <c r="M53" s="3" t="n">
        <f aca="false">IF(L53&gt;0,ROUNDUP(L53/Parametres!$B$7,0)+1,0)</f>
        <v>0</v>
      </c>
      <c r="N53" s="3" t="n">
        <f aca="false">SUMIFS(Equipes!$D$2:$D$60,Equipes!$A$2:$A$60,"LOT-07",Equipes!$B$2:$B$60,"&lt;="&amp;$A53,Equipes!$C$2:$C$60,"&gt;="&amp;$A53)</f>
        <v>0</v>
      </c>
      <c r="O53" s="3" t="n">
        <f aca="false">IF(N53&gt;0,ROUNDUP(N53/Parametres!$B$7,0)+1,0)</f>
        <v>0</v>
      </c>
      <c r="P53" s="3" t="n">
        <f aca="false">SUMIFS(Equipes!$D$2:$D$60,Equipes!$A$2:$A$60,"LOT-08",Equipes!$B$2:$B$60,"&lt;="&amp;$A53,Equipes!$C$2:$C$60,"&gt;="&amp;$A53)</f>
        <v>0</v>
      </c>
      <c r="Q53" s="3" t="n">
        <f aca="false">IF(P53&gt;0,ROUNDUP(P53/Parametres!$B$7,0)+1,0)</f>
        <v>0</v>
      </c>
    </row>
    <row r="54" customFormat="false" ht="15" hidden="false" customHeight="false" outlineLevel="0" collapsed="false">
      <c r="A54" s="2" t="n">
        <v>46135</v>
      </c>
      <c r="B54" s="3" t="n">
        <f aca="false">SUMIFS(Equipes!$D$2:$D$60,Equipes!$A$2:$A$60,"LOT-01",Equipes!$B$2:$B$60,"&lt;="&amp;$A54,Equipes!$C$2:$C$60,"&gt;="&amp;$A54)</f>
        <v>0</v>
      </c>
      <c r="C54" s="3" t="n">
        <f aca="false">IF(B54&gt;0,ROUNDUP(B54/Parametres!$B$7,0)+1,0)</f>
        <v>0</v>
      </c>
      <c r="D54" s="3" t="n">
        <f aca="false">SUMIFS(Equipes!$D$2:$D$60,Equipes!$A$2:$A$60,"LOT-02",Equipes!$B$2:$B$60,"&lt;="&amp;$A54,Equipes!$C$2:$C$60,"&gt;="&amp;$A54)</f>
        <v>0</v>
      </c>
      <c r="E54" s="3" t="n">
        <f aca="false">IF(D54&gt;0,ROUNDUP(D54/Parametres!$B$7,0)+1,0)</f>
        <v>0</v>
      </c>
      <c r="F54" s="3" t="n">
        <f aca="false">SUMIFS(Equipes!$D$2:$D$60,Equipes!$A$2:$A$60,"LOT-03",Equipes!$B$2:$B$60,"&lt;="&amp;$A54,Equipes!$C$2:$C$60,"&gt;="&amp;$A54)</f>
        <v>14</v>
      </c>
      <c r="G54" s="3" t="n">
        <f aca="false">IF(F54&gt;0,ROUNDUP(F54/Parametres!$B$7,0)+1,0)</f>
        <v>3</v>
      </c>
      <c r="H54" s="3" t="n">
        <f aca="false">SUMIFS(Equipes!$D$2:$D$60,Equipes!$A$2:$A$60,"LOT-04",Equipes!$B$2:$B$60,"&lt;="&amp;$A54,Equipes!$C$2:$C$60,"&gt;="&amp;$A54)</f>
        <v>0</v>
      </c>
      <c r="I54" s="3" t="n">
        <f aca="false">IF(H54&gt;0,ROUNDUP(H54/Parametres!$B$7,0)+1,0)</f>
        <v>0</v>
      </c>
      <c r="J54" s="3" t="n">
        <f aca="false">SUMIFS(Equipes!$D$2:$D$60,Equipes!$A$2:$A$60,"LOT-05",Equipes!$B$2:$B$60,"&lt;="&amp;$A54,Equipes!$C$2:$C$60,"&gt;="&amp;$A54)</f>
        <v>0</v>
      </c>
      <c r="K54" s="3" t="n">
        <f aca="false">IF(J54&gt;0,ROUNDUP(J54/Parametres!$B$7,0)+1,0)</f>
        <v>0</v>
      </c>
      <c r="L54" s="3" t="n">
        <f aca="false">SUMIFS(Equipes!$D$2:$D$60,Equipes!$A$2:$A$60,"LOT-06",Equipes!$B$2:$B$60,"&lt;="&amp;$A54,Equipes!$C$2:$C$60,"&gt;="&amp;$A54)</f>
        <v>0</v>
      </c>
      <c r="M54" s="3" t="n">
        <f aca="false">IF(L54&gt;0,ROUNDUP(L54/Parametres!$B$7,0)+1,0)</f>
        <v>0</v>
      </c>
      <c r="N54" s="3" t="n">
        <f aca="false">SUMIFS(Equipes!$D$2:$D$60,Equipes!$A$2:$A$60,"LOT-07",Equipes!$B$2:$B$60,"&lt;="&amp;$A54,Equipes!$C$2:$C$60,"&gt;="&amp;$A54)</f>
        <v>0</v>
      </c>
      <c r="O54" s="3" t="n">
        <f aca="false">IF(N54&gt;0,ROUNDUP(N54/Parametres!$B$7,0)+1,0)</f>
        <v>0</v>
      </c>
      <c r="P54" s="3" t="n">
        <f aca="false">SUMIFS(Equipes!$D$2:$D$60,Equipes!$A$2:$A$60,"LOT-08",Equipes!$B$2:$B$60,"&lt;="&amp;$A54,Equipes!$C$2:$C$60,"&gt;="&amp;$A54)</f>
        <v>0</v>
      </c>
      <c r="Q54" s="3" t="n">
        <f aca="false">IF(P54&gt;0,ROUNDUP(P54/Parametres!$B$7,0)+1,0)</f>
        <v>0</v>
      </c>
    </row>
    <row r="55" customFormat="false" ht="15" hidden="false" customHeight="false" outlineLevel="0" collapsed="false">
      <c r="A55" s="2" t="n">
        <v>46136</v>
      </c>
      <c r="B55" s="3" t="n">
        <f aca="false">SUMIFS(Equipes!$D$2:$D$60,Equipes!$A$2:$A$60,"LOT-01",Equipes!$B$2:$B$60,"&lt;="&amp;$A55,Equipes!$C$2:$C$60,"&gt;="&amp;$A55)</f>
        <v>0</v>
      </c>
      <c r="C55" s="3" t="n">
        <f aca="false">IF(B55&gt;0,ROUNDUP(B55/Parametres!$B$7,0)+1,0)</f>
        <v>0</v>
      </c>
      <c r="D55" s="3" t="n">
        <f aca="false">SUMIFS(Equipes!$D$2:$D$60,Equipes!$A$2:$A$60,"LOT-02",Equipes!$B$2:$B$60,"&lt;="&amp;$A55,Equipes!$C$2:$C$60,"&gt;="&amp;$A55)</f>
        <v>0</v>
      </c>
      <c r="E55" s="3" t="n">
        <f aca="false">IF(D55&gt;0,ROUNDUP(D55/Parametres!$B$7,0)+1,0)</f>
        <v>0</v>
      </c>
      <c r="F55" s="3" t="n">
        <f aca="false">SUMIFS(Equipes!$D$2:$D$60,Equipes!$A$2:$A$60,"LOT-03",Equipes!$B$2:$B$60,"&lt;="&amp;$A55,Equipes!$C$2:$C$60,"&gt;="&amp;$A55)</f>
        <v>14</v>
      </c>
      <c r="G55" s="3" t="n">
        <f aca="false">IF(F55&gt;0,ROUNDUP(F55/Parametres!$B$7,0)+1,0)</f>
        <v>3</v>
      </c>
      <c r="H55" s="3" t="n">
        <f aca="false">SUMIFS(Equipes!$D$2:$D$60,Equipes!$A$2:$A$60,"LOT-04",Equipes!$B$2:$B$60,"&lt;="&amp;$A55,Equipes!$C$2:$C$60,"&gt;="&amp;$A55)</f>
        <v>0</v>
      </c>
      <c r="I55" s="3" t="n">
        <f aca="false">IF(H55&gt;0,ROUNDUP(H55/Parametres!$B$7,0)+1,0)</f>
        <v>0</v>
      </c>
      <c r="J55" s="3" t="n">
        <f aca="false">SUMIFS(Equipes!$D$2:$D$60,Equipes!$A$2:$A$60,"LOT-05",Equipes!$B$2:$B$60,"&lt;="&amp;$A55,Equipes!$C$2:$C$60,"&gt;="&amp;$A55)</f>
        <v>0</v>
      </c>
      <c r="K55" s="3" t="n">
        <f aca="false">IF(J55&gt;0,ROUNDUP(J55/Parametres!$B$7,0)+1,0)</f>
        <v>0</v>
      </c>
      <c r="L55" s="3" t="n">
        <f aca="false">SUMIFS(Equipes!$D$2:$D$60,Equipes!$A$2:$A$60,"LOT-06",Equipes!$B$2:$B$60,"&lt;="&amp;$A55,Equipes!$C$2:$C$60,"&gt;="&amp;$A55)</f>
        <v>0</v>
      </c>
      <c r="M55" s="3" t="n">
        <f aca="false">IF(L55&gt;0,ROUNDUP(L55/Parametres!$B$7,0)+1,0)</f>
        <v>0</v>
      </c>
      <c r="N55" s="3" t="n">
        <f aca="false">SUMIFS(Equipes!$D$2:$D$60,Equipes!$A$2:$A$60,"LOT-07",Equipes!$B$2:$B$60,"&lt;="&amp;$A55,Equipes!$C$2:$C$60,"&gt;="&amp;$A55)</f>
        <v>0</v>
      </c>
      <c r="O55" s="3" t="n">
        <f aca="false">IF(N55&gt;0,ROUNDUP(N55/Parametres!$B$7,0)+1,0)</f>
        <v>0</v>
      </c>
      <c r="P55" s="3" t="n">
        <f aca="false">SUMIFS(Equipes!$D$2:$D$60,Equipes!$A$2:$A$60,"LOT-08",Equipes!$B$2:$B$60,"&lt;="&amp;$A55,Equipes!$C$2:$C$60,"&gt;="&amp;$A55)</f>
        <v>0</v>
      </c>
      <c r="Q55" s="3" t="n">
        <f aca="false">IF(P55&gt;0,ROUNDUP(P55/Parametres!$B$7,0)+1,0)</f>
        <v>0</v>
      </c>
    </row>
    <row r="56" customFormat="false" ht="15" hidden="false" customHeight="false" outlineLevel="0" collapsed="false">
      <c r="A56" s="2" t="n">
        <v>46137</v>
      </c>
      <c r="B56" s="3" t="n">
        <f aca="false">SUMIFS(Equipes!$D$2:$D$60,Equipes!$A$2:$A$60,"LOT-01",Equipes!$B$2:$B$60,"&lt;="&amp;$A56,Equipes!$C$2:$C$60,"&gt;="&amp;$A56)</f>
        <v>0</v>
      </c>
      <c r="C56" s="3" t="n">
        <f aca="false">IF(B56&gt;0,ROUNDUP(B56/Parametres!$B$7,0)+1,0)</f>
        <v>0</v>
      </c>
      <c r="D56" s="3" t="n">
        <f aca="false">SUMIFS(Equipes!$D$2:$D$60,Equipes!$A$2:$A$60,"LOT-02",Equipes!$B$2:$B$60,"&lt;="&amp;$A56,Equipes!$C$2:$C$60,"&gt;="&amp;$A56)</f>
        <v>0</v>
      </c>
      <c r="E56" s="3" t="n">
        <f aca="false">IF(D56&gt;0,ROUNDUP(D56/Parametres!$B$7,0)+1,0)</f>
        <v>0</v>
      </c>
      <c r="F56" s="3" t="n">
        <f aca="false">SUMIFS(Equipes!$D$2:$D$60,Equipes!$A$2:$A$60,"LOT-03",Equipes!$B$2:$B$60,"&lt;="&amp;$A56,Equipes!$C$2:$C$60,"&gt;="&amp;$A56)</f>
        <v>14</v>
      </c>
      <c r="G56" s="3" t="n">
        <f aca="false">IF(F56&gt;0,ROUNDUP(F56/Parametres!$B$7,0)+1,0)</f>
        <v>3</v>
      </c>
      <c r="H56" s="3" t="n">
        <f aca="false">SUMIFS(Equipes!$D$2:$D$60,Equipes!$A$2:$A$60,"LOT-04",Equipes!$B$2:$B$60,"&lt;="&amp;$A56,Equipes!$C$2:$C$60,"&gt;="&amp;$A56)</f>
        <v>0</v>
      </c>
      <c r="I56" s="3" t="n">
        <f aca="false">IF(H56&gt;0,ROUNDUP(H56/Parametres!$B$7,0)+1,0)</f>
        <v>0</v>
      </c>
      <c r="J56" s="3" t="n">
        <f aca="false">SUMIFS(Equipes!$D$2:$D$60,Equipes!$A$2:$A$60,"LOT-05",Equipes!$B$2:$B$60,"&lt;="&amp;$A56,Equipes!$C$2:$C$60,"&gt;="&amp;$A56)</f>
        <v>0</v>
      </c>
      <c r="K56" s="3" t="n">
        <f aca="false">IF(J56&gt;0,ROUNDUP(J56/Parametres!$B$7,0)+1,0)</f>
        <v>0</v>
      </c>
      <c r="L56" s="3" t="n">
        <f aca="false">SUMIFS(Equipes!$D$2:$D$60,Equipes!$A$2:$A$60,"LOT-06",Equipes!$B$2:$B$60,"&lt;="&amp;$A56,Equipes!$C$2:$C$60,"&gt;="&amp;$A56)</f>
        <v>0</v>
      </c>
      <c r="M56" s="3" t="n">
        <f aca="false">IF(L56&gt;0,ROUNDUP(L56/Parametres!$B$7,0)+1,0)</f>
        <v>0</v>
      </c>
      <c r="N56" s="3" t="n">
        <f aca="false">SUMIFS(Equipes!$D$2:$D$60,Equipes!$A$2:$A$60,"LOT-07",Equipes!$B$2:$B$60,"&lt;="&amp;$A56,Equipes!$C$2:$C$60,"&gt;="&amp;$A56)</f>
        <v>0</v>
      </c>
      <c r="O56" s="3" t="n">
        <f aca="false">IF(N56&gt;0,ROUNDUP(N56/Parametres!$B$7,0)+1,0)</f>
        <v>0</v>
      </c>
      <c r="P56" s="3" t="n">
        <f aca="false">SUMIFS(Equipes!$D$2:$D$60,Equipes!$A$2:$A$60,"LOT-08",Equipes!$B$2:$B$60,"&lt;="&amp;$A56,Equipes!$C$2:$C$60,"&gt;="&amp;$A56)</f>
        <v>0</v>
      </c>
      <c r="Q56" s="3" t="n">
        <f aca="false">IF(P56&gt;0,ROUNDUP(P56/Parametres!$B$7,0)+1,0)</f>
        <v>0</v>
      </c>
    </row>
    <row r="57" customFormat="false" ht="15" hidden="false" customHeight="false" outlineLevel="0" collapsed="false">
      <c r="A57" s="2" t="n">
        <v>46138</v>
      </c>
      <c r="B57" s="3" t="n">
        <f aca="false">SUMIFS(Equipes!$D$2:$D$60,Equipes!$A$2:$A$60,"LOT-01",Equipes!$B$2:$B$60,"&lt;="&amp;$A57,Equipes!$C$2:$C$60,"&gt;="&amp;$A57)</f>
        <v>0</v>
      </c>
      <c r="C57" s="3" t="n">
        <f aca="false">IF(B57&gt;0,ROUNDUP(B57/Parametres!$B$7,0)+1,0)</f>
        <v>0</v>
      </c>
      <c r="D57" s="3" t="n">
        <f aca="false">SUMIFS(Equipes!$D$2:$D$60,Equipes!$A$2:$A$60,"LOT-02",Equipes!$B$2:$B$60,"&lt;="&amp;$A57,Equipes!$C$2:$C$60,"&gt;="&amp;$A57)</f>
        <v>0</v>
      </c>
      <c r="E57" s="3" t="n">
        <f aca="false">IF(D57&gt;0,ROUNDUP(D57/Parametres!$B$7,0)+1,0)</f>
        <v>0</v>
      </c>
      <c r="F57" s="3" t="n">
        <f aca="false">SUMIFS(Equipes!$D$2:$D$60,Equipes!$A$2:$A$60,"LOT-03",Equipes!$B$2:$B$60,"&lt;="&amp;$A57,Equipes!$C$2:$C$60,"&gt;="&amp;$A57)</f>
        <v>14</v>
      </c>
      <c r="G57" s="3" t="n">
        <f aca="false">IF(F57&gt;0,ROUNDUP(F57/Parametres!$B$7,0)+1,0)</f>
        <v>3</v>
      </c>
      <c r="H57" s="3" t="n">
        <f aca="false">SUMIFS(Equipes!$D$2:$D$60,Equipes!$A$2:$A$60,"LOT-04",Equipes!$B$2:$B$60,"&lt;="&amp;$A57,Equipes!$C$2:$C$60,"&gt;="&amp;$A57)</f>
        <v>0</v>
      </c>
      <c r="I57" s="3" t="n">
        <f aca="false">IF(H57&gt;0,ROUNDUP(H57/Parametres!$B$7,0)+1,0)</f>
        <v>0</v>
      </c>
      <c r="J57" s="3" t="n">
        <f aca="false">SUMIFS(Equipes!$D$2:$D$60,Equipes!$A$2:$A$60,"LOT-05",Equipes!$B$2:$B$60,"&lt;="&amp;$A57,Equipes!$C$2:$C$60,"&gt;="&amp;$A57)</f>
        <v>0</v>
      </c>
      <c r="K57" s="3" t="n">
        <f aca="false">IF(J57&gt;0,ROUNDUP(J57/Parametres!$B$7,0)+1,0)</f>
        <v>0</v>
      </c>
      <c r="L57" s="3" t="n">
        <f aca="false">SUMIFS(Equipes!$D$2:$D$60,Equipes!$A$2:$A$60,"LOT-06",Equipes!$B$2:$B$60,"&lt;="&amp;$A57,Equipes!$C$2:$C$60,"&gt;="&amp;$A57)</f>
        <v>0</v>
      </c>
      <c r="M57" s="3" t="n">
        <f aca="false">IF(L57&gt;0,ROUNDUP(L57/Parametres!$B$7,0)+1,0)</f>
        <v>0</v>
      </c>
      <c r="N57" s="3" t="n">
        <f aca="false">SUMIFS(Equipes!$D$2:$D$60,Equipes!$A$2:$A$60,"LOT-07",Equipes!$B$2:$B$60,"&lt;="&amp;$A57,Equipes!$C$2:$C$60,"&gt;="&amp;$A57)</f>
        <v>0</v>
      </c>
      <c r="O57" s="3" t="n">
        <f aca="false">IF(N57&gt;0,ROUNDUP(N57/Parametres!$B$7,0)+1,0)</f>
        <v>0</v>
      </c>
      <c r="P57" s="3" t="n">
        <f aca="false">SUMIFS(Equipes!$D$2:$D$60,Equipes!$A$2:$A$60,"LOT-08",Equipes!$B$2:$B$60,"&lt;="&amp;$A57,Equipes!$C$2:$C$60,"&gt;="&amp;$A57)</f>
        <v>0</v>
      </c>
      <c r="Q57" s="3" t="n">
        <f aca="false">IF(P57&gt;0,ROUNDUP(P57/Parametres!$B$7,0)+1,0)</f>
        <v>0</v>
      </c>
    </row>
    <row r="58" customFormat="false" ht="15" hidden="false" customHeight="false" outlineLevel="0" collapsed="false">
      <c r="A58" s="2" t="n">
        <v>46139</v>
      </c>
      <c r="B58" s="3" t="n">
        <f aca="false">SUMIFS(Equipes!$D$2:$D$60,Equipes!$A$2:$A$60,"LOT-01",Equipes!$B$2:$B$60,"&lt;="&amp;$A58,Equipes!$C$2:$C$60,"&gt;="&amp;$A58)</f>
        <v>0</v>
      </c>
      <c r="C58" s="3" t="n">
        <f aca="false">IF(B58&gt;0,ROUNDUP(B58/Parametres!$B$7,0)+1,0)</f>
        <v>0</v>
      </c>
      <c r="D58" s="3" t="n">
        <f aca="false">SUMIFS(Equipes!$D$2:$D$60,Equipes!$A$2:$A$60,"LOT-02",Equipes!$B$2:$B$60,"&lt;="&amp;$A58,Equipes!$C$2:$C$60,"&gt;="&amp;$A58)</f>
        <v>0</v>
      </c>
      <c r="E58" s="3" t="n">
        <f aca="false">IF(D58&gt;0,ROUNDUP(D58/Parametres!$B$7,0)+1,0)</f>
        <v>0</v>
      </c>
      <c r="F58" s="3" t="n">
        <f aca="false">SUMIFS(Equipes!$D$2:$D$60,Equipes!$A$2:$A$60,"LOT-03",Equipes!$B$2:$B$60,"&lt;="&amp;$A58,Equipes!$C$2:$C$60,"&gt;="&amp;$A58)</f>
        <v>12</v>
      </c>
      <c r="G58" s="3" t="n">
        <f aca="false">IF(F58&gt;0,ROUNDUP(F58/Parametres!$B$7,0)+1,0)</f>
        <v>2</v>
      </c>
      <c r="H58" s="3" t="n">
        <f aca="false">SUMIFS(Equipes!$D$2:$D$60,Equipes!$A$2:$A$60,"LOT-04",Equipes!$B$2:$B$60,"&lt;="&amp;$A58,Equipes!$C$2:$C$60,"&gt;="&amp;$A58)</f>
        <v>0</v>
      </c>
      <c r="I58" s="3" t="n">
        <f aca="false">IF(H58&gt;0,ROUNDUP(H58/Parametres!$B$7,0)+1,0)</f>
        <v>0</v>
      </c>
      <c r="J58" s="3" t="n">
        <f aca="false">SUMIFS(Equipes!$D$2:$D$60,Equipes!$A$2:$A$60,"LOT-05",Equipes!$B$2:$B$60,"&lt;="&amp;$A58,Equipes!$C$2:$C$60,"&gt;="&amp;$A58)</f>
        <v>0</v>
      </c>
      <c r="K58" s="3" t="n">
        <f aca="false">IF(J58&gt;0,ROUNDUP(J58/Parametres!$B$7,0)+1,0)</f>
        <v>0</v>
      </c>
      <c r="L58" s="3" t="n">
        <f aca="false">SUMIFS(Equipes!$D$2:$D$60,Equipes!$A$2:$A$60,"LOT-06",Equipes!$B$2:$B$60,"&lt;="&amp;$A58,Equipes!$C$2:$C$60,"&gt;="&amp;$A58)</f>
        <v>0</v>
      </c>
      <c r="M58" s="3" t="n">
        <f aca="false">IF(L58&gt;0,ROUNDUP(L58/Parametres!$B$7,0)+1,0)</f>
        <v>0</v>
      </c>
      <c r="N58" s="3" t="n">
        <f aca="false">SUMIFS(Equipes!$D$2:$D$60,Equipes!$A$2:$A$60,"LOT-07",Equipes!$B$2:$B$60,"&lt;="&amp;$A58,Equipes!$C$2:$C$60,"&gt;="&amp;$A58)</f>
        <v>0</v>
      </c>
      <c r="O58" s="3" t="n">
        <f aca="false">IF(N58&gt;0,ROUNDUP(N58/Parametres!$B$7,0)+1,0)</f>
        <v>0</v>
      </c>
      <c r="P58" s="3" t="n">
        <f aca="false">SUMIFS(Equipes!$D$2:$D$60,Equipes!$A$2:$A$60,"LOT-08",Equipes!$B$2:$B$60,"&lt;="&amp;$A58,Equipes!$C$2:$C$60,"&gt;="&amp;$A58)</f>
        <v>0</v>
      </c>
      <c r="Q58" s="3" t="n">
        <f aca="false">IF(P58&gt;0,ROUNDUP(P58/Parametres!$B$7,0)+1,0)</f>
        <v>0</v>
      </c>
    </row>
    <row r="59" customFormat="false" ht="15" hidden="false" customHeight="false" outlineLevel="0" collapsed="false">
      <c r="A59" s="2" t="n">
        <v>46140</v>
      </c>
      <c r="B59" s="3" t="n">
        <f aca="false">SUMIFS(Equipes!$D$2:$D$60,Equipes!$A$2:$A$60,"LOT-01",Equipes!$B$2:$B$60,"&lt;="&amp;$A59,Equipes!$C$2:$C$60,"&gt;="&amp;$A59)</f>
        <v>0</v>
      </c>
      <c r="C59" s="3" t="n">
        <f aca="false">IF(B59&gt;0,ROUNDUP(B59/Parametres!$B$7,0)+1,0)</f>
        <v>0</v>
      </c>
      <c r="D59" s="3" t="n">
        <f aca="false">SUMIFS(Equipes!$D$2:$D$60,Equipes!$A$2:$A$60,"LOT-02",Equipes!$B$2:$B$60,"&lt;="&amp;$A59,Equipes!$C$2:$C$60,"&gt;="&amp;$A59)</f>
        <v>0</v>
      </c>
      <c r="E59" s="3" t="n">
        <f aca="false">IF(D59&gt;0,ROUNDUP(D59/Parametres!$B$7,0)+1,0)</f>
        <v>0</v>
      </c>
      <c r="F59" s="3" t="n">
        <f aca="false">SUMIFS(Equipes!$D$2:$D$60,Equipes!$A$2:$A$60,"LOT-03",Equipes!$B$2:$B$60,"&lt;="&amp;$A59,Equipes!$C$2:$C$60,"&gt;="&amp;$A59)</f>
        <v>12</v>
      </c>
      <c r="G59" s="3" t="n">
        <f aca="false">IF(F59&gt;0,ROUNDUP(F59/Parametres!$B$7,0)+1,0)</f>
        <v>2</v>
      </c>
      <c r="H59" s="3" t="n">
        <f aca="false">SUMIFS(Equipes!$D$2:$D$60,Equipes!$A$2:$A$60,"LOT-04",Equipes!$B$2:$B$60,"&lt;="&amp;$A59,Equipes!$C$2:$C$60,"&gt;="&amp;$A59)</f>
        <v>0</v>
      </c>
      <c r="I59" s="3" t="n">
        <f aca="false">IF(H59&gt;0,ROUNDUP(H59/Parametres!$B$7,0)+1,0)</f>
        <v>0</v>
      </c>
      <c r="J59" s="3" t="n">
        <f aca="false">SUMIFS(Equipes!$D$2:$D$60,Equipes!$A$2:$A$60,"LOT-05",Equipes!$B$2:$B$60,"&lt;="&amp;$A59,Equipes!$C$2:$C$60,"&gt;="&amp;$A59)</f>
        <v>0</v>
      </c>
      <c r="K59" s="3" t="n">
        <f aca="false">IF(J59&gt;0,ROUNDUP(J59/Parametres!$B$7,0)+1,0)</f>
        <v>0</v>
      </c>
      <c r="L59" s="3" t="n">
        <f aca="false">SUMIFS(Equipes!$D$2:$D$60,Equipes!$A$2:$A$60,"LOT-06",Equipes!$B$2:$B$60,"&lt;="&amp;$A59,Equipes!$C$2:$C$60,"&gt;="&amp;$A59)</f>
        <v>0</v>
      </c>
      <c r="M59" s="3" t="n">
        <f aca="false">IF(L59&gt;0,ROUNDUP(L59/Parametres!$B$7,0)+1,0)</f>
        <v>0</v>
      </c>
      <c r="N59" s="3" t="n">
        <f aca="false">SUMIFS(Equipes!$D$2:$D$60,Equipes!$A$2:$A$60,"LOT-07",Equipes!$B$2:$B$60,"&lt;="&amp;$A59,Equipes!$C$2:$C$60,"&gt;="&amp;$A59)</f>
        <v>0</v>
      </c>
      <c r="O59" s="3" t="n">
        <f aca="false">IF(N59&gt;0,ROUNDUP(N59/Parametres!$B$7,0)+1,0)</f>
        <v>0</v>
      </c>
      <c r="P59" s="3" t="n">
        <f aca="false">SUMIFS(Equipes!$D$2:$D$60,Equipes!$A$2:$A$60,"LOT-08",Equipes!$B$2:$B$60,"&lt;="&amp;$A59,Equipes!$C$2:$C$60,"&gt;="&amp;$A59)</f>
        <v>0</v>
      </c>
      <c r="Q59" s="3" t="n">
        <f aca="false">IF(P59&gt;0,ROUNDUP(P59/Parametres!$B$7,0)+1,0)</f>
        <v>0</v>
      </c>
    </row>
    <row r="60" customFormat="false" ht="15" hidden="false" customHeight="false" outlineLevel="0" collapsed="false">
      <c r="A60" s="2" t="n">
        <v>46141</v>
      </c>
      <c r="B60" s="3" t="n">
        <f aca="false">SUMIFS(Equipes!$D$2:$D$60,Equipes!$A$2:$A$60,"LOT-01",Equipes!$B$2:$B$60,"&lt;="&amp;$A60,Equipes!$C$2:$C$60,"&gt;="&amp;$A60)</f>
        <v>0</v>
      </c>
      <c r="C60" s="3" t="n">
        <f aca="false">IF(B60&gt;0,ROUNDUP(B60/Parametres!$B$7,0)+1,0)</f>
        <v>0</v>
      </c>
      <c r="D60" s="3" t="n">
        <f aca="false">SUMIFS(Equipes!$D$2:$D$60,Equipes!$A$2:$A$60,"LOT-02",Equipes!$B$2:$B$60,"&lt;="&amp;$A60,Equipes!$C$2:$C$60,"&gt;="&amp;$A60)</f>
        <v>0</v>
      </c>
      <c r="E60" s="3" t="n">
        <f aca="false">IF(D60&gt;0,ROUNDUP(D60/Parametres!$B$7,0)+1,0)</f>
        <v>0</v>
      </c>
      <c r="F60" s="3" t="n">
        <f aca="false">SUMIFS(Equipes!$D$2:$D$60,Equipes!$A$2:$A$60,"LOT-03",Equipes!$B$2:$B$60,"&lt;="&amp;$A60,Equipes!$C$2:$C$60,"&gt;="&amp;$A60)</f>
        <v>12</v>
      </c>
      <c r="G60" s="3" t="n">
        <f aca="false">IF(F60&gt;0,ROUNDUP(F60/Parametres!$B$7,0)+1,0)</f>
        <v>2</v>
      </c>
      <c r="H60" s="3" t="n">
        <f aca="false">SUMIFS(Equipes!$D$2:$D$60,Equipes!$A$2:$A$60,"LOT-04",Equipes!$B$2:$B$60,"&lt;="&amp;$A60,Equipes!$C$2:$C$60,"&gt;="&amp;$A60)</f>
        <v>0</v>
      </c>
      <c r="I60" s="3" t="n">
        <f aca="false">IF(H60&gt;0,ROUNDUP(H60/Parametres!$B$7,0)+1,0)</f>
        <v>0</v>
      </c>
      <c r="J60" s="3" t="n">
        <f aca="false">SUMIFS(Equipes!$D$2:$D$60,Equipes!$A$2:$A$60,"LOT-05",Equipes!$B$2:$B$60,"&lt;="&amp;$A60,Equipes!$C$2:$C$60,"&gt;="&amp;$A60)</f>
        <v>0</v>
      </c>
      <c r="K60" s="3" t="n">
        <f aca="false">IF(J60&gt;0,ROUNDUP(J60/Parametres!$B$7,0)+1,0)</f>
        <v>0</v>
      </c>
      <c r="L60" s="3" t="n">
        <f aca="false">SUMIFS(Equipes!$D$2:$D$60,Equipes!$A$2:$A$60,"LOT-06",Equipes!$B$2:$B$60,"&lt;="&amp;$A60,Equipes!$C$2:$C$60,"&gt;="&amp;$A60)</f>
        <v>0</v>
      </c>
      <c r="M60" s="3" t="n">
        <f aca="false">IF(L60&gt;0,ROUNDUP(L60/Parametres!$B$7,0)+1,0)</f>
        <v>0</v>
      </c>
      <c r="N60" s="3" t="n">
        <f aca="false">SUMIFS(Equipes!$D$2:$D$60,Equipes!$A$2:$A$60,"LOT-07",Equipes!$B$2:$B$60,"&lt;="&amp;$A60,Equipes!$C$2:$C$60,"&gt;="&amp;$A60)</f>
        <v>0</v>
      </c>
      <c r="O60" s="3" t="n">
        <f aca="false">IF(N60&gt;0,ROUNDUP(N60/Parametres!$B$7,0)+1,0)</f>
        <v>0</v>
      </c>
      <c r="P60" s="3" t="n">
        <f aca="false">SUMIFS(Equipes!$D$2:$D$60,Equipes!$A$2:$A$60,"LOT-08",Equipes!$B$2:$B$60,"&lt;="&amp;$A60,Equipes!$C$2:$C$60,"&gt;="&amp;$A60)</f>
        <v>0</v>
      </c>
      <c r="Q60" s="3" t="n">
        <f aca="false">IF(P60&gt;0,ROUNDUP(P60/Parametres!$B$7,0)+1,0)</f>
        <v>0</v>
      </c>
    </row>
    <row r="61" customFormat="false" ht="15" hidden="false" customHeight="false" outlineLevel="0" collapsed="false">
      <c r="A61" s="2" t="n">
        <v>46142</v>
      </c>
      <c r="B61" s="3" t="n">
        <f aca="false">SUMIFS(Equipes!$D$2:$D$60,Equipes!$A$2:$A$60,"LOT-01",Equipes!$B$2:$B$60,"&lt;="&amp;$A61,Equipes!$C$2:$C$60,"&gt;="&amp;$A61)</f>
        <v>0</v>
      </c>
      <c r="C61" s="3" t="n">
        <f aca="false">IF(B61&gt;0,ROUNDUP(B61/Parametres!$B$7,0)+1,0)</f>
        <v>0</v>
      </c>
      <c r="D61" s="3" t="n">
        <f aca="false">SUMIFS(Equipes!$D$2:$D$60,Equipes!$A$2:$A$60,"LOT-02",Equipes!$B$2:$B$60,"&lt;="&amp;$A61,Equipes!$C$2:$C$60,"&gt;="&amp;$A61)</f>
        <v>0</v>
      </c>
      <c r="E61" s="3" t="n">
        <f aca="false">IF(D61&gt;0,ROUNDUP(D61/Parametres!$B$7,0)+1,0)</f>
        <v>0</v>
      </c>
      <c r="F61" s="3" t="n">
        <f aca="false">SUMIFS(Equipes!$D$2:$D$60,Equipes!$A$2:$A$60,"LOT-03",Equipes!$B$2:$B$60,"&lt;="&amp;$A61,Equipes!$C$2:$C$60,"&gt;="&amp;$A61)</f>
        <v>12</v>
      </c>
      <c r="G61" s="3" t="n">
        <f aca="false">IF(F61&gt;0,ROUNDUP(F61/Parametres!$B$7,0)+1,0)</f>
        <v>2</v>
      </c>
      <c r="H61" s="3" t="n">
        <f aca="false">SUMIFS(Equipes!$D$2:$D$60,Equipes!$A$2:$A$60,"LOT-04",Equipes!$B$2:$B$60,"&lt;="&amp;$A61,Equipes!$C$2:$C$60,"&gt;="&amp;$A61)</f>
        <v>0</v>
      </c>
      <c r="I61" s="3" t="n">
        <f aca="false">IF(H61&gt;0,ROUNDUP(H61/Parametres!$B$7,0)+1,0)</f>
        <v>0</v>
      </c>
      <c r="J61" s="3" t="n">
        <f aca="false">SUMIFS(Equipes!$D$2:$D$60,Equipes!$A$2:$A$60,"LOT-05",Equipes!$B$2:$B$60,"&lt;="&amp;$A61,Equipes!$C$2:$C$60,"&gt;="&amp;$A61)</f>
        <v>0</v>
      </c>
      <c r="K61" s="3" t="n">
        <f aca="false">IF(J61&gt;0,ROUNDUP(J61/Parametres!$B$7,0)+1,0)</f>
        <v>0</v>
      </c>
      <c r="L61" s="3" t="n">
        <f aca="false">SUMIFS(Equipes!$D$2:$D$60,Equipes!$A$2:$A$60,"LOT-06",Equipes!$B$2:$B$60,"&lt;="&amp;$A61,Equipes!$C$2:$C$60,"&gt;="&amp;$A61)</f>
        <v>0</v>
      </c>
      <c r="M61" s="3" t="n">
        <f aca="false">IF(L61&gt;0,ROUNDUP(L61/Parametres!$B$7,0)+1,0)</f>
        <v>0</v>
      </c>
      <c r="N61" s="3" t="n">
        <f aca="false">SUMIFS(Equipes!$D$2:$D$60,Equipes!$A$2:$A$60,"LOT-07",Equipes!$B$2:$B$60,"&lt;="&amp;$A61,Equipes!$C$2:$C$60,"&gt;="&amp;$A61)</f>
        <v>0</v>
      </c>
      <c r="O61" s="3" t="n">
        <f aca="false">IF(N61&gt;0,ROUNDUP(N61/Parametres!$B$7,0)+1,0)</f>
        <v>0</v>
      </c>
      <c r="P61" s="3" t="n">
        <f aca="false">SUMIFS(Equipes!$D$2:$D$60,Equipes!$A$2:$A$60,"LOT-08",Equipes!$B$2:$B$60,"&lt;="&amp;$A61,Equipes!$C$2:$C$60,"&gt;="&amp;$A61)</f>
        <v>0</v>
      </c>
      <c r="Q61" s="3" t="n">
        <f aca="false">IF(P61&gt;0,ROUNDUP(P61/Parametres!$B$7,0)+1,0)</f>
        <v>0</v>
      </c>
    </row>
    <row r="62" customFormat="false" ht="15" hidden="false" customHeight="false" outlineLevel="0" collapsed="false">
      <c r="A62" s="2" t="n">
        <v>46143</v>
      </c>
      <c r="B62" s="3" t="n">
        <f aca="false">SUMIFS(Equipes!$D$2:$D$60,Equipes!$A$2:$A$60,"LOT-01",Equipes!$B$2:$B$60,"&lt;="&amp;$A62,Equipes!$C$2:$C$60,"&gt;="&amp;$A62)</f>
        <v>0</v>
      </c>
      <c r="C62" s="3" t="n">
        <f aca="false">IF(B62&gt;0,ROUNDUP(B62/Parametres!$B$7,0)+1,0)</f>
        <v>0</v>
      </c>
      <c r="D62" s="3" t="n">
        <f aca="false">SUMIFS(Equipes!$D$2:$D$60,Equipes!$A$2:$A$60,"LOT-02",Equipes!$B$2:$B$60,"&lt;="&amp;$A62,Equipes!$C$2:$C$60,"&gt;="&amp;$A62)</f>
        <v>0</v>
      </c>
      <c r="E62" s="3" t="n">
        <f aca="false">IF(D62&gt;0,ROUNDUP(D62/Parametres!$B$7,0)+1,0)</f>
        <v>0</v>
      </c>
      <c r="F62" s="3" t="n">
        <f aca="false">SUMIFS(Equipes!$D$2:$D$60,Equipes!$A$2:$A$60,"LOT-03",Equipes!$B$2:$B$60,"&lt;="&amp;$A62,Equipes!$C$2:$C$60,"&gt;="&amp;$A62)</f>
        <v>12</v>
      </c>
      <c r="G62" s="3" t="n">
        <f aca="false">IF(F62&gt;0,ROUNDUP(F62/Parametres!$B$7,0)+1,0)</f>
        <v>2</v>
      </c>
      <c r="H62" s="3" t="n">
        <f aca="false">SUMIFS(Equipes!$D$2:$D$60,Equipes!$A$2:$A$60,"LOT-04",Equipes!$B$2:$B$60,"&lt;="&amp;$A62,Equipes!$C$2:$C$60,"&gt;="&amp;$A62)</f>
        <v>0</v>
      </c>
      <c r="I62" s="3" t="n">
        <f aca="false">IF(H62&gt;0,ROUNDUP(H62/Parametres!$B$7,0)+1,0)</f>
        <v>0</v>
      </c>
      <c r="J62" s="3" t="n">
        <f aca="false">SUMIFS(Equipes!$D$2:$D$60,Equipes!$A$2:$A$60,"LOT-05",Equipes!$B$2:$B$60,"&lt;="&amp;$A62,Equipes!$C$2:$C$60,"&gt;="&amp;$A62)</f>
        <v>0</v>
      </c>
      <c r="K62" s="3" t="n">
        <f aca="false">IF(J62&gt;0,ROUNDUP(J62/Parametres!$B$7,0)+1,0)</f>
        <v>0</v>
      </c>
      <c r="L62" s="3" t="n">
        <f aca="false">SUMIFS(Equipes!$D$2:$D$60,Equipes!$A$2:$A$60,"LOT-06",Equipes!$B$2:$B$60,"&lt;="&amp;$A62,Equipes!$C$2:$C$60,"&gt;="&amp;$A62)</f>
        <v>0</v>
      </c>
      <c r="M62" s="3" t="n">
        <f aca="false">IF(L62&gt;0,ROUNDUP(L62/Parametres!$B$7,0)+1,0)</f>
        <v>0</v>
      </c>
      <c r="N62" s="3" t="n">
        <f aca="false">SUMIFS(Equipes!$D$2:$D$60,Equipes!$A$2:$A$60,"LOT-07",Equipes!$B$2:$B$60,"&lt;="&amp;$A62,Equipes!$C$2:$C$60,"&gt;="&amp;$A62)</f>
        <v>0</v>
      </c>
      <c r="O62" s="3" t="n">
        <f aca="false">IF(N62&gt;0,ROUNDUP(N62/Parametres!$B$7,0)+1,0)</f>
        <v>0</v>
      </c>
      <c r="P62" s="3" t="n">
        <f aca="false">SUMIFS(Equipes!$D$2:$D$60,Equipes!$A$2:$A$60,"LOT-08",Equipes!$B$2:$B$60,"&lt;="&amp;$A62,Equipes!$C$2:$C$60,"&gt;="&amp;$A62)</f>
        <v>0</v>
      </c>
      <c r="Q62" s="3" t="n">
        <f aca="false">IF(P62&gt;0,ROUNDUP(P62/Parametres!$B$7,0)+1,0)</f>
        <v>0</v>
      </c>
    </row>
    <row r="63" customFormat="false" ht="15" hidden="false" customHeight="false" outlineLevel="0" collapsed="false">
      <c r="A63" s="2" t="n">
        <v>46144</v>
      </c>
      <c r="B63" s="3" t="n">
        <f aca="false">SUMIFS(Equipes!$D$2:$D$60,Equipes!$A$2:$A$60,"LOT-01",Equipes!$B$2:$B$60,"&lt;="&amp;$A63,Equipes!$C$2:$C$60,"&gt;="&amp;$A63)</f>
        <v>0</v>
      </c>
      <c r="C63" s="3" t="n">
        <f aca="false">IF(B63&gt;0,ROUNDUP(B63/Parametres!$B$7,0)+1,0)</f>
        <v>0</v>
      </c>
      <c r="D63" s="3" t="n">
        <f aca="false">SUMIFS(Equipes!$D$2:$D$60,Equipes!$A$2:$A$60,"LOT-02",Equipes!$B$2:$B$60,"&lt;="&amp;$A63,Equipes!$C$2:$C$60,"&gt;="&amp;$A63)</f>
        <v>0</v>
      </c>
      <c r="E63" s="3" t="n">
        <f aca="false">IF(D63&gt;0,ROUNDUP(D63/Parametres!$B$7,0)+1,0)</f>
        <v>0</v>
      </c>
      <c r="F63" s="3" t="n">
        <f aca="false">SUMIFS(Equipes!$D$2:$D$60,Equipes!$A$2:$A$60,"LOT-03",Equipes!$B$2:$B$60,"&lt;="&amp;$A63,Equipes!$C$2:$C$60,"&gt;="&amp;$A63)</f>
        <v>12</v>
      </c>
      <c r="G63" s="3" t="n">
        <f aca="false">IF(F63&gt;0,ROUNDUP(F63/Parametres!$B$7,0)+1,0)</f>
        <v>2</v>
      </c>
      <c r="H63" s="3" t="n">
        <f aca="false">SUMIFS(Equipes!$D$2:$D$60,Equipes!$A$2:$A$60,"LOT-04",Equipes!$B$2:$B$60,"&lt;="&amp;$A63,Equipes!$C$2:$C$60,"&gt;="&amp;$A63)</f>
        <v>0</v>
      </c>
      <c r="I63" s="3" t="n">
        <f aca="false">IF(H63&gt;0,ROUNDUP(H63/Parametres!$B$7,0)+1,0)</f>
        <v>0</v>
      </c>
      <c r="J63" s="3" t="n">
        <f aca="false">SUMIFS(Equipes!$D$2:$D$60,Equipes!$A$2:$A$60,"LOT-05",Equipes!$B$2:$B$60,"&lt;="&amp;$A63,Equipes!$C$2:$C$60,"&gt;="&amp;$A63)</f>
        <v>0</v>
      </c>
      <c r="K63" s="3" t="n">
        <f aca="false">IF(J63&gt;0,ROUNDUP(J63/Parametres!$B$7,0)+1,0)</f>
        <v>0</v>
      </c>
      <c r="L63" s="3" t="n">
        <f aca="false">SUMIFS(Equipes!$D$2:$D$60,Equipes!$A$2:$A$60,"LOT-06",Equipes!$B$2:$B$60,"&lt;="&amp;$A63,Equipes!$C$2:$C$60,"&gt;="&amp;$A63)</f>
        <v>0</v>
      </c>
      <c r="M63" s="3" t="n">
        <f aca="false">IF(L63&gt;0,ROUNDUP(L63/Parametres!$B$7,0)+1,0)</f>
        <v>0</v>
      </c>
      <c r="N63" s="3" t="n">
        <f aca="false">SUMIFS(Equipes!$D$2:$D$60,Equipes!$A$2:$A$60,"LOT-07",Equipes!$B$2:$B$60,"&lt;="&amp;$A63,Equipes!$C$2:$C$60,"&gt;="&amp;$A63)</f>
        <v>0</v>
      </c>
      <c r="O63" s="3" t="n">
        <f aca="false">IF(N63&gt;0,ROUNDUP(N63/Parametres!$B$7,0)+1,0)</f>
        <v>0</v>
      </c>
      <c r="P63" s="3" t="n">
        <f aca="false">SUMIFS(Equipes!$D$2:$D$60,Equipes!$A$2:$A$60,"LOT-08",Equipes!$B$2:$B$60,"&lt;="&amp;$A63,Equipes!$C$2:$C$60,"&gt;="&amp;$A63)</f>
        <v>0</v>
      </c>
      <c r="Q63" s="3" t="n">
        <f aca="false">IF(P63&gt;0,ROUNDUP(P63/Parametres!$B$7,0)+1,0)</f>
        <v>0</v>
      </c>
    </row>
    <row r="64" customFormat="false" ht="15" hidden="false" customHeight="false" outlineLevel="0" collapsed="false">
      <c r="A64" s="2" t="n">
        <v>46145</v>
      </c>
      <c r="B64" s="3" t="n">
        <f aca="false">SUMIFS(Equipes!$D$2:$D$60,Equipes!$A$2:$A$60,"LOT-01",Equipes!$B$2:$B$60,"&lt;="&amp;$A64,Equipes!$C$2:$C$60,"&gt;="&amp;$A64)</f>
        <v>0</v>
      </c>
      <c r="C64" s="3" t="n">
        <f aca="false">IF(B64&gt;0,ROUNDUP(B64/Parametres!$B$7,0)+1,0)</f>
        <v>0</v>
      </c>
      <c r="D64" s="3" t="n">
        <f aca="false">SUMIFS(Equipes!$D$2:$D$60,Equipes!$A$2:$A$60,"LOT-02",Equipes!$B$2:$B$60,"&lt;="&amp;$A64,Equipes!$C$2:$C$60,"&gt;="&amp;$A64)</f>
        <v>0</v>
      </c>
      <c r="E64" s="3" t="n">
        <f aca="false">IF(D64&gt;0,ROUNDUP(D64/Parametres!$B$7,0)+1,0)</f>
        <v>0</v>
      </c>
      <c r="F64" s="3" t="n">
        <f aca="false">SUMIFS(Equipes!$D$2:$D$60,Equipes!$A$2:$A$60,"LOT-03",Equipes!$B$2:$B$60,"&lt;="&amp;$A64,Equipes!$C$2:$C$60,"&gt;="&amp;$A64)</f>
        <v>12</v>
      </c>
      <c r="G64" s="3" t="n">
        <f aca="false">IF(F64&gt;0,ROUNDUP(F64/Parametres!$B$7,0)+1,0)</f>
        <v>2</v>
      </c>
      <c r="H64" s="3" t="n">
        <f aca="false">SUMIFS(Equipes!$D$2:$D$60,Equipes!$A$2:$A$60,"LOT-04",Equipes!$B$2:$B$60,"&lt;="&amp;$A64,Equipes!$C$2:$C$60,"&gt;="&amp;$A64)</f>
        <v>0</v>
      </c>
      <c r="I64" s="3" t="n">
        <f aca="false">IF(H64&gt;0,ROUNDUP(H64/Parametres!$B$7,0)+1,0)</f>
        <v>0</v>
      </c>
      <c r="J64" s="3" t="n">
        <f aca="false">SUMIFS(Equipes!$D$2:$D$60,Equipes!$A$2:$A$60,"LOT-05",Equipes!$B$2:$B$60,"&lt;="&amp;$A64,Equipes!$C$2:$C$60,"&gt;="&amp;$A64)</f>
        <v>0</v>
      </c>
      <c r="K64" s="3" t="n">
        <f aca="false">IF(J64&gt;0,ROUNDUP(J64/Parametres!$B$7,0)+1,0)</f>
        <v>0</v>
      </c>
      <c r="L64" s="3" t="n">
        <f aca="false">SUMIFS(Equipes!$D$2:$D$60,Equipes!$A$2:$A$60,"LOT-06",Equipes!$B$2:$B$60,"&lt;="&amp;$A64,Equipes!$C$2:$C$60,"&gt;="&amp;$A64)</f>
        <v>0</v>
      </c>
      <c r="M64" s="3" t="n">
        <f aca="false">IF(L64&gt;0,ROUNDUP(L64/Parametres!$B$7,0)+1,0)</f>
        <v>0</v>
      </c>
      <c r="N64" s="3" t="n">
        <f aca="false">SUMIFS(Equipes!$D$2:$D$60,Equipes!$A$2:$A$60,"LOT-07",Equipes!$B$2:$B$60,"&lt;="&amp;$A64,Equipes!$C$2:$C$60,"&gt;="&amp;$A64)</f>
        <v>0</v>
      </c>
      <c r="O64" s="3" t="n">
        <f aca="false">IF(N64&gt;0,ROUNDUP(N64/Parametres!$B$7,0)+1,0)</f>
        <v>0</v>
      </c>
      <c r="P64" s="3" t="n">
        <f aca="false">SUMIFS(Equipes!$D$2:$D$60,Equipes!$A$2:$A$60,"LOT-08",Equipes!$B$2:$B$60,"&lt;="&amp;$A64,Equipes!$C$2:$C$60,"&gt;="&amp;$A64)</f>
        <v>0</v>
      </c>
      <c r="Q64" s="3" t="n">
        <f aca="false">IF(P64&gt;0,ROUNDUP(P64/Parametres!$B$7,0)+1,0)</f>
        <v>0</v>
      </c>
    </row>
    <row r="65" customFormat="false" ht="15" hidden="false" customHeight="false" outlineLevel="0" collapsed="false">
      <c r="A65" s="2" t="n">
        <v>46146</v>
      </c>
      <c r="B65" s="3" t="n">
        <f aca="false">SUMIFS(Equipes!$D$2:$D$60,Equipes!$A$2:$A$60,"LOT-01",Equipes!$B$2:$B$60,"&lt;="&amp;$A65,Equipes!$C$2:$C$60,"&gt;="&amp;$A65)</f>
        <v>0</v>
      </c>
      <c r="C65" s="3" t="n">
        <f aca="false">IF(B65&gt;0,ROUNDUP(B65/Parametres!$B$7,0)+1,0)</f>
        <v>0</v>
      </c>
      <c r="D65" s="3" t="n">
        <f aca="false">SUMIFS(Equipes!$D$2:$D$60,Equipes!$A$2:$A$60,"LOT-02",Equipes!$B$2:$B$60,"&lt;="&amp;$A65,Equipes!$C$2:$C$60,"&gt;="&amp;$A65)</f>
        <v>0</v>
      </c>
      <c r="E65" s="3" t="n">
        <f aca="false">IF(D65&gt;0,ROUNDUP(D65/Parametres!$B$7,0)+1,0)</f>
        <v>0</v>
      </c>
      <c r="F65" s="3" t="n">
        <f aca="false">SUMIFS(Equipes!$D$2:$D$60,Equipes!$A$2:$A$60,"LOT-03",Equipes!$B$2:$B$60,"&lt;="&amp;$A65,Equipes!$C$2:$C$60,"&gt;="&amp;$A65)</f>
        <v>12</v>
      </c>
      <c r="G65" s="3" t="n">
        <f aca="false">IF(F65&gt;0,ROUNDUP(F65/Parametres!$B$7,0)+1,0)</f>
        <v>2</v>
      </c>
      <c r="H65" s="3" t="n">
        <f aca="false">SUMIFS(Equipes!$D$2:$D$60,Equipes!$A$2:$A$60,"LOT-04",Equipes!$B$2:$B$60,"&lt;="&amp;$A65,Equipes!$C$2:$C$60,"&gt;="&amp;$A65)</f>
        <v>0</v>
      </c>
      <c r="I65" s="3" t="n">
        <f aca="false">IF(H65&gt;0,ROUNDUP(H65/Parametres!$B$7,0)+1,0)</f>
        <v>0</v>
      </c>
      <c r="J65" s="3" t="n">
        <f aca="false">SUMIFS(Equipes!$D$2:$D$60,Equipes!$A$2:$A$60,"LOT-05",Equipes!$B$2:$B$60,"&lt;="&amp;$A65,Equipes!$C$2:$C$60,"&gt;="&amp;$A65)</f>
        <v>0</v>
      </c>
      <c r="K65" s="3" t="n">
        <f aca="false">IF(J65&gt;0,ROUNDUP(J65/Parametres!$B$7,0)+1,0)</f>
        <v>0</v>
      </c>
      <c r="L65" s="3" t="n">
        <f aca="false">SUMIFS(Equipes!$D$2:$D$60,Equipes!$A$2:$A$60,"LOT-06",Equipes!$B$2:$B$60,"&lt;="&amp;$A65,Equipes!$C$2:$C$60,"&gt;="&amp;$A65)</f>
        <v>0</v>
      </c>
      <c r="M65" s="3" t="n">
        <f aca="false">IF(L65&gt;0,ROUNDUP(L65/Parametres!$B$7,0)+1,0)</f>
        <v>0</v>
      </c>
      <c r="N65" s="3" t="n">
        <f aca="false">SUMIFS(Equipes!$D$2:$D$60,Equipes!$A$2:$A$60,"LOT-07",Equipes!$B$2:$B$60,"&lt;="&amp;$A65,Equipes!$C$2:$C$60,"&gt;="&amp;$A65)</f>
        <v>0</v>
      </c>
      <c r="O65" s="3" t="n">
        <f aca="false">IF(N65&gt;0,ROUNDUP(N65/Parametres!$B$7,0)+1,0)</f>
        <v>0</v>
      </c>
      <c r="P65" s="3" t="n">
        <f aca="false">SUMIFS(Equipes!$D$2:$D$60,Equipes!$A$2:$A$60,"LOT-08",Equipes!$B$2:$B$60,"&lt;="&amp;$A65,Equipes!$C$2:$C$60,"&gt;="&amp;$A65)</f>
        <v>0</v>
      </c>
      <c r="Q65" s="3" t="n">
        <f aca="false">IF(P65&gt;0,ROUNDUP(P65/Parametres!$B$7,0)+1,0)</f>
        <v>0</v>
      </c>
    </row>
    <row r="66" customFormat="false" ht="15" hidden="false" customHeight="false" outlineLevel="0" collapsed="false">
      <c r="A66" s="2" t="n">
        <v>46147</v>
      </c>
      <c r="B66" s="3" t="n">
        <f aca="false">SUMIFS(Equipes!$D$2:$D$60,Equipes!$A$2:$A$60,"LOT-01",Equipes!$B$2:$B$60,"&lt;="&amp;$A66,Equipes!$C$2:$C$60,"&gt;="&amp;$A66)</f>
        <v>0</v>
      </c>
      <c r="C66" s="3" t="n">
        <f aca="false">IF(B66&gt;0,ROUNDUP(B66/Parametres!$B$7,0)+1,0)</f>
        <v>0</v>
      </c>
      <c r="D66" s="3" t="n">
        <f aca="false">SUMIFS(Equipes!$D$2:$D$60,Equipes!$A$2:$A$60,"LOT-02",Equipes!$B$2:$B$60,"&lt;="&amp;$A66,Equipes!$C$2:$C$60,"&gt;="&amp;$A66)</f>
        <v>0</v>
      </c>
      <c r="E66" s="3" t="n">
        <f aca="false">IF(D66&gt;0,ROUNDUP(D66/Parametres!$B$7,0)+1,0)</f>
        <v>0</v>
      </c>
      <c r="F66" s="3" t="n">
        <f aca="false">SUMIFS(Equipes!$D$2:$D$60,Equipes!$A$2:$A$60,"LOT-03",Equipes!$B$2:$B$60,"&lt;="&amp;$A66,Equipes!$C$2:$C$60,"&gt;="&amp;$A66)</f>
        <v>24</v>
      </c>
      <c r="G66" s="3" t="n">
        <f aca="false">IF(F66&gt;0,ROUNDUP(F66/Parametres!$B$7,0)+1,0)</f>
        <v>3</v>
      </c>
      <c r="H66" s="3" t="n">
        <f aca="false">SUMIFS(Equipes!$D$2:$D$60,Equipes!$A$2:$A$60,"LOT-04",Equipes!$B$2:$B$60,"&lt;="&amp;$A66,Equipes!$C$2:$C$60,"&gt;="&amp;$A66)</f>
        <v>0</v>
      </c>
      <c r="I66" s="3" t="n">
        <f aca="false">IF(H66&gt;0,ROUNDUP(H66/Parametres!$B$7,0)+1,0)</f>
        <v>0</v>
      </c>
      <c r="J66" s="3" t="n">
        <f aca="false">SUMIFS(Equipes!$D$2:$D$60,Equipes!$A$2:$A$60,"LOT-05",Equipes!$B$2:$B$60,"&lt;="&amp;$A66,Equipes!$C$2:$C$60,"&gt;="&amp;$A66)</f>
        <v>0</v>
      </c>
      <c r="K66" s="3" t="n">
        <f aca="false">IF(J66&gt;0,ROUNDUP(J66/Parametres!$B$7,0)+1,0)</f>
        <v>0</v>
      </c>
      <c r="L66" s="3" t="n">
        <f aca="false">SUMIFS(Equipes!$D$2:$D$60,Equipes!$A$2:$A$60,"LOT-06",Equipes!$B$2:$B$60,"&lt;="&amp;$A66,Equipes!$C$2:$C$60,"&gt;="&amp;$A66)</f>
        <v>0</v>
      </c>
      <c r="M66" s="3" t="n">
        <f aca="false">IF(L66&gt;0,ROUNDUP(L66/Parametres!$B$7,0)+1,0)</f>
        <v>0</v>
      </c>
      <c r="N66" s="3" t="n">
        <f aca="false">SUMIFS(Equipes!$D$2:$D$60,Equipes!$A$2:$A$60,"LOT-07",Equipes!$B$2:$B$60,"&lt;="&amp;$A66,Equipes!$C$2:$C$60,"&gt;="&amp;$A66)</f>
        <v>0</v>
      </c>
      <c r="O66" s="3" t="n">
        <f aca="false">IF(N66&gt;0,ROUNDUP(N66/Parametres!$B$7,0)+1,0)</f>
        <v>0</v>
      </c>
      <c r="P66" s="3" t="n">
        <f aca="false">SUMIFS(Equipes!$D$2:$D$60,Equipes!$A$2:$A$60,"LOT-08",Equipes!$B$2:$B$60,"&lt;="&amp;$A66,Equipes!$C$2:$C$60,"&gt;="&amp;$A66)</f>
        <v>0</v>
      </c>
      <c r="Q66" s="3" t="n">
        <f aca="false">IF(P66&gt;0,ROUNDUP(P66/Parametres!$B$7,0)+1,0)</f>
        <v>0</v>
      </c>
    </row>
    <row r="67" customFormat="false" ht="15" hidden="false" customHeight="false" outlineLevel="0" collapsed="false">
      <c r="A67" s="2" t="n">
        <v>46148</v>
      </c>
      <c r="B67" s="3" t="n">
        <f aca="false">SUMIFS(Equipes!$D$2:$D$60,Equipes!$A$2:$A$60,"LOT-01",Equipes!$B$2:$B$60,"&lt;="&amp;$A67,Equipes!$C$2:$C$60,"&gt;="&amp;$A67)</f>
        <v>0</v>
      </c>
      <c r="C67" s="3" t="n">
        <f aca="false">IF(B67&gt;0,ROUNDUP(B67/Parametres!$B$7,0)+1,0)</f>
        <v>0</v>
      </c>
      <c r="D67" s="3" t="n">
        <f aca="false">SUMIFS(Equipes!$D$2:$D$60,Equipes!$A$2:$A$60,"LOT-02",Equipes!$B$2:$B$60,"&lt;="&amp;$A67,Equipes!$C$2:$C$60,"&gt;="&amp;$A67)</f>
        <v>0</v>
      </c>
      <c r="E67" s="3" t="n">
        <f aca="false">IF(D67&gt;0,ROUNDUP(D67/Parametres!$B$7,0)+1,0)</f>
        <v>0</v>
      </c>
      <c r="F67" s="3" t="n">
        <f aca="false">SUMIFS(Equipes!$D$2:$D$60,Equipes!$A$2:$A$60,"LOT-03",Equipes!$B$2:$B$60,"&lt;="&amp;$A67,Equipes!$C$2:$C$60,"&gt;="&amp;$A67)</f>
        <v>24</v>
      </c>
      <c r="G67" s="3" t="n">
        <f aca="false">IF(F67&gt;0,ROUNDUP(F67/Parametres!$B$7,0)+1,0)</f>
        <v>3</v>
      </c>
      <c r="H67" s="3" t="n">
        <f aca="false">SUMIFS(Equipes!$D$2:$D$60,Equipes!$A$2:$A$60,"LOT-04",Equipes!$B$2:$B$60,"&lt;="&amp;$A67,Equipes!$C$2:$C$60,"&gt;="&amp;$A67)</f>
        <v>0</v>
      </c>
      <c r="I67" s="3" t="n">
        <f aca="false">IF(H67&gt;0,ROUNDUP(H67/Parametres!$B$7,0)+1,0)</f>
        <v>0</v>
      </c>
      <c r="J67" s="3" t="n">
        <f aca="false">SUMIFS(Equipes!$D$2:$D$60,Equipes!$A$2:$A$60,"LOT-05",Equipes!$B$2:$B$60,"&lt;="&amp;$A67,Equipes!$C$2:$C$60,"&gt;="&amp;$A67)</f>
        <v>0</v>
      </c>
      <c r="K67" s="3" t="n">
        <f aca="false">IF(J67&gt;0,ROUNDUP(J67/Parametres!$B$7,0)+1,0)</f>
        <v>0</v>
      </c>
      <c r="L67" s="3" t="n">
        <f aca="false">SUMIFS(Equipes!$D$2:$D$60,Equipes!$A$2:$A$60,"LOT-06",Equipes!$B$2:$B$60,"&lt;="&amp;$A67,Equipes!$C$2:$C$60,"&gt;="&amp;$A67)</f>
        <v>0</v>
      </c>
      <c r="M67" s="3" t="n">
        <f aca="false">IF(L67&gt;0,ROUNDUP(L67/Parametres!$B$7,0)+1,0)</f>
        <v>0</v>
      </c>
      <c r="N67" s="3" t="n">
        <f aca="false">SUMIFS(Equipes!$D$2:$D$60,Equipes!$A$2:$A$60,"LOT-07",Equipes!$B$2:$B$60,"&lt;="&amp;$A67,Equipes!$C$2:$C$60,"&gt;="&amp;$A67)</f>
        <v>0</v>
      </c>
      <c r="O67" s="3" t="n">
        <f aca="false">IF(N67&gt;0,ROUNDUP(N67/Parametres!$B$7,0)+1,0)</f>
        <v>0</v>
      </c>
      <c r="P67" s="3" t="n">
        <f aca="false">SUMIFS(Equipes!$D$2:$D$60,Equipes!$A$2:$A$60,"LOT-08",Equipes!$B$2:$B$60,"&lt;="&amp;$A67,Equipes!$C$2:$C$60,"&gt;="&amp;$A67)</f>
        <v>0</v>
      </c>
      <c r="Q67" s="3" t="n">
        <f aca="false">IF(P67&gt;0,ROUNDUP(P67/Parametres!$B$7,0)+1,0)</f>
        <v>0</v>
      </c>
    </row>
    <row r="68" customFormat="false" ht="15" hidden="false" customHeight="false" outlineLevel="0" collapsed="false">
      <c r="A68" s="2" t="n">
        <v>46149</v>
      </c>
      <c r="B68" s="3" t="n">
        <f aca="false">SUMIFS(Equipes!$D$2:$D$60,Equipes!$A$2:$A$60,"LOT-01",Equipes!$B$2:$B$60,"&lt;="&amp;$A68,Equipes!$C$2:$C$60,"&gt;="&amp;$A68)</f>
        <v>0</v>
      </c>
      <c r="C68" s="3" t="n">
        <f aca="false">IF(B68&gt;0,ROUNDUP(B68/Parametres!$B$7,0)+1,0)</f>
        <v>0</v>
      </c>
      <c r="D68" s="3" t="n">
        <f aca="false">SUMIFS(Equipes!$D$2:$D$60,Equipes!$A$2:$A$60,"LOT-02",Equipes!$B$2:$B$60,"&lt;="&amp;$A68,Equipes!$C$2:$C$60,"&gt;="&amp;$A68)</f>
        <v>0</v>
      </c>
      <c r="E68" s="3" t="n">
        <f aca="false">IF(D68&gt;0,ROUNDUP(D68/Parametres!$B$7,0)+1,0)</f>
        <v>0</v>
      </c>
      <c r="F68" s="3" t="n">
        <f aca="false">SUMIFS(Equipes!$D$2:$D$60,Equipes!$A$2:$A$60,"LOT-03",Equipes!$B$2:$B$60,"&lt;="&amp;$A68,Equipes!$C$2:$C$60,"&gt;="&amp;$A68)</f>
        <v>24</v>
      </c>
      <c r="G68" s="3" t="n">
        <f aca="false">IF(F68&gt;0,ROUNDUP(F68/Parametres!$B$7,0)+1,0)</f>
        <v>3</v>
      </c>
      <c r="H68" s="3" t="n">
        <f aca="false">SUMIFS(Equipes!$D$2:$D$60,Equipes!$A$2:$A$60,"LOT-04",Equipes!$B$2:$B$60,"&lt;="&amp;$A68,Equipes!$C$2:$C$60,"&gt;="&amp;$A68)</f>
        <v>0</v>
      </c>
      <c r="I68" s="3" t="n">
        <f aca="false">IF(H68&gt;0,ROUNDUP(H68/Parametres!$B$7,0)+1,0)</f>
        <v>0</v>
      </c>
      <c r="J68" s="3" t="n">
        <f aca="false">SUMIFS(Equipes!$D$2:$D$60,Equipes!$A$2:$A$60,"LOT-05",Equipes!$B$2:$B$60,"&lt;="&amp;$A68,Equipes!$C$2:$C$60,"&gt;="&amp;$A68)</f>
        <v>0</v>
      </c>
      <c r="K68" s="3" t="n">
        <f aca="false">IF(J68&gt;0,ROUNDUP(J68/Parametres!$B$7,0)+1,0)</f>
        <v>0</v>
      </c>
      <c r="L68" s="3" t="n">
        <f aca="false">SUMIFS(Equipes!$D$2:$D$60,Equipes!$A$2:$A$60,"LOT-06",Equipes!$B$2:$B$60,"&lt;="&amp;$A68,Equipes!$C$2:$C$60,"&gt;="&amp;$A68)</f>
        <v>0</v>
      </c>
      <c r="M68" s="3" t="n">
        <f aca="false">IF(L68&gt;0,ROUNDUP(L68/Parametres!$B$7,0)+1,0)</f>
        <v>0</v>
      </c>
      <c r="N68" s="3" t="n">
        <f aca="false">SUMIFS(Equipes!$D$2:$D$60,Equipes!$A$2:$A$60,"LOT-07",Equipes!$B$2:$B$60,"&lt;="&amp;$A68,Equipes!$C$2:$C$60,"&gt;="&amp;$A68)</f>
        <v>0</v>
      </c>
      <c r="O68" s="3" t="n">
        <f aca="false">IF(N68&gt;0,ROUNDUP(N68/Parametres!$B$7,0)+1,0)</f>
        <v>0</v>
      </c>
      <c r="P68" s="3" t="n">
        <f aca="false">SUMIFS(Equipes!$D$2:$D$60,Equipes!$A$2:$A$60,"LOT-08",Equipes!$B$2:$B$60,"&lt;="&amp;$A68,Equipes!$C$2:$C$60,"&gt;="&amp;$A68)</f>
        <v>0</v>
      </c>
      <c r="Q68" s="3" t="n">
        <f aca="false">IF(P68&gt;0,ROUNDUP(P68/Parametres!$B$7,0)+1,0)</f>
        <v>0</v>
      </c>
    </row>
    <row r="69" customFormat="false" ht="15" hidden="false" customHeight="false" outlineLevel="0" collapsed="false">
      <c r="A69" s="2" t="n">
        <v>46150</v>
      </c>
      <c r="B69" s="3" t="n">
        <f aca="false">SUMIFS(Equipes!$D$2:$D$60,Equipes!$A$2:$A$60,"LOT-01",Equipes!$B$2:$B$60,"&lt;="&amp;$A69,Equipes!$C$2:$C$60,"&gt;="&amp;$A69)</f>
        <v>0</v>
      </c>
      <c r="C69" s="3" t="n">
        <f aca="false">IF(B69&gt;0,ROUNDUP(B69/Parametres!$B$7,0)+1,0)</f>
        <v>0</v>
      </c>
      <c r="D69" s="3" t="n">
        <f aca="false">SUMIFS(Equipes!$D$2:$D$60,Equipes!$A$2:$A$60,"LOT-02",Equipes!$B$2:$B$60,"&lt;="&amp;$A69,Equipes!$C$2:$C$60,"&gt;="&amp;$A69)</f>
        <v>0</v>
      </c>
      <c r="E69" s="3" t="n">
        <f aca="false">IF(D69&gt;0,ROUNDUP(D69/Parametres!$B$7,0)+1,0)</f>
        <v>0</v>
      </c>
      <c r="F69" s="3" t="n">
        <f aca="false">SUMIFS(Equipes!$D$2:$D$60,Equipes!$A$2:$A$60,"LOT-03",Equipes!$B$2:$B$60,"&lt;="&amp;$A69,Equipes!$C$2:$C$60,"&gt;="&amp;$A69)</f>
        <v>24</v>
      </c>
      <c r="G69" s="3" t="n">
        <f aca="false">IF(F69&gt;0,ROUNDUP(F69/Parametres!$B$7,0)+1,0)</f>
        <v>3</v>
      </c>
      <c r="H69" s="3" t="n">
        <f aca="false">SUMIFS(Equipes!$D$2:$D$60,Equipes!$A$2:$A$60,"LOT-04",Equipes!$B$2:$B$60,"&lt;="&amp;$A69,Equipes!$C$2:$C$60,"&gt;="&amp;$A69)</f>
        <v>0</v>
      </c>
      <c r="I69" s="3" t="n">
        <f aca="false">IF(H69&gt;0,ROUNDUP(H69/Parametres!$B$7,0)+1,0)</f>
        <v>0</v>
      </c>
      <c r="J69" s="3" t="n">
        <f aca="false">SUMIFS(Equipes!$D$2:$D$60,Equipes!$A$2:$A$60,"LOT-05",Equipes!$B$2:$B$60,"&lt;="&amp;$A69,Equipes!$C$2:$C$60,"&gt;="&amp;$A69)</f>
        <v>0</v>
      </c>
      <c r="K69" s="3" t="n">
        <f aca="false">IF(J69&gt;0,ROUNDUP(J69/Parametres!$B$7,0)+1,0)</f>
        <v>0</v>
      </c>
      <c r="L69" s="3" t="n">
        <f aca="false">SUMIFS(Equipes!$D$2:$D$60,Equipes!$A$2:$A$60,"LOT-06",Equipes!$B$2:$B$60,"&lt;="&amp;$A69,Equipes!$C$2:$C$60,"&gt;="&amp;$A69)</f>
        <v>0</v>
      </c>
      <c r="M69" s="3" t="n">
        <f aca="false">IF(L69&gt;0,ROUNDUP(L69/Parametres!$B$7,0)+1,0)</f>
        <v>0</v>
      </c>
      <c r="N69" s="3" t="n">
        <f aca="false">SUMIFS(Equipes!$D$2:$D$60,Equipes!$A$2:$A$60,"LOT-07",Equipes!$B$2:$B$60,"&lt;="&amp;$A69,Equipes!$C$2:$C$60,"&gt;="&amp;$A69)</f>
        <v>0</v>
      </c>
      <c r="O69" s="3" t="n">
        <f aca="false">IF(N69&gt;0,ROUNDUP(N69/Parametres!$B$7,0)+1,0)</f>
        <v>0</v>
      </c>
      <c r="P69" s="3" t="n">
        <f aca="false">SUMIFS(Equipes!$D$2:$D$60,Equipes!$A$2:$A$60,"LOT-08",Equipes!$B$2:$B$60,"&lt;="&amp;$A69,Equipes!$C$2:$C$60,"&gt;="&amp;$A69)</f>
        <v>0</v>
      </c>
      <c r="Q69" s="3" t="n">
        <f aca="false">IF(P69&gt;0,ROUNDUP(P69/Parametres!$B$7,0)+1,0)</f>
        <v>0</v>
      </c>
    </row>
    <row r="70" customFormat="false" ht="15" hidden="false" customHeight="false" outlineLevel="0" collapsed="false">
      <c r="A70" s="2" t="n">
        <v>46151</v>
      </c>
      <c r="B70" s="3" t="n">
        <f aca="false">SUMIFS(Equipes!$D$2:$D$60,Equipes!$A$2:$A$60,"LOT-01",Equipes!$B$2:$B$60,"&lt;="&amp;$A70,Equipes!$C$2:$C$60,"&gt;="&amp;$A70)</f>
        <v>0</v>
      </c>
      <c r="C70" s="3" t="n">
        <f aca="false">IF(B70&gt;0,ROUNDUP(B70/Parametres!$B$7,0)+1,0)</f>
        <v>0</v>
      </c>
      <c r="D70" s="3" t="n">
        <f aca="false">SUMIFS(Equipes!$D$2:$D$60,Equipes!$A$2:$A$60,"LOT-02",Equipes!$B$2:$B$60,"&lt;="&amp;$A70,Equipes!$C$2:$C$60,"&gt;="&amp;$A70)</f>
        <v>0</v>
      </c>
      <c r="E70" s="3" t="n">
        <f aca="false">IF(D70&gt;0,ROUNDUP(D70/Parametres!$B$7,0)+1,0)</f>
        <v>0</v>
      </c>
      <c r="F70" s="3" t="n">
        <f aca="false">SUMIFS(Equipes!$D$2:$D$60,Equipes!$A$2:$A$60,"LOT-03",Equipes!$B$2:$B$60,"&lt;="&amp;$A70,Equipes!$C$2:$C$60,"&gt;="&amp;$A70)</f>
        <v>24</v>
      </c>
      <c r="G70" s="3" t="n">
        <f aca="false">IF(F70&gt;0,ROUNDUP(F70/Parametres!$B$7,0)+1,0)</f>
        <v>3</v>
      </c>
      <c r="H70" s="3" t="n">
        <f aca="false">SUMIFS(Equipes!$D$2:$D$60,Equipes!$A$2:$A$60,"LOT-04",Equipes!$B$2:$B$60,"&lt;="&amp;$A70,Equipes!$C$2:$C$60,"&gt;="&amp;$A70)</f>
        <v>0</v>
      </c>
      <c r="I70" s="3" t="n">
        <f aca="false">IF(H70&gt;0,ROUNDUP(H70/Parametres!$B$7,0)+1,0)</f>
        <v>0</v>
      </c>
      <c r="J70" s="3" t="n">
        <f aca="false">SUMIFS(Equipes!$D$2:$D$60,Equipes!$A$2:$A$60,"LOT-05",Equipes!$B$2:$B$60,"&lt;="&amp;$A70,Equipes!$C$2:$C$60,"&gt;="&amp;$A70)</f>
        <v>0</v>
      </c>
      <c r="K70" s="3" t="n">
        <f aca="false">IF(J70&gt;0,ROUNDUP(J70/Parametres!$B$7,0)+1,0)</f>
        <v>0</v>
      </c>
      <c r="L70" s="3" t="n">
        <f aca="false">SUMIFS(Equipes!$D$2:$D$60,Equipes!$A$2:$A$60,"LOT-06",Equipes!$B$2:$B$60,"&lt;="&amp;$A70,Equipes!$C$2:$C$60,"&gt;="&amp;$A70)</f>
        <v>0</v>
      </c>
      <c r="M70" s="3" t="n">
        <f aca="false">IF(L70&gt;0,ROUNDUP(L70/Parametres!$B$7,0)+1,0)</f>
        <v>0</v>
      </c>
      <c r="N70" s="3" t="n">
        <f aca="false">SUMIFS(Equipes!$D$2:$D$60,Equipes!$A$2:$A$60,"LOT-07",Equipes!$B$2:$B$60,"&lt;="&amp;$A70,Equipes!$C$2:$C$60,"&gt;="&amp;$A70)</f>
        <v>0</v>
      </c>
      <c r="O70" s="3" t="n">
        <f aca="false">IF(N70&gt;0,ROUNDUP(N70/Parametres!$B$7,0)+1,0)</f>
        <v>0</v>
      </c>
      <c r="P70" s="3" t="n">
        <f aca="false">SUMIFS(Equipes!$D$2:$D$60,Equipes!$A$2:$A$60,"LOT-08",Equipes!$B$2:$B$60,"&lt;="&amp;$A70,Equipes!$C$2:$C$60,"&gt;="&amp;$A70)</f>
        <v>0</v>
      </c>
      <c r="Q70" s="3" t="n">
        <f aca="false">IF(P70&gt;0,ROUNDUP(P70/Parametres!$B$7,0)+1,0)</f>
        <v>0</v>
      </c>
    </row>
    <row r="71" customFormat="false" ht="15" hidden="false" customHeight="false" outlineLevel="0" collapsed="false">
      <c r="A71" s="2" t="n">
        <v>46152</v>
      </c>
      <c r="B71" s="3" t="n">
        <f aca="false">SUMIFS(Equipes!$D$2:$D$60,Equipes!$A$2:$A$60,"LOT-01",Equipes!$B$2:$B$60,"&lt;="&amp;$A71,Equipes!$C$2:$C$60,"&gt;="&amp;$A71)</f>
        <v>0</v>
      </c>
      <c r="C71" s="3" t="n">
        <f aca="false">IF(B71&gt;0,ROUNDUP(B71/Parametres!$B$7,0)+1,0)</f>
        <v>0</v>
      </c>
      <c r="D71" s="3" t="n">
        <f aca="false">SUMIFS(Equipes!$D$2:$D$60,Equipes!$A$2:$A$60,"LOT-02",Equipes!$B$2:$B$60,"&lt;="&amp;$A71,Equipes!$C$2:$C$60,"&gt;="&amp;$A71)</f>
        <v>0</v>
      </c>
      <c r="E71" s="3" t="n">
        <f aca="false">IF(D71&gt;0,ROUNDUP(D71/Parametres!$B$7,0)+1,0)</f>
        <v>0</v>
      </c>
      <c r="F71" s="3" t="n">
        <f aca="false">SUMIFS(Equipes!$D$2:$D$60,Equipes!$A$2:$A$60,"LOT-03",Equipes!$B$2:$B$60,"&lt;="&amp;$A71,Equipes!$C$2:$C$60,"&gt;="&amp;$A71)</f>
        <v>24</v>
      </c>
      <c r="G71" s="3" t="n">
        <f aca="false">IF(F71&gt;0,ROUNDUP(F71/Parametres!$B$7,0)+1,0)</f>
        <v>3</v>
      </c>
      <c r="H71" s="3" t="n">
        <f aca="false">SUMIFS(Equipes!$D$2:$D$60,Equipes!$A$2:$A$60,"LOT-04",Equipes!$B$2:$B$60,"&lt;="&amp;$A71,Equipes!$C$2:$C$60,"&gt;="&amp;$A71)</f>
        <v>0</v>
      </c>
      <c r="I71" s="3" t="n">
        <f aca="false">IF(H71&gt;0,ROUNDUP(H71/Parametres!$B$7,0)+1,0)</f>
        <v>0</v>
      </c>
      <c r="J71" s="3" t="n">
        <f aca="false">SUMIFS(Equipes!$D$2:$D$60,Equipes!$A$2:$A$60,"LOT-05",Equipes!$B$2:$B$60,"&lt;="&amp;$A71,Equipes!$C$2:$C$60,"&gt;="&amp;$A71)</f>
        <v>0</v>
      </c>
      <c r="K71" s="3" t="n">
        <f aca="false">IF(J71&gt;0,ROUNDUP(J71/Parametres!$B$7,0)+1,0)</f>
        <v>0</v>
      </c>
      <c r="L71" s="3" t="n">
        <f aca="false">SUMIFS(Equipes!$D$2:$D$60,Equipes!$A$2:$A$60,"LOT-06",Equipes!$B$2:$B$60,"&lt;="&amp;$A71,Equipes!$C$2:$C$60,"&gt;="&amp;$A71)</f>
        <v>0</v>
      </c>
      <c r="M71" s="3" t="n">
        <f aca="false">IF(L71&gt;0,ROUNDUP(L71/Parametres!$B$7,0)+1,0)</f>
        <v>0</v>
      </c>
      <c r="N71" s="3" t="n">
        <f aca="false">SUMIFS(Equipes!$D$2:$D$60,Equipes!$A$2:$A$60,"LOT-07",Equipes!$B$2:$B$60,"&lt;="&amp;$A71,Equipes!$C$2:$C$60,"&gt;="&amp;$A71)</f>
        <v>0</v>
      </c>
      <c r="O71" s="3" t="n">
        <f aca="false">IF(N71&gt;0,ROUNDUP(N71/Parametres!$B$7,0)+1,0)</f>
        <v>0</v>
      </c>
      <c r="P71" s="3" t="n">
        <f aca="false">SUMIFS(Equipes!$D$2:$D$60,Equipes!$A$2:$A$60,"LOT-08",Equipes!$B$2:$B$60,"&lt;="&amp;$A71,Equipes!$C$2:$C$60,"&gt;="&amp;$A71)</f>
        <v>0</v>
      </c>
      <c r="Q71" s="3" t="n">
        <f aca="false">IF(P71&gt;0,ROUNDUP(P71/Parametres!$B$7,0)+1,0)</f>
        <v>0</v>
      </c>
    </row>
    <row r="72" customFormat="false" ht="15" hidden="false" customHeight="false" outlineLevel="0" collapsed="false">
      <c r="A72" s="2" t="n">
        <v>46153</v>
      </c>
      <c r="B72" s="3" t="n">
        <f aca="false">SUMIFS(Equipes!$D$2:$D$60,Equipes!$A$2:$A$60,"LOT-01",Equipes!$B$2:$B$60,"&lt;="&amp;$A72,Equipes!$C$2:$C$60,"&gt;="&amp;$A72)</f>
        <v>0</v>
      </c>
      <c r="C72" s="3" t="n">
        <f aca="false">IF(B72&gt;0,ROUNDUP(B72/Parametres!$B$7,0)+1,0)</f>
        <v>0</v>
      </c>
      <c r="D72" s="3" t="n">
        <f aca="false">SUMIFS(Equipes!$D$2:$D$60,Equipes!$A$2:$A$60,"LOT-02",Equipes!$B$2:$B$60,"&lt;="&amp;$A72,Equipes!$C$2:$C$60,"&gt;="&amp;$A72)</f>
        <v>0</v>
      </c>
      <c r="E72" s="3" t="n">
        <f aca="false">IF(D72&gt;0,ROUNDUP(D72/Parametres!$B$7,0)+1,0)</f>
        <v>0</v>
      </c>
      <c r="F72" s="3" t="n">
        <f aca="false">SUMIFS(Equipes!$D$2:$D$60,Equipes!$A$2:$A$60,"LOT-03",Equipes!$B$2:$B$60,"&lt;="&amp;$A72,Equipes!$C$2:$C$60,"&gt;="&amp;$A72)</f>
        <v>24</v>
      </c>
      <c r="G72" s="3" t="n">
        <f aca="false">IF(F72&gt;0,ROUNDUP(F72/Parametres!$B$7,0)+1,0)</f>
        <v>3</v>
      </c>
      <c r="H72" s="3" t="n">
        <f aca="false">SUMIFS(Equipes!$D$2:$D$60,Equipes!$A$2:$A$60,"LOT-04",Equipes!$B$2:$B$60,"&lt;="&amp;$A72,Equipes!$C$2:$C$60,"&gt;="&amp;$A72)</f>
        <v>0</v>
      </c>
      <c r="I72" s="3" t="n">
        <f aca="false">IF(H72&gt;0,ROUNDUP(H72/Parametres!$B$7,0)+1,0)</f>
        <v>0</v>
      </c>
      <c r="J72" s="3" t="n">
        <f aca="false">SUMIFS(Equipes!$D$2:$D$60,Equipes!$A$2:$A$60,"LOT-05",Equipes!$B$2:$B$60,"&lt;="&amp;$A72,Equipes!$C$2:$C$60,"&gt;="&amp;$A72)</f>
        <v>0</v>
      </c>
      <c r="K72" s="3" t="n">
        <f aca="false">IF(J72&gt;0,ROUNDUP(J72/Parametres!$B$7,0)+1,0)</f>
        <v>0</v>
      </c>
      <c r="L72" s="3" t="n">
        <f aca="false">SUMIFS(Equipes!$D$2:$D$60,Equipes!$A$2:$A$60,"LOT-06",Equipes!$B$2:$B$60,"&lt;="&amp;$A72,Equipes!$C$2:$C$60,"&gt;="&amp;$A72)</f>
        <v>0</v>
      </c>
      <c r="M72" s="3" t="n">
        <f aca="false">IF(L72&gt;0,ROUNDUP(L72/Parametres!$B$7,0)+1,0)</f>
        <v>0</v>
      </c>
      <c r="N72" s="3" t="n">
        <f aca="false">SUMIFS(Equipes!$D$2:$D$60,Equipes!$A$2:$A$60,"LOT-07",Equipes!$B$2:$B$60,"&lt;="&amp;$A72,Equipes!$C$2:$C$60,"&gt;="&amp;$A72)</f>
        <v>0</v>
      </c>
      <c r="O72" s="3" t="n">
        <f aca="false">IF(N72&gt;0,ROUNDUP(N72/Parametres!$B$7,0)+1,0)</f>
        <v>0</v>
      </c>
      <c r="P72" s="3" t="n">
        <f aca="false">SUMIFS(Equipes!$D$2:$D$60,Equipes!$A$2:$A$60,"LOT-08",Equipes!$B$2:$B$60,"&lt;="&amp;$A72,Equipes!$C$2:$C$60,"&gt;="&amp;$A72)</f>
        <v>0</v>
      </c>
      <c r="Q72" s="3" t="n">
        <f aca="false">IF(P72&gt;0,ROUNDUP(P72/Parametres!$B$7,0)+1,0)</f>
        <v>0</v>
      </c>
    </row>
    <row r="73" customFormat="false" ht="15" hidden="false" customHeight="false" outlineLevel="0" collapsed="false">
      <c r="A73" s="2" t="n">
        <v>46154</v>
      </c>
      <c r="B73" s="3" t="n">
        <f aca="false">SUMIFS(Equipes!$D$2:$D$60,Equipes!$A$2:$A$60,"LOT-01",Equipes!$B$2:$B$60,"&lt;="&amp;$A73,Equipes!$C$2:$C$60,"&gt;="&amp;$A73)</f>
        <v>0</v>
      </c>
      <c r="C73" s="3" t="n">
        <f aca="false">IF(B73&gt;0,ROUNDUP(B73/Parametres!$B$7,0)+1,0)</f>
        <v>0</v>
      </c>
      <c r="D73" s="3" t="n">
        <f aca="false">SUMIFS(Equipes!$D$2:$D$60,Equipes!$A$2:$A$60,"LOT-02",Equipes!$B$2:$B$60,"&lt;="&amp;$A73,Equipes!$C$2:$C$60,"&gt;="&amp;$A73)</f>
        <v>0</v>
      </c>
      <c r="E73" s="3" t="n">
        <f aca="false">IF(D73&gt;0,ROUNDUP(D73/Parametres!$B$7,0)+1,0)</f>
        <v>0</v>
      </c>
      <c r="F73" s="3" t="n">
        <f aca="false">SUMIFS(Equipes!$D$2:$D$60,Equipes!$A$2:$A$60,"LOT-03",Equipes!$B$2:$B$60,"&lt;="&amp;$A73,Equipes!$C$2:$C$60,"&gt;="&amp;$A73)</f>
        <v>24</v>
      </c>
      <c r="G73" s="3" t="n">
        <f aca="false">IF(F73&gt;0,ROUNDUP(F73/Parametres!$B$7,0)+1,0)</f>
        <v>3</v>
      </c>
      <c r="H73" s="3" t="n">
        <f aca="false">SUMIFS(Equipes!$D$2:$D$60,Equipes!$A$2:$A$60,"LOT-04",Equipes!$B$2:$B$60,"&lt;="&amp;$A73,Equipes!$C$2:$C$60,"&gt;="&amp;$A73)</f>
        <v>0</v>
      </c>
      <c r="I73" s="3" t="n">
        <f aca="false">IF(H73&gt;0,ROUNDUP(H73/Parametres!$B$7,0)+1,0)</f>
        <v>0</v>
      </c>
      <c r="J73" s="3" t="n">
        <f aca="false">SUMIFS(Equipes!$D$2:$D$60,Equipes!$A$2:$A$60,"LOT-05",Equipes!$B$2:$B$60,"&lt;="&amp;$A73,Equipes!$C$2:$C$60,"&gt;="&amp;$A73)</f>
        <v>0</v>
      </c>
      <c r="K73" s="3" t="n">
        <f aca="false">IF(J73&gt;0,ROUNDUP(J73/Parametres!$B$7,0)+1,0)</f>
        <v>0</v>
      </c>
      <c r="L73" s="3" t="n">
        <f aca="false">SUMIFS(Equipes!$D$2:$D$60,Equipes!$A$2:$A$60,"LOT-06",Equipes!$B$2:$B$60,"&lt;="&amp;$A73,Equipes!$C$2:$C$60,"&gt;="&amp;$A73)</f>
        <v>0</v>
      </c>
      <c r="M73" s="3" t="n">
        <f aca="false">IF(L73&gt;0,ROUNDUP(L73/Parametres!$B$7,0)+1,0)</f>
        <v>0</v>
      </c>
      <c r="N73" s="3" t="n">
        <f aca="false">SUMIFS(Equipes!$D$2:$D$60,Equipes!$A$2:$A$60,"LOT-07",Equipes!$B$2:$B$60,"&lt;="&amp;$A73,Equipes!$C$2:$C$60,"&gt;="&amp;$A73)</f>
        <v>0</v>
      </c>
      <c r="O73" s="3" t="n">
        <f aca="false">IF(N73&gt;0,ROUNDUP(N73/Parametres!$B$7,0)+1,0)</f>
        <v>0</v>
      </c>
      <c r="P73" s="3" t="n">
        <f aca="false">SUMIFS(Equipes!$D$2:$D$60,Equipes!$A$2:$A$60,"LOT-08",Equipes!$B$2:$B$60,"&lt;="&amp;$A73,Equipes!$C$2:$C$60,"&gt;="&amp;$A73)</f>
        <v>0</v>
      </c>
      <c r="Q73" s="3" t="n">
        <f aca="false">IF(P73&gt;0,ROUNDUP(P73/Parametres!$B$7,0)+1,0)</f>
        <v>0</v>
      </c>
    </row>
    <row r="74" customFormat="false" ht="15" hidden="false" customHeight="false" outlineLevel="0" collapsed="false">
      <c r="A74" s="2" t="n">
        <v>46155</v>
      </c>
      <c r="B74" s="3" t="n">
        <f aca="false">SUMIFS(Equipes!$D$2:$D$60,Equipes!$A$2:$A$60,"LOT-01",Equipes!$B$2:$B$60,"&lt;="&amp;$A74,Equipes!$C$2:$C$60,"&gt;="&amp;$A74)</f>
        <v>0</v>
      </c>
      <c r="C74" s="3" t="n">
        <f aca="false">IF(B74&gt;0,ROUNDUP(B74/Parametres!$B$7,0)+1,0)</f>
        <v>0</v>
      </c>
      <c r="D74" s="3" t="n">
        <f aca="false">SUMIFS(Equipes!$D$2:$D$60,Equipes!$A$2:$A$60,"LOT-02",Equipes!$B$2:$B$60,"&lt;="&amp;$A74,Equipes!$C$2:$C$60,"&gt;="&amp;$A74)</f>
        <v>0</v>
      </c>
      <c r="E74" s="3" t="n">
        <f aca="false">IF(D74&gt;0,ROUNDUP(D74/Parametres!$B$7,0)+1,0)</f>
        <v>0</v>
      </c>
      <c r="F74" s="3" t="n">
        <f aca="false">SUMIFS(Equipes!$D$2:$D$60,Equipes!$A$2:$A$60,"LOT-03",Equipes!$B$2:$B$60,"&lt;="&amp;$A74,Equipes!$C$2:$C$60,"&gt;="&amp;$A74)</f>
        <v>24</v>
      </c>
      <c r="G74" s="3" t="n">
        <f aca="false">IF(F74&gt;0,ROUNDUP(F74/Parametres!$B$7,0)+1,0)</f>
        <v>3</v>
      </c>
      <c r="H74" s="3" t="n">
        <f aca="false">SUMIFS(Equipes!$D$2:$D$60,Equipes!$A$2:$A$60,"LOT-04",Equipes!$B$2:$B$60,"&lt;="&amp;$A74,Equipes!$C$2:$C$60,"&gt;="&amp;$A74)</f>
        <v>0</v>
      </c>
      <c r="I74" s="3" t="n">
        <f aca="false">IF(H74&gt;0,ROUNDUP(H74/Parametres!$B$7,0)+1,0)</f>
        <v>0</v>
      </c>
      <c r="J74" s="3" t="n">
        <f aca="false">SUMIFS(Equipes!$D$2:$D$60,Equipes!$A$2:$A$60,"LOT-05",Equipes!$B$2:$B$60,"&lt;="&amp;$A74,Equipes!$C$2:$C$60,"&gt;="&amp;$A74)</f>
        <v>0</v>
      </c>
      <c r="K74" s="3" t="n">
        <f aca="false">IF(J74&gt;0,ROUNDUP(J74/Parametres!$B$7,0)+1,0)</f>
        <v>0</v>
      </c>
      <c r="L74" s="3" t="n">
        <f aca="false">SUMIFS(Equipes!$D$2:$D$60,Equipes!$A$2:$A$60,"LOT-06",Equipes!$B$2:$B$60,"&lt;="&amp;$A74,Equipes!$C$2:$C$60,"&gt;="&amp;$A74)</f>
        <v>0</v>
      </c>
      <c r="M74" s="3" t="n">
        <f aca="false">IF(L74&gt;0,ROUNDUP(L74/Parametres!$B$7,0)+1,0)</f>
        <v>0</v>
      </c>
      <c r="N74" s="3" t="n">
        <f aca="false">SUMIFS(Equipes!$D$2:$D$60,Equipes!$A$2:$A$60,"LOT-07",Equipes!$B$2:$B$60,"&lt;="&amp;$A74,Equipes!$C$2:$C$60,"&gt;="&amp;$A74)</f>
        <v>0</v>
      </c>
      <c r="O74" s="3" t="n">
        <f aca="false">IF(N74&gt;0,ROUNDUP(N74/Parametres!$B$7,0)+1,0)</f>
        <v>0</v>
      </c>
      <c r="P74" s="3" t="n">
        <f aca="false">SUMIFS(Equipes!$D$2:$D$60,Equipes!$A$2:$A$60,"LOT-08",Equipes!$B$2:$B$60,"&lt;="&amp;$A74,Equipes!$C$2:$C$60,"&gt;="&amp;$A74)</f>
        <v>0</v>
      </c>
      <c r="Q74" s="3" t="n">
        <f aca="false">IF(P74&gt;0,ROUNDUP(P74/Parametres!$B$7,0)+1,0)</f>
        <v>0</v>
      </c>
    </row>
    <row r="75" customFormat="false" ht="15" hidden="false" customHeight="false" outlineLevel="0" collapsed="false">
      <c r="A75" s="2" t="n">
        <v>46156</v>
      </c>
      <c r="B75" s="3" t="n">
        <f aca="false">SUMIFS(Equipes!$D$2:$D$60,Equipes!$A$2:$A$60,"LOT-01",Equipes!$B$2:$B$60,"&lt;="&amp;$A75,Equipes!$C$2:$C$60,"&gt;="&amp;$A75)</f>
        <v>0</v>
      </c>
      <c r="C75" s="3" t="n">
        <f aca="false">IF(B75&gt;0,ROUNDUP(B75/Parametres!$B$7,0)+1,0)</f>
        <v>0</v>
      </c>
      <c r="D75" s="3" t="n">
        <f aca="false">SUMIFS(Equipes!$D$2:$D$60,Equipes!$A$2:$A$60,"LOT-02",Equipes!$B$2:$B$60,"&lt;="&amp;$A75,Equipes!$C$2:$C$60,"&gt;="&amp;$A75)</f>
        <v>0</v>
      </c>
      <c r="E75" s="3" t="n">
        <f aca="false">IF(D75&gt;0,ROUNDUP(D75/Parametres!$B$7,0)+1,0)</f>
        <v>0</v>
      </c>
      <c r="F75" s="3" t="n">
        <f aca="false">SUMIFS(Equipes!$D$2:$D$60,Equipes!$A$2:$A$60,"LOT-03",Equipes!$B$2:$B$60,"&lt;="&amp;$A75,Equipes!$C$2:$C$60,"&gt;="&amp;$A75)</f>
        <v>24</v>
      </c>
      <c r="G75" s="3" t="n">
        <f aca="false">IF(F75&gt;0,ROUNDUP(F75/Parametres!$B$7,0)+1,0)</f>
        <v>3</v>
      </c>
      <c r="H75" s="3" t="n">
        <f aca="false">SUMIFS(Equipes!$D$2:$D$60,Equipes!$A$2:$A$60,"LOT-04",Equipes!$B$2:$B$60,"&lt;="&amp;$A75,Equipes!$C$2:$C$60,"&gt;="&amp;$A75)</f>
        <v>0</v>
      </c>
      <c r="I75" s="3" t="n">
        <f aca="false">IF(H75&gt;0,ROUNDUP(H75/Parametres!$B$7,0)+1,0)</f>
        <v>0</v>
      </c>
      <c r="J75" s="3" t="n">
        <f aca="false">SUMIFS(Equipes!$D$2:$D$60,Equipes!$A$2:$A$60,"LOT-05",Equipes!$B$2:$B$60,"&lt;="&amp;$A75,Equipes!$C$2:$C$60,"&gt;="&amp;$A75)</f>
        <v>0</v>
      </c>
      <c r="K75" s="3" t="n">
        <f aca="false">IF(J75&gt;0,ROUNDUP(J75/Parametres!$B$7,0)+1,0)</f>
        <v>0</v>
      </c>
      <c r="L75" s="3" t="n">
        <f aca="false">SUMIFS(Equipes!$D$2:$D$60,Equipes!$A$2:$A$60,"LOT-06",Equipes!$B$2:$B$60,"&lt;="&amp;$A75,Equipes!$C$2:$C$60,"&gt;="&amp;$A75)</f>
        <v>0</v>
      </c>
      <c r="M75" s="3" t="n">
        <f aca="false">IF(L75&gt;0,ROUNDUP(L75/Parametres!$B$7,0)+1,0)</f>
        <v>0</v>
      </c>
      <c r="N75" s="3" t="n">
        <f aca="false">SUMIFS(Equipes!$D$2:$D$60,Equipes!$A$2:$A$60,"LOT-07",Equipes!$B$2:$B$60,"&lt;="&amp;$A75,Equipes!$C$2:$C$60,"&gt;="&amp;$A75)</f>
        <v>0</v>
      </c>
      <c r="O75" s="3" t="n">
        <f aca="false">IF(N75&gt;0,ROUNDUP(N75/Parametres!$B$7,0)+1,0)</f>
        <v>0</v>
      </c>
      <c r="P75" s="3" t="n">
        <f aca="false">SUMIFS(Equipes!$D$2:$D$60,Equipes!$A$2:$A$60,"LOT-08",Equipes!$B$2:$B$60,"&lt;="&amp;$A75,Equipes!$C$2:$C$60,"&gt;="&amp;$A75)</f>
        <v>0</v>
      </c>
      <c r="Q75" s="3" t="n">
        <f aca="false">IF(P75&gt;0,ROUNDUP(P75/Parametres!$B$7,0)+1,0)</f>
        <v>0</v>
      </c>
    </row>
    <row r="76" customFormat="false" ht="15" hidden="false" customHeight="false" outlineLevel="0" collapsed="false">
      <c r="A76" s="2" t="n">
        <v>46157</v>
      </c>
      <c r="B76" s="3" t="n">
        <f aca="false">SUMIFS(Equipes!$D$2:$D$60,Equipes!$A$2:$A$60,"LOT-01",Equipes!$B$2:$B$60,"&lt;="&amp;$A76,Equipes!$C$2:$C$60,"&gt;="&amp;$A76)</f>
        <v>0</v>
      </c>
      <c r="C76" s="3" t="n">
        <f aca="false">IF(B76&gt;0,ROUNDUP(B76/Parametres!$B$7,0)+1,0)</f>
        <v>0</v>
      </c>
      <c r="D76" s="3" t="n">
        <f aca="false">SUMIFS(Equipes!$D$2:$D$60,Equipes!$A$2:$A$60,"LOT-02",Equipes!$B$2:$B$60,"&lt;="&amp;$A76,Equipes!$C$2:$C$60,"&gt;="&amp;$A76)</f>
        <v>0</v>
      </c>
      <c r="E76" s="3" t="n">
        <f aca="false">IF(D76&gt;0,ROUNDUP(D76/Parametres!$B$7,0)+1,0)</f>
        <v>0</v>
      </c>
      <c r="F76" s="3" t="n">
        <f aca="false">SUMIFS(Equipes!$D$2:$D$60,Equipes!$A$2:$A$60,"LOT-03",Equipes!$B$2:$B$60,"&lt;="&amp;$A76,Equipes!$C$2:$C$60,"&gt;="&amp;$A76)</f>
        <v>24</v>
      </c>
      <c r="G76" s="3" t="n">
        <f aca="false">IF(F76&gt;0,ROUNDUP(F76/Parametres!$B$7,0)+1,0)</f>
        <v>3</v>
      </c>
      <c r="H76" s="3" t="n">
        <f aca="false">SUMIFS(Equipes!$D$2:$D$60,Equipes!$A$2:$A$60,"LOT-04",Equipes!$B$2:$B$60,"&lt;="&amp;$A76,Equipes!$C$2:$C$60,"&gt;="&amp;$A76)</f>
        <v>0</v>
      </c>
      <c r="I76" s="3" t="n">
        <f aca="false">IF(H76&gt;0,ROUNDUP(H76/Parametres!$B$7,0)+1,0)</f>
        <v>0</v>
      </c>
      <c r="J76" s="3" t="n">
        <f aca="false">SUMIFS(Equipes!$D$2:$D$60,Equipes!$A$2:$A$60,"LOT-05",Equipes!$B$2:$B$60,"&lt;="&amp;$A76,Equipes!$C$2:$C$60,"&gt;="&amp;$A76)</f>
        <v>0</v>
      </c>
      <c r="K76" s="3" t="n">
        <f aca="false">IF(J76&gt;0,ROUNDUP(J76/Parametres!$B$7,0)+1,0)</f>
        <v>0</v>
      </c>
      <c r="L76" s="3" t="n">
        <f aca="false">SUMIFS(Equipes!$D$2:$D$60,Equipes!$A$2:$A$60,"LOT-06",Equipes!$B$2:$B$60,"&lt;="&amp;$A76,Equipes!$C$2:$C$60,"&gt;="&amp;$A76)</f>
        <v>0</v>
      </c>
      <c r="M76" s="3" t="n">
        <f aca="false">IF(L76&gt;0,ROUNDUP(L76/Parametres!$B$7,0)+1,0)</f>
        <v>0</v>
      </c>
      <c r="N76" s="3" t="n">
        <f aca="false">SUMIFS(Equipes!$D$2:$D$60,Equipes!$A$2:$A$60,"LOT-07",Equipes!$B$2:$B$60,"&lt;="&amp;$A76,Equipes!$C$2:$C$60,"&gt;="&amp;$A76)</f>
        <v>0</v>
      </c>
      <c r="O76" s="3" t="n">
        <f aca="false">IF(N76&gt;0,ROUNDUP(N76/Parametres!$B$7,0)+1,0)</f>
        <v>0</v>
      </c>
      <c r="P76" s="3" t="n">
        <f aca="false">SUMIFS(Equipes!$D$2:$D$60,Equipes!$A$2:$A$60,"LOT-08",Equipes!$B$2:$B$60,"&lt;="&amp;$A76,Equipes!$C$2:$C$60,"&gt;="&amp;$A76)</f>
        <v>0</v>
      </c>
      <c r="Q76" s="3" t="n">
        <f aca="false">IF(P76&gt;0,ROUNDUP(P76/Parametres!$B$7,0)+1,0)</f>
        <v>0</v>
      </c>
    </row>
    <row r="77" customFormat="false" ht="15" hidden="false" customHeight="false" outlineLevel="0" collapsed="false">
      <c r="A77" s="2" t="n">
        <v>46158</v>
      </c>
      <c r="B77" s="3" t="n">
        <f aca="false">SUMIFS(Equipes!$D$2:$D$60,Equipes!$A$2:$A$60,"LOT-01",Equipes!$B$2:$B$60,"&lt;="&amp;$A77,Equipes!$C$2:$C$60,"&gt;="&amp;$A77)</f>
        <v>0</v>
      </c>
      <c r="C77" s="3" t="n">
        <f aca="false">IF(B77&gt;0,ROUNDUP(B77/Parametres!$B$7,0)+1,0)</f>
        <v>0</v>
      </c>
      <c r="D77" s="3" t="n">
        <f aca="false">SUMIFS(Equipes!$D$2:$D$60,Equipes!$A$2:$A$60,"LOT-02",Equipes!$B$2:$B$60,"&lt;="&amp;$A77,Equipes!$C$2:$C$60,"&gt;="&amp;$A77)</f>
        <v>0</v>
      </c>
      <c r="E77" s="3" t="n">
        <f aca="false">IF(D77&gt;0,ROUNDUP(D77/Parametres!$B$7,0)+1,0)</f>
        <v>0</v>
      </c>
      <c r="F77" s="3" t="n">
        <f aca="false">SUMIFS(Equipes!$D$2:$D$60,Equipes!$A$2:$A$60,"LOT-03",Equipes!$B$2:$B$60,"&lt;="&amp;$A77,Equipes!$C$2:$C$60,"&gt;="&amp;$A77)</f>
        <v>24</v>
      </c>
      <c r="G77" s="3" t="n">
        <f aca="false">IF(F77&gt;0,ROUNDUP(F77/Parametres!$B$7,0)+1,0)</f>
        <v>3</v>
      </c>
      <c r="H77" s="3" t="n">
        <f aca="false">SUMIFS(Equipes!$D$2:$D$60,Equipes!$A$2:$A$60,"LOT-04",Equipes!$B$2:$B$60,"&lt;="&amp;$A77,Equipes!$C$2:$C$60,"&gt;="&amp;$A77)</f>
        <v>0</v>
      </c>
      <c r="I77" s="3" t="n">
        <f aca="false">IF(H77&gt;0,ROUNDUP(H77/Parametres!$B$7,0)+1,0)</f>
        <v>0</v>
      </c>
      <c r="J77" s="3" t="n">
        <f aca="false">SUMIFS(Equipes!$D$2:$D$60,Equipes!$A$2:$A$60,"LOT-05",Equipes!$B$2:$B$60,"&lt;="&amp;$A77,Equipes!$C$2:$C$60,"&gt;="&amp;$A77)</f>
        <v>0</v>
      </c>
      <c r="K77" s="3" t="n">
        <f aca="false">IF(J77&gt;0,ROUNDUP(J77/Parametres!$B$7,0)+1,0)</f>
        <v>0</v>
      </c>
      <c r="L77" s="3" t="n">
        <f aca="false">SUMIFS(Equipes!$D$2:$D$60,Equipes!$A$2:$A$60,"LOT-06",Equipes!$B$2:$B$60,"&lt;="&amp;$A77,Equipes!$C$2:$C$60,"&gt;="&amp;$A77)</f>
        <v>0</v>
      </c>
      <c r="M77" s="3" t="n">
        <f aca="false">IF(L77&gt;0,ROUNDUP(L77/Parametres!$B$7,0)+1,0)</f>
        <v>0</v>
      </c>
      <c r="N77" s="3" t="n">
        <f aca="false">SUMIFS(Equipes!$D$2:$D$60,Equipes!$A$2:$A$60,"LOT-07",Equipes!$B$2:$B$60,"&lt;="&amp;$A77,Equipes!$C$2:$C$60,"&gt;="&amp;$A77)</f>
        <v>0</v>
      </c>
      <c r="O77" s="3" t="n">
        <f aca="false">IF(N77&gt;0,ROUNDUP(N77/Parametres!$B$7,0)+1,0)</f>
        <v>0</v>
      </c>
      <c r="P77" s="3" t="n">
        <f aca="false">SUMIFS(Equipes!$D$2:$D$60,Equipes!$A$2:$A$60,"LOT-08",Equipes!$B$2:$B$60,"&lt;="&amp;$A77,Equipes!$C$2:$C$60,"&gt;="&amp;$A77)</f>
        <v>0</v>
      </c>
      <c r="Q77" s="3" t="n">
        <f aca="false">IF(P77&gt;0,ROUNDUP(P77/Parametres!$B$7,0)+1,0)</f>
        <v>0</v>
      </c>
    </row>
    <row r="78" customFormat="false" ht="15" hidden="false" customHeight="false" outlineLevel="0" collapsed="false">
      <c r="A78" s="2" t="n">
        <v>46159</v>
      </c>
      <c r="B78" s="3" t="n">
        <f aca="false">SUMIFS(Equipes!$D$2:$D$60,Equipes!$A$2:$A$60,"LOT-01",Equipes!$B$2:$B$60,"&lt;="&amp;$A78,Equipes!$C$2:$C$60,"&gt;="&amp;$A78)</f>
        <v>0</v>
      </c>
      <c r="C78" s="3" t="n">
        <f aca="false">IF(B78&gt;0,ROUNDUP(B78/Parametres!$B$7,0)+1,0)</f>
        <v>0</v>
      </c>
      <c r="D78" s="3" t="n">
        <f aca="false">SUMIFS(Equipes!$D$2:$D$60,Equipes!$A$2:$A$60,"LOT-02",Equipes!$B$2:$B$60,"&lt;="&amp;$A78,Equipes!$C$2:$C$60,"&gt;="&amp;$A78)</f>
        <v>0</v>
      </c>
      <c r="E78" s="3" t="n">
        <f aca="false">IF(D78&gt;0,ROUNDUP(D78/Parametres!$B$7,0)+1,0)</f>
        <v>0</v>
      </c>
      <c r="F78" s="3" t="n">
        <f aca="false">SUMIFS(Equipes!$D$2:$D$60,Equipes!$A$2:$A$60,"LOT-03",Equipes!$B$2:$B$60,"&lt;="&amp;$A78,Equipes!$C$2:$C$60,"&gt;="&amp;$A78)</f>
        <v>12</v>
      </c>
      <c r="G78" s="3" t="n">
        <f aca="false">IF(F78&gt;0,ROUNDUP(F78/Parametres!$B$7,0)+1,0)</f>
        <v>2</v>
      </c>
      <c r="H78" s="3" t="n">
        <f aca="false">SUMIFS(Equipes!$D$2:$D$60,Equipes!$A$2:$A$60,"LOT-04",Equipes!$B$2:$B$60,"&lt;="&amp;$A78,Equipes!$C$2:$C$60,"&gt;="&amp;$A78)</f>
        <v>0</v>
      </c>
      <c r="I78" s="3" t="n">
        <f aca="false">IF(H78&gt;0,ROUNDUP(H78/Parametres!$B$7,0)+1,0)</f>
        <v>0</v>
      </c>
      <c r="J78" s="3" t="n">
        <f aca="false">SUMIFS(Equipes!$D$2:$D$60,Equipes!$A$2:$A$60,"LOT-05",Equipes!$B$2:$B$60,"&lt;="&amp;$A78,Equipes!$C$2:$C$60,"&gt;="&amp;$A78)</f>
        <v>0</v>
      </c>
      <c r="K78" s="3" t="n">
        <f aca="false">IF(J78&gt;0,ROUNDUP(J78/Parametres!$B$7,0)+1,0)</f>
        <v>0</v>
      </c>
      <c r="L78" s="3" t="n">
        <f aca="false">SUMIFS(Equipes!$D$2:$D$60,Equipes!$A$2:$A$60,"LOT-06",Equipes!$B$2:$B$60,"&lt;="&amp;$A78,Equipes!$C$2:$C$60,"&gt;="&amp;$A78)</f>
        <v>0</v>
      </c>
      <c r="M78" s="3" t="n">
        <f aca="false">IF(L78&gt;0,ROUNDUP(L78/Parametres!$B$7,0)+1,0)</f>
        <v>0</v>
      </c>
      <c r="N78" s="3" t="n">
        <f aca="false">SUMIFS(Equipes!$D$2:$D$60,Equipes!$A$2:$A$60,"LOT-07",Equipes!$B$2:$B$60,"&lt;="&amp;$A78,Equipes!$C$2:$C$60,"&gt;="&amp;$A78)</f>
        <v>0</v>
      </c>
      <c r="O78" s="3" t="n">
        <f aca="false">IF(N78&gt;0,ROUNDUP(N78/Parametres!$B$7,0)+1,0)</f>
        <v>0</v>
      </c>
      <c r="P78" s="3" t="n">
        <f aca="false">SUMIFS(Equipes!$D$2:$D$60,Equipes!$A$2:$A$60,"LOT-08",Equipes!$B$2:$B$60,"&lt;="&amp;$A78,Equipes!$C$2:$C$60,"&gt;="&amp;$A78)</f>
        <v>0</v>
      </c>
      <c r="Q78" s="3" t="n">
        <f aca="false">IF(P78&gt;0,ROUNDUP(P78/Parametres!$B$7,0)+1,0)</f>
        <v>0</v>
      </c>
    </row>
    <row r="79" customFormat="false" ht="15" hidden="false" customHeight="false" outlineLevel="0" collapsed="false">
      <c r="A79" s="2" t="n">
        <v>46160</v>
      </c>
      <c r="B79" s="3" t="n">
        <f aca="false">SUMIFS(Equipes!$D$2:$D$60,Equipes!$A$2:$A$60,"LOT-01",Equipes!$B$2:$B$60,"&lt;="&amp;$A79,Equipes!$C$2:$C$60,"&gt;="&amp;$A79)</f>
        <v>0</v>
      </c>
      <c r="C79" s="3" t="n">
        <f aca="false">IF(B79&gt;0,ROUNDUP(B79/Parametres!$B$7,0)+1,0)</f>
        <v>0</v>
      </c>
      <c r="D79" s="3" t="n">
        <f aca="false">SUMIFS(Equipes!$D$2:$D$60,Equipes!$A$2:$A$60,"LOT-02",Equipes!$B$2:$B$60,"&lt;="&amp;$A79,Equipes!$C$2:$C$60,"&gt;="&amp;$A79)</f>
        <v>0</v>
      </c>
      <c r="E79" s="3" t="n">
        <f aca="false">IF(D79&gt;0,ROUNDUP(D79/Parametres!$B$7,0)+1,0)</f>
        <v>0</v>
      </c>
      <c r="F79" s="3" t="n">
        <f aca="false">SUMIFS(Equipes!$D$2:$D$60,Equipes!$A$2:$A$60,"LOT-03",Equipes!$B$2:$B$60,"&lt;="&amp;$A79,Equipes!$C$2:$C$60,"&gt;="&amp;$A79)</f>
        <v>12</v>
      </c>
      <c r="G79" s="3" t="n">
        <f aca="false">IF(F79&gt;0,ROUNDUP(F79/Parametres!$B$7,0)+1,0)</f>
        <v>2</v>
      </c>
      <c r="H79" s="3" t="n">
        <f aca="false">SUMIFS(Equipes!$D$2:$D$60,Equipes!$A$2:$A$60,"LOT-04",Equipes!$B$2:$B$60,"&lt;="&amp;$A79,Equipes!$C$2:$C$60,"&gt;="&amp;$A79)</f>
        <v>0</v>
      </c>
      <c r="I79" s="3" t="n">
        <f aca="false">IF(H79&gt;0,ROUNDUP(H79/Parametres!$B$7,0)+1,0)</f>
        <v>0</v>
      </c>
      <c r="J79" s="3" t="n">
        <f aca="false">SUMIFS(Equipes!$D$2:$D$60,Equipes!$A$2:$A$60,"LOT-05",Equipes!$B$2:$B$60,"&lt;="&amp;$A79,Equipes!$C$2:$C$60,"&gt;="&amp;$A79)</f>
        <v>0</v>
      </c>
      <c r="K79" s="3" t="n">
        <f aca="false">IF(J79&gt;0,ROUNDUP(J79/Parametres!$B$7,0)+1,0)</f>
        <v>0</v>
      </c>
      <c r="L79" s="3" t="n">
        <f aca="false">SUMIFS(Equipes!$D$2:$D$60,Equipes!$A$2:$A$60,"LOT-06",Equipes!$B$2:$B$60,"&lt;="&amp;$A79,Equipes!$C$2:$C$60,"&gt;="&amp;$A79)</f>
        <v>0</v>
      </c>
      <c r="M79" s="3" t="n">
        <f aca="false">IF(L79&gt;0,ROUNDUP(L79/Parametres!$B$7,0)+1,0)</f>
        <v>0</v>
      </c>
      <c r="N79" s="3" t="n">
        <f aca="false">SUMIFS(Equipes!$D$2:$D$60,Equipes!$A$2:$A$60,"LOT-07",Equipes!$B$2:$B$60,"&lt;="&amp;$A79,Equipes!$C$2:$C$60,"&gt;="&amp;$A79)</f>
        <v>0</v>
      </c>
      <c r="O79" s="3" t="n">
        <f aca="false">IF(N79&gt;0,ROUNDUP(N79/Parametres!$B$7,0)+1,0)</f>
        <v>0</v>
      </c>
      <c r="P79" s="3" t="n">
        <f aca="false">SUMIFS(Equipes!$D$2:$D$60,Equipes!$A$2:$A$60,"LOT-08",Equipes!$B$2:$B$60,"&lt;="&amp;$A79,Equipes!$C$2:$C$60,"&gt;="&amp;$A79)</f>
        <v>0</v>
      </c>
      <c r="Q79" s="3" t="n">
        <f aca="false">IF(P79&gt;0,ROUNDUP(P79/Parametres!$B$7,0)+1,0)</f>
        <v>0</v>
      </c>
    </row>
    <row r="80" customFormat="false" ht="15" hidden="false" customHeight="false" outlineLevel="0" collapsed="false">
      <c r="A80" s="2" t="n">
        <v>46161</v>
      </c>
      <c r="B80" s="3" t="n">
        <f aca="false">SUMIFS(Equipes!$D$2:$D$60,Equipes!$A$2:$A$60,"LOT-01",Equipes!$B$2:$B$60,"&lt;="&amp;$A80,Equipes!$C$2:$C$60,"&gt;="&amp;$A80)</f>
        <v>0</v>
      </c>
      <c r="C80" s="3" t="n">
        <f aca="false">IF(B80&gt;0,ROUNDUP(B80/Parametres!$B$7,0)+1,0)</f>
        <v>0</v>
      </c>
      <c r="D80" s="3" t="n">
        <f aca="false">SUMIFS(Equipes!$D$2:$D$60,Equipes!$A$2:$A$60,"LOT-02",Equipes!$B$2:$B$60,"&lt;="&amp;$A80,Equipes!$C$2:$C$60,"&gt;="&amp;$A80)</f>
        <v>0</v>
      </c>
      <c r="E80" s="3" t="n">
        <f aca="false">IF(D80&gt;0,ROUNDUP(D80/Parametres!$B$7,0)+1,0)</f>
        <v>0</v>
      </c>
      <c r="F80" s="3" t="n">
        <f aca="false">SUMIFS(Equipes!$D$2:$D$60,Equipes!$A$2:$A$60,"LOT-03",Equipes!$B$2:$B$60,"&lt;="&amp;$A80,Equipes!$C$2:$C$60,"&gt;="&amp;$A80)</f>
        <v>12</v>
      </c>
      <c r="G80" s="3" t="n">
        <f aca="false">IF(F80&gt;0,ROUNDUP(F80/Parametres!$B$7,0)+1,0)</f>
        <v>2</v>
      </c>
      <c r="H80" s="3" t="n">
        <f aca="false">SUMIFS(Equipes!$D$2:$D$60,Equipes!$A$2:$A$60,"LOT-04",Equipes!$B$2:$B$60,"&lt;="&amp;$A80,Equipes!$C$2:$C$60,"&gt;="&amp;$A80)</f>
        <v>0</v>
      </c>
      <c r="I80" s="3" t="n">
        <f aca="false">IF(H80&gt;0,ROUNDUP(H80/Parametres!$B$7,0)+1,0)</f>
        <v>0</v>
      </c>
      <c r="J80" s="3" t="n">
        <f aca="false">SUMIFS(Equipes!$D$2:$D$60,Equipes!$A$2:$A$60,"LOT-05",Equipes!$B$2:$B$60,"&lt;="&amp;$A80,Equipes!$C$2:$C$60,"&gt;="&amp;$A80)</f>
        <v>0</v>
      </c>
      <c r="K80" s="3" t="n">
        <f aca="false">IF(J80&gt;0,ROUNDUP(J80/Parametres!$B$7,0)+1,0)</f>
        <v>0</v>
      </c>
      <c r="L80" s="3" t="n">
        <f aca="false">SUMIFS(Equipes!$D$2:$D$60,Equipes!$A$2:$A$60,"LOT-06",Equipes!$B$2:$B$60,"&lt;="&amp;$A80,Equipes!$C$2:$C$60,"&gt;="&amp;$A80)</f>
        <v>0</v>
      </c>
      <c r="M80" s="3" t="n">
        <f aca="false">IF(L80&gt;0,ROUNDUP(L80/Parametres!$B$7,0)+1,0)</f>
        <v>0</v>
      </c>
      <c r="N80" s="3" t="n">
        <f aca="false">SUMIFS(Equipes!$D$2:$D$60,Equipes!$A$2:$A$60,"LOT-07",Equipes!$B$2:$B$60,"&lt;="&amp;$A80,Equipes!$C$2:$C$60,"&gt;="&amp;$A80)</f>
        <v>0</v>
      </c>
      <c r="O80" s="3" t="n">
        <f aca="false">IF(N80&gt;0,ROUNDUP(N80/Parametres!$B$7,0)+1,0)</f>
        <v>0</v>
      </c>
      <c r="P80" s="3" t="n">
        <f aca="false">SUMIFS(Equipes!$D$2:$D$60,Equipes!$A$2:$A$60,"LOT-08",Equipes!$B$2:$B$60,"&lt;="&amp;$A80,Equipes!$C$2:$C$60,"&gt;="&amp;$A80)</f>
        <v>0</v>
      </c>
      <c r="Q80" s="3" t="n">
        <f aca="false">IF(P80&gt;0,ROUNDUP(P80/Parametres!$B$7,0)+1,0)</f>
        <v>0</v>
      </c>
    </row>
    <row r="81" customFormat="false" ht="15" hidden="false" customHeight="false" outlineLevel="0" collapsed="false">
      <c r="A81" s="2" t="n">
        <v>46162</v>
      </c>
      <c r="B81" s="3" t="n">
        <f aca="false">SUMIFS(Equipes!$D$2:$D$60,Equipes!$A$2:$A$60,"LOT-01",Equipes!$B$2:$B$60,"&lt;="&amp;$A81,Equipes!$C$2:$C$60,"&gt;="&amp;$A81)</f>
        <v>0</v>
      </c>
      <c r="C81" s="3" t="n">
        <f aca="false">IF(B81&gt;0,ROUNDUP(B81/Parametres!$B$7,0)+1,0)</f>
        <v>0</v>
      </c>
      <c r="D81" s="3" t="n">
        <f aca="false">SUMIFS(Equipes!$D$2:$D$60,Equipes!$A$2:$A$60,"LOT-02",Equipes!$B$2:$B$60,"&lt;="&amp;$A81,Equipes!$C$2:$C$60,"&gt;="&amp;$A81)</f>
        <v>0</v>
      </c>
      <c r="E81" s="3" t="n">
        <f aca="false">IF(D81&gt;0,ROUNDUP(D81/Parametres!$B$7,0)+1,0)</f>
        <v>0</v>
      </c>
      <c r="F81" s="3" t="n">
        <f aca="false">SUMIFS(Equipes!$D$2:$D$60,Equipes!$A$2:$A$60,"LOT-03",Equipes!$B$2:$B$60,"&lt;="&amp;$A81,Equipes!$C$2:$C$60,"&gt;="&amp;$A81)</f>
        <v>12</v>
      </c>
      <c r="G81" s="3" t="n">
        <f aca="false">IF(F81&gt;0,ROUNDUP(F81/Parametres!$B$7,0)+1,0)</f>
        <v>2</v>
      </c>
      <c r="H81" s="3" t="n">
        <f aca="false">SUMIFS(Equipes!$D$2:$D$60,Equipes!$A$2:$A$60,"LOT-04",Equipes!$B$2:$B$60,"&lt;="&amp;$A81,Equipes!$C$2:$C$60,"&gt;="&amp;$A81)</f>
        <v>0</v>
      </c>
      <c r="I81" s="3" t="n">
        <f aca="false">IF(H81&gt;0,ROUNDUP(H81/Parametres!$B$7,0)+1,0)</f>
        <v>0</v>
      </c>
      <c r="J81" s="3" t="n">
        <f aca="false">SUMIFS(Equipes!$D$2:$D$60,Equipes!$A$2:$A$60,"LOT-05",Equipes!$B$2:$B$60,"&lt;="&amp;$A81,Equipes!$C$2:$C$60,"&gt;="&amp;$A81)</f>
        <v>0</v>
      </c>
      <c r="K81" s="3" t="n">
        <f aca="false">IF(J81&gt;0,ROUNDUP(J81/Parametres!$B$7,0)+1,0)</f>
        <v>0</v>
      </c>
      <c r="L81" s="3" t="n">
        <f aca="false">SUMIFS(Equipes!$D$2:$D$60,Equipes!$A$2:$A$60,"LOT-06",Equipes!$B$2:$B$60,"&lt;="&amp;$A81,Equipes!$C$2:$C$60,"&gt;="&amp;$A81)</f>
        <v>0</v>
      </c>
      <c r="M81" s="3" t="n">
        <f aca="false">IF(L81&gt;0,ROUNDUP(L81/Parametres!$B$7,0)+1,0)</f>
        <v>0</v>
      </c>
      <c r="N81" s="3" t="n">
        <f aca="false">SUMIFS(Equipes!$D$2:$D$60,Equipes!$A$2:$A$60,"LOT-07",Equipes!$B$2:$B$60,"&lt;="&amp;$A81,Equipes!$C$2:$C$60,"&gt;="&amp;$A81)</f>
        <v>0</v>
      </c>
      <c r="O81" s="3" t="n">
        <f aca="false">IF(N81&gt;0,ROUNDUP(N81/Parametres!$B$7,0)+1,0)</f>
        <v>0</v>
      </c>
      <c r="P81" s="3" t="n">
        <f aca="false">SUMIFS(Equipes!$D$2:$D$60,Equipes!$A$2:$A$60,"LOT-08",Equipes!$B$2:$B$60,"&lt;="&amp;$A81,Equipes!$C$2:$C$60,"&gt;="&amp;$A81)</f>
        <v>0</v>
      </c>
      <c r="Q81" s="3" t="n">
        <f aca="false">IF(P81&gt;0,ROUNDUP(P81/Parametres!$B$7,0)+1,0)</f>
        <v>0</v>
      </c>
    </row>
    <row r="82" customFormat="false" ht="15" hidden="false" customHeight="false" outlineLevel="0" collapsed="false">
      <c r="A82" s="2" t="n">
        <v>46163</v>
      </c>
      <c r="B82" s="3" t="n">
        <f aca="false">SUMIFS(Equipes!$D$2:$D$60,Equipes!$A$2:$A$60,"LOT-01",Equipes!$B$2:$B$60,"&lt;="&amp;$A82,Equipes!$C$2:$C$60,"&gt;="&amp;$A82)</f>
        <v>0</v>
      </c>
      <c r="C82" s="3" t="n">
        <f aca="false">IF(B82&gt;0,ROUNDUP(B82/Parametres!$B$7,0)+1,0)</f>
        <v>0</v>
      </c>
      <c r="D82" s="3" t="n">
        <f aca="false">SUMIFS(Equipes!$D$2:$D$60,Equipes!$A$2:$A$60,"LOT-02",Equipes!$B$2:$B$60,"&lt;="&amp;$A82,Equipes!$C$2:$C$60,"&gt;="&amp;$A82)</f>
        <v>0</v>
      </c>
      <c r="E82" s="3" t="n">
        <f aca="false">IF(D82&gt;0,ROUNDUP(D82/Parametres!$B$7,0)+1,0)</f>
        <v>0</v>
      </c>
      <c r="F82" s="3" t="n">
        <f aca="false">SUMIFS(Equipes!$D$2:$D$60,Equipes!$A$2:$A$60,"LOT-03",Equipes!$B$2:$B$60,"&lt;="&amp;$A82,Equipes!$C$2:$C$60,"&gt;="&amp;$A82)</f>
        <v>12</v>
      </c>
      <c r="G82" s="3" t="n">
        <f aca="false">IF(F82&gt;0,ROUNDUP(F82/Parametres!$B$7,0)+1,0)</f>
        <v>2</v>
      </c>
      <c r="H82" s="3" t="n">
        <f aca="false">SUMIFS(Equipes!$D$2:$D$60,Equipes!$A$2:$A$60,"LOT-04",Equipes!$B$2:$B$60,"&lt;="&amp;$A82,Equipes!$C$2:$C$60,"&gt;="&amp;$A82)</f>
        <v>0</v>
      </c>
      <c r="I82" s="3" t="n">
        <f aca="false">IF(H82&gt;0,ROUNDUP(H82/Parametres!$B$7,0)+1,0)</f>
        <v>0</v>
      </c>
      <c r="J82" s="3" t="n">
        <f aca="false">SUMIFS(Equipes!$D$2:$D$60,Equipes!$A$2:$A$60,"LOT-05",Equipes!$B$2:$B$60,"&lt;="&amp;$A82,Equipes!$C$2:$C$60,"&gt;="&amp;$A82)</f>
        <v>0</v>
      </c>
      <c r="K82" s="3" t="n">
        <f aca="false">IF(J82&gt;0,ROUNDUP(J82/Parametres!$B$7,0)+1,0)</f>
        <v>0</v>
      </c>
      <c r="L82" s="3" t="n">
        <f aca="false">SUMIFS(Equipes!$D$2:$D$60,Equipes!$A$2:$A$60,"LOT-06",Equipes!$B$2:$B$60,"&lt;="&amp;$A82,Equipes!$C$2:$C$60,"&gt;="&amp;$A82)</f>
        <v>0</v>
      </c>
      <c r="M82" s="3" t="n">
        <f aca="false">IF(L82&gt;0,ROUNDUP(L82/Parametres!$B$7,0)+1,0)</f>
        <v>0</v>
      </c>
      <c r="N82" s="3" t="n">
        <f aca="false">SUMIFS(Equipes!$D$2:$D$60,Equipes!$A$2:$A$60,"LOT-07",Equipes!$B$2:$B$60,"&lt;="&amp;$A82,Equipes!$C$2:$C$60,"&gt;="&amp;$A82)</f>
        <v>0</v>
      </c>
      <c r="O82" s="3" t="n">
        <f aca="false">IF(N82&gt;0,ROUNDUP(N82/Parametres!$B$7,0)+1,0)</f>
        <v>0</v>
      </c>
      <c r="P82" s="3" t="n">
        <f aca="false">SUMIFS(Equipes!$D$2:$D$60,Equipes!$A$2:$A$60,"LOT-08",Equipes!$B$2:$B$60,"&lt;="&amp;$A82,Equipes!$C$2:$C$60,"&gt;="&amp;$A82)</f>
        <v>0</v>
      </c>
      <c r="Q82" s="3" t="n">
        <f aca="false">IF(P82&gt;0,ROUNDUP(P82/Parametres!$B$7,0)+1,0)</f>
        <v>0</v>
      </c>
    </row>
    <row r="83" customFormat="false" ht="15" hidden="false" customHeight="false" outlineLevel="0" collapsed="false">
      <c r="A83" s="2" t="n">
        <v>46164</v>
      </c>
      <c r="B83" s="3" t="n">
        <f aca="false">SUMIFS(Equipes!$D$2:$D$60,Equipes!$A$2:$A$60,"LOT-01",Equipes!$B$2:$B$60,"&lt;="&amp;$A83,Equipes!$C$2:$C$60,"&gt;="&amp;$A83)</f>
        <v>0</v>
      </c>
      <c r="C83" s="3" t="n">
        <f aca="false">IF(B83&gt;0,ROUNDUP(B83/Parametres!$B$7,0)+1,0)</f>
        <v>0</v>
      </c>
      <c r="D83" s="3" t="n">
        <f aca="false">SUMIFS(Equipes!$D$2:$D$60,Equipes!$A$2:$A$60,"LOT-02",Equipes!$B$2:$B$60,"&lt;="&amp;$A83,Equipes!$C$2:$C$60,"&gt;="&amp;$A83)</f>
        <v>0</v>
      </c>
      <c r="E83" s="3" t="n">
        <f aca="false">IF(D83&gt;0,ROUNDUP(D83/Parametres!$B$7,0)+1,0)</f>
        <v>0</v>
      </c>
      <c r="F83" s="3" t="n">
        <f aca="false">SUMIFS(Equipes!$D$2:$D$60,Equipes!$A$2:$A$60,"LOT-03",Equipes!$B$2:$B$60,"&lt;="&amp;$A83,Equipes!$C$2:$C$60,"&gt;="&amp;$A83)</f>
        <v>12</v>
      </c>
      <c r="G83" s="3" t="n">
        <f aca="false">IF(F83&gt;0,ROUNDUP(F83/Parametres!$B$7,0)+1,0)</f>
        <v>2</v>
      </c>
      <c r="H83" s="3" t="n">
        <f aca="false">SUMIFS(Equipes!$D$2:$D$60,Equipes!$A$2:$A$60,"LOT-04",Equipes!$B$2:$B$60,"&lt;="&amp;$A83,Equipes!$C$2:$C$60,"&gt;="&amp;$A83)</f>
        <v>0</v>
      </c>
      <c r="I83" s="3" t="n">
        <f aca="false">IF(H83&gt;0,ROUNDUP(H83/Parametres!$B$7,0)+1,0)</f>
        <v>0</v>
      </c>
      <c r="J83" s="3" t="n">
        <f aca="false">SUMIFS(Equipes!$D$2:$D$60,Equipes!$A$2:$A$60,"LOT-05",Equipes!$B$2:$B$60,"&lt;="&amp;$A83,Equipes!$C$2:$C$60,"&gt;="&amp;$A83)</f>
        <v>0</v>
      </c>
      <c r="K83" s="3" t="n">
        <f aca="false">IF(J83&gt;0,ROUNDUP(J83/Parametres!$B$7,0)+1,0)</f>
        <v>0</v>
      </c>
      <c r="L83" s="3" t="n">
        <f aca="false">SUMIFS(Equipes!$D$2:$D$60,Equipes!$A$2:$A$60,"LOT-06",Equipes!$B$2:$B$60,"&lt;="&amp;$A83,Equipes!$C$2:$C$60,"&gt;="&amp;$A83)</f>
        <v>0</v>
      </c>
      <c r="M83" s="3" t="n">
        <f aca="false">IF(L83&gt;0,ROUNDUP(L83/Parametres!$B$7,0)+1,0)</f>
        <v>0</v>
      </c>
      <c r="N83" s="3" t="n">
        <f aca="false">SUMIFS(Equipes!$D$2:$D$60,Equipes!$A$2:$A$60,"LOT-07",Equipes!$B$2:$B$60,"&lt;="&amp;$A83,Equipes!$C$2:$C$60,"&gt;="&amp;$A83)</f>
        <v>0</v>
      </c>
      <c r="O83" s="3" t="n">
        <f aca="false">IF(N83&gt;0,ROUNDUP(N83/Parametres!$B$7,0)+1,0)</f>
        <v>0</v>
      </c>
      <c r="P83" s="3" t="n">
        <f aca="false">SUMIFS(Equipes!$D$2:$D$60,Equipes!$A$2:$A$60,"LOT-08",Equipes!$B$2:$B$60,"&lt;="&amp;$A83,Equipes!$C$2:$C$60,"&gt;="&amp;$A83)</f>
        <v>0</v>
      </c>
      <c r="Q83" s="3" t="n">
        <f aca="false">IF(P83&gt;0,ROUNDUP(P83/Parametres!$B$7,0)+1,0)</f>
        <v>0</v>
      </c>
    </row>
    <row r="84" customFormat="false" ht="15" hidden="false" customHeight="false" outlineLevel="0" collapsed="false">
      <c r="A84" s="2" t="n">
        <v>46165</v>
      </c>
      <c r="B84" s="3" t="n">
        <f aca="false">SUMIFS(Equipes!$D$2:$D$60,Equipes!$A$2:$A$60,"LOT-01",Equipes!$B$2:$B$60,"&lt;="&amp;$A84,Equipes!$C$2:$C$60,"&gt;="&amp;$A84)</f>
        <v>0</v>
      </c>
      <c r="C84" s="3" t="n">
        <f aca="false">IF(B84&gt;0,ROUNDUP(B84/Parametres!$B$7,0)+1,0)</f>
        <v>0</v>
      </c>
      <c r="D84" s="3" t="n">
        <f aca="false">SUMIFS(Equipes!$D$2:$D$60,Equipes!$A$2:$A$60,"LOT-02",Equipes!$B$2:$B$60,"&lt;="&amp;$A84,Equipes!$C$2:$C$60,"&gt;="&amp;$A84)</f>
        <v>0</v>
      </c>
      <c r="E84" s="3" t="n">
        <f aca="false">IF(D84&gt;0,ROUNDUP(D84/Parametres!$B$7,0)+1,0)</f>
        <v>0</v>
      </c>
      <c r="F84" s="3" t="n">
        <f aca="false">SUMIFS(Equipes!$D$2:$D$60,Equipes!$A$2:$A$60,"LOT-03",Equipes!$B$2:$B$60,"&lt;="&amp;$A84,Equipes!$C$2:$C$60,"&gt;="&amp;$A84)</f>
        <v>12</v>
      </c>
      <c r="G84" s="3" t="n">
        <f aca="false">IF(F84&gt;0,ROUNDUP(F84/Parametres!$B$7,0)+1,0)</f>
        <v>2</v>
      </c>
      <c r="H84" s="3" t="n">
        <f aca="false">SUMIFS(Equipes!$D$2:$D$60,Equipes!$A$2:$A$60,"LOT-04",Equipes!$B$2:$B$60,"&lt;="&amp;$A84,Equipes!$C$2:$C$60,"&gt;="&amp;$A84)</f>
        <v>0</v>
      </c>
      <c r="I84" s="3" t="n">
        <f aca="false">IF(H84&gt;0,ROUNDUP(H84/Parametres!$B$7,0)+1,0)</f>
        <v>0</v>
      </c>
      <c r="J84" s="3" t="n">
        <f aca="false">SUMIFS(Equipes!$D$2:$D$60,Equipes!$A$2:$A$60,"LOT-05",Equipes!$B$2:$B$60,"&lt;="&amp;$A84,Equipes!$C$2:$C$60,"&gt;="&amp;$A84)</f>
        <v>0</v>
      </c>
      <c r="K84" s="3" t="n">
        <f aca="false">IF(J84&gt;0,ROUNDUP(J84/Parametres!$B$7,0)+1,0)</f>
        <v>0</v>
      </c>
      <c r="L84" s="3" t="n">
        <f aca="false">SUMIFS(Equipes!$D$2:$D$60,Equipes!$A$2:$A$60,"LOT-06",Equipes!$B$2:$B$60,"&lt;="&amp;$A84,Equipes!$C$2:$C$60,"&gt;="&amp;$A84)</f>
        <v>0</v>
      </c>
      <c r="M84" s="3" t="n">
        <f aca="false">IF(L84&gt;0,ROUNDUP(L84/Parametres!$B$7,0)+1,0)</f>
        <v>0</v>
      </c>
      <c r="N84" s="3" t="n">
        <f aca="false">SUMIFS(Equipes!$D$2:$D$60,Equipes!$A$2:$A$60,"LOT-07",Equipes!$B$2:$B$60,"&lt;="&amp;$A84,Equipes!$C$2:$C$60,"&gt;="&amp;$A84)</f>
        <v>0</v>
      </c>
      <c r="O84" s="3" t="n">
        <f aca="false">IF(N84&gt;0,ROUNDUP(N84/Parametres!$B$7,0)+1,0)</f>
        <v>0</v>
      </c>
      <c r="P84" s="3" t="n">
        <f aca="false">SUMIFS(Equipes!$D$2:$D$60,Equipes!$A$2:$A$60,"LOT-08",Equipes!$B$2:$B$60,"&lt;="&amp;$A84,Equipes!$C$2:$C$60,"&gt;="&amp;$A84)</f>
        <v>0</v>
      </c>
      <c r="Q84" s="3" t="n">
        <f aca="false">IF(P84&gt;0,ROUNDUP(P84/Parametres!$B$7,0)+1,0)</f>
        <v>0</v>
      </c>
    </row>
    <row r="85" customFormat="false" ht="15" hidden="false" customHeight="false" outlineLevel="0" collapsed="false">
      <c r="A85" s="2" t="n">
        <v>46166</v>
      </c>
      <c r="B85" s="3" t="n">
        <f aca="false">SUMIFS(Equipes!$D$2:$D$60,Equipes!$A$2:$A$60,"LOT-01",Equipes!$B$2:$B$60,"&lt;="&amp;$A85,Equipes!$C$2:$C$60,"&gt;="&amp;$A85)</f>
        <v>0</v>
      </c>
      <c r="C85" s="3" t="n">
        <f aca="false">IF(B85&gt;0,ROUNDUP(B85/Parametres!$B$7,0)+1,0)</f>
        <v>0</v>
      </c>
      <c r="D85" s="3" t="n">
        <f aca="false">SUMIFS(Equipes!$D$2:$D$60,Equipes!$A$2:$A$60,"LOT-02",Equipes!$B$2:$B$60,"&lt;="&amp;$A85,Equipes!$C$2:$C$60,"&gt;="&amp;$A85)</f>
        <v>0</v>
      </c>
      <c r="E85" s="3" t="n">
        <f aca="false">IF(D85&gt;0,ROUNDUP(D85/Parametres!$B$7,0)+1,0)</f>
        <v>0</v>
      </c>
      <c r="F85" s="3" t="n">
        <f aca="false">SUMIFS(Equipes!$D$2:$D$60,Equipes!$A$2:$A$60,"LOT-03",Equipes!$B$2:$B$60,"&lt;="&amp;$A85,Equipes!$C$2:$C$60,"&gt;="&amp;$A85)</f>
        <v>12</v>
      </c>
      <c r="G85" s="3" t="n">
        <f aca="false">IF(F85&gt;0,ROUNDUP(F85/Parametres!$B$7,0)+1,0)</f>
        <v>2</v>
      </c>
      <c r="H85" s="3" t="n">
        <f aca="false">SUMIFS(Equipes!$D$2:$D$60,Equipes!$A$2:$A$60,"LOT-04",Equipes!$B$2:$B$60,"&lt;="&amp;$A85,Equipes!$C$2:$C$60,"&gt;="&amp;$A85)</f>
        <v>0</v>
      </c>
      <c r="I85" s="3" t="n">
        <f aca="false">IF(H85&gt;0,ROUNDUP(H85/Parametres!$B$7,0)+1,0)</f>
        <v>0</v>
      </c>
      <c r="J85" s="3" t="n">
        <f aca="false">SUMIFS(Equipes!$D$2:$D$60,Equipes!$A$2:$A$60,"LOT-05",Equipes!$B$2:$B$60,"&lt;="&amp;$A85,Equipes!$C$2:$C$60,"&gt;="&amp;$A85)</f>
        <v>0</v>
      </c>
      <c r="K85" s="3" t="n">
        <f aca="false">IF(J85&gt;0,ROUNDUP(J85/Parametres!$B$7,0)+1,0)</f>
        <v>0</v>
      </c>
      <c r="L85" s="3" t="n">
        <f aca="false">SUMIFS(Equipes!$D$2:$D$60,Equipes!$A$2:$A$60,"LOT-06",Equipes!$B$2:$B$60,"&lt;="&amp;$A85,Equipes!$C$2:$C$60,"&gt;="&amp;$A85)</f>
        <v>0</v>
      </c>
      <c r="M85" s="3" t="n">
        <f aca="false">IF(L85&gt;0,ROUNDUP(L85/Parametres!$B$7,0)+1,0)</f>
        <v>0</v>
      </c>
      <c r="N85" s="3" t="n">
        <f aca="false">SUMIFS(Equipes!$D$2:$D$60,Equipes!$A$2:$A$60,"LOT-07",Equipes!$B$2:$B$60,"&lt;="&amp;$A85,Equipes!$C$2:$C$60,"&gt;="&amp;$A85)</f>
        <v>0</v>
      </c>
      <c r="O85" s="3" t="n">
        <f aca="false">IF(N85&gt;0,ROUNDUP(N85/Parametres!$B$7,0)+1,0)</f>
        <v>0</v>
      </c>
      <c r="P85" s="3" t="n">
        <f aca="false">SUMIFS(Equipes!$D$2:$D$60,Equipes!$A$2:$A$60,"LOT-08",Equipes!$B$2:$B$60,"&lt;="&amp;$A85,Equipes!$C$2:$C$60,"&gt;="&amp;$A85)</f>
        <v>0</v>
      </c>
      <c r="Q85" s="3" t="n">
        <f aca="false">IF(P85&gt;0,ROUNDUP(P85/Parametres!$B$7,0)+1,0)</f>
        <v>0</v>
      </c>
    </row>
    <row r="86" customFormat="false" ht="15" hidden="false" customHeight="false" outlineLevel="0" collapsed="false">
      <c r="A86" s="2" t="n">
        <v>46167</v>
      </c>
      <c r="B86" s="3" t="n">
        <f aca="false">SUMIFS(Equipes!$D$2:$D$60,Equipes!$A$2:$A$60,"LOT-01",Equipes!$B$2:$B$60,"&lt;="&amp;$A86,Equipes!$C$2:$C$60,"&gt;="&amp;$A86)</f>
        <v>0</v>
      </c>
      <c r="C86" s="3" t="n">
        <f aca="false">IF(B86&gt;0,ROUNDUP(B86/Parametres!$B$7,0)+1,0)</f>
        <v>0</v>
      </c>
      <c r="D86" s="3" t="n">
        <f aca="false">SUMIFS(Equipes!$D$2:$D$60,Equipes!$A$2:$A$60,"LOT-02",Equipes!$B$2:$B$60,"&lt;="&amp;$A86,Equipes!$C$2:$C$60,"&gt;="&amp;$A86)</f>
        <v>0</v>
      </c>
      <c r="E86" s="3" t="n">
        <f aca="false">IF(D86&gt;0,ROUNDUP(D86/Parametres!$B$7,0)+1,0)</f>
        <v>0</v>
      </c>
      <c r="F86" s="3" t="n">
        <f aca="false">SUMIFS(Equipes!$D$2:$D$60,Equipes!$A$2:$A$60,"LOT-03",Equipes!$B$2:$B$60,"&lt;="&amp;$A86,Equipes!$C$2:$C$60,"&gt;="&amp;$A86)</f>
        <v>12</v>
      </c>
      <c r="G86" s="3" t="n">
        <f aca="false">IF(F86&gt;0,ROUNDUP(F86/Parametres!$B$7,0)+1,0)</f>
        <v>2</v>
      </c>
      <c r="H86" s="3" t="n">
        <f aca="false">SUMIFS(Equipes!$D$2:$D$60,Equipes!$A$2:$A$60,"LOT-04",Equipes!$B$2:$B$60,"&lt;="&amp;$A86,Equipes!$C$2:$C$60,"&gt;="&amp;$A86)</f>
        <v>0</v>
      </c>
      <c r="I86" s="3" t="n">
        <f aca="false">IF(H86&gt;0,ROUNDUP(H86/Parametres!$B$7,0)+1,0)</f>
        <v>0</v>
      </c>
      <c r="J86" s="3" t="n">
        <f aca="false">SUMIFS(Equipes!$D$2:$D$60,Equipes!$A$2:$A$60,"LOT-05",Equipes!$B$2:$B$60,"&lt;="&amp;$A86,Equipes!$C$2:$C$60,"&gt;="&amp;$A86)</f>
        <v>0</v>
      </c>
      <c r="K86" s="3" t="n">
        <f aca="false">IF(J86&gt;0,ROUNDUP(J86/Parametres!$B$7,0)+1,0)</f>
        <v>0</v>
      </c>
      <c r="L86" s="3" t="n">
        <f aca="false">SUMIFS(Equipes!$D$2:$D$60,Equipes!$A$2:$A$60,"LOT-06",Equipes!$B$2:$B$60,"&lt;="&amp;$A86,Equipes!$C$2:$C$60,"&gt;="&amp;$A86)</f>
        <v>0</v>
      </c>
      <c r="M86" s="3" t="n">
        <f aca="false">IF(L86&gt;0,ROUNDUP(L86/Parametres!$B$7,0)+1,0)</f>
        <v>0</v>
      </c>
      <c r="N86" s="3" t="n">
        <f aca="false">SUMIFS(Equipes!$D$2:$D$60,Equipes!$A$2:$A$60,"LOT-07",Equipes!$B$2:$B$60,"&lt;="&amp;$A86,Equipes!$C$2:$C$60,"&gt;="&amp;$A86)</f>
        <v>0</v>
      </c>
      <c r="O86" s="3" t="n">
        <f aca="false">IF(N86&gt;0,ROUNDUP(N86/Parametres!$B$7,0)+1,0)</f>
        <v>0</v>
      </c>
      <c r="P86" s="3" t="n">
        <f aca="false">SUMIFS(Equipes!$D$2:$D$60,Equipes!$A$2:$A$60,"LOT-08",Equipes!$B$2:$B$60,"&lt;="&amp;$A86,Equipes!$C$2:$C$60,"&gt;="&amp;$A86)</f>
        <v>0</v>
      </c>
      <c r="Q86" s="3" t="n">
        <f aca="false">IF(P86&gt;0,ROUNDUP(P86/Parametres!$B$7,0)+1,0)</f>
        <v>0</v>
      </c>
    </row>
    <row r="87" customFormat="false" ht="15" hidden="false" customHeight="false" outlineLevel="0" collapsed="false">
      <c r="A87" s="2" t="n">
        <v>46168</v>
      </c>
      <c r="B87" s="3" t="n">
        <f aca="false">SUMIFS(Equipes!$D$2:$D$60,Equipes!$A$2:$A$60,"LOT-01",Equipes!$B$2:$B$60,"&lt;="&amp;$A87,Equipes!$C$2:$C$60,"&gt;="&amp;$A87)</f>
        <v>0</v>
      </c>
      <c r="C87" s="3" t="n">
        <f aca="false">IF(B87&gt;0,ROUNDUP(B87/Parametres!$B$7,0)+1,0)</f>
        <v>0</v>
      </c>
      <c r="D87" s="3" t="n">
        <f aca="false">SUMIFS(Equipes!$D$2:$D$60,Equipes!$A$2:$A$60,"LOT-02",Equipes!$B$2:$B$60,"&lt;="&amp;$A87,Equipes!$C$2:$C$60,"&gt;="&amp;$A87)</f>
        <v>0</v>
      </c>
      <c r="E87" s="3" t="n">
        <f aca="false">IF(D87&gt;0,ROUNDUP(D87/Parametres!$B$7,0)+1,0)</f>
        <v>0</v>
      </c>
      <c r="F87" s="3" t="n">
        <f aca="false">SUMIFS(Equipes!$D$2:$D$60,Equipes!$A$2:$A$60,"LOT-03",Equipes!$B$2:$B$60,"&lt;="&amp;$A87,Equipes!$C$2:$C$60,"&gt;="&amp;$A87)</f>
        <v>12</v>
      </c>
      <c r="G87" s="3" t="n">
        <f aca="false">IF(F87&gt;0,ROUNDUP(F87/Parametres!$B$7,0)+1,0)</f>
        <v>2</v>
      </c>
      <c r="H87" s="3" t="n">
        <f aca="false">SUMIFS(Equipes!$D$2:$D$60,Equipes!$A$2:$A$60,"LOT-04",Equipes!$B$2:$B$60,"&lt;="&amp;$A87,Equipes!$C$2:$C$60,"&gt;="&amp;$A87)</f>
        <v>0</v>
      </c>
      <c r="I87" s="3" t="n">
        <f aca="false">IF(H87&gt;0,ROUNDUP(H87/Parametres!$B$7,0)+1,0)</f>
        <v>0</v>
      </c>
      <c r="J87" s="3" t="n">
        <f aca="false">SUMIFS(Equipes!$D$2:$D$60,Equipes!$A$2:$A$60,"LOT-05",Equipes!$B$2:$B$60,"&lt;="&amp;$A87,Equipes!$C$2:$C$60,"&gt;="&amp;$A87)</f>
        <v>0</v>
      </c>
      <c r="K87" s="3" t="n">
        <f aca="false">IF(J87&gt;0,ROUNDUP(J87/Parametres!$B$7,0)+1,0)</f>
        <v>0</v>
      </c>
      <c r="L87" s="3" t="n">
        <f aca="false">SUMIFS(Equipes!$D$2:$D$60,Equipes!$A$2:$A$60,"LOT-06",Equipes!$B$2:$B$60,"&lt;="&amp;$A87,Equipes!$C$2:$C$60,"&gt;="&amp;$A87)</f>
        <v>0</v>
      </c>
      <c r="M87" s="3" t="n">
        <f aca="false">IF(L87&gt;0,ROUNDUP(L87/Parametres!$B$7,0)+1,0)</f>
        <v>0</v>
      </c>
      <c r="N87" s="3" t="n">
        <f aca="false">SUMIFS(Equipes!$D$2:$D$60,Equipes!$A$2:$A$60,"LOT-07",Equipes!$B$2:$B$60,"&lt;="&amp;$A87,Equipes!$C$2:$C$60,"&gt;="&amp;$A87)</f>
        <v>0</v>
      </c>
      <c r="O87" s="3" t="n">
        <f aca="false">IF(N87&gt;0,ROUNDUP(N87/Parametres!$B$7,0)+1,0)</f>
        <v>0</v>
      </c>
      <c r="P87" s="3" t="n">
        <f aca="false">SUMIFS(Equipes!$D$2:$D$60,Equipes!$A$2:$A$60,"LOT-08",Equipes!$B$2:$B$60,"&lt;="&amp;$A87,Equipes!$C$2:$C$60,"&gt;="&amp;$A87)</f>
        <v>0</v>
      </c>
      <c r="Q87" s="3" t="n">
        <f aca="false">IF(P87&gt;0,ROUNDUP(P87/Parametres!$B$7,0)+1,0)</f>
        <v>0</v>
      </c>
    </row>
    <row r="88" customFormat="false" ht="15" hidden="false" customHeight="false" outlineLevel="0" collapsed="false">
      <c r="A88" s="2" t="n">
        <v>46169</v>
      </c>
      <c r="B88" s="3" t="n">
        <f aca="false">SUMIFS(Equipes!$D$2:$D$60,Equipes!$A$2:$A$60,"LOT-01",Equipes!$B$2:$B$60,"&lt;="&amp;$A88,Equipes!$C$2:$C$60,"&gt;="&amp;$A88)</f>
        <v>0</v>
      </c>
      <c r="C88" s="3" t="n">
        <f aca="false">IF(B88&gt;0,ROUNDUP(B88/Parametres!$B$7,0)+1,0)</f>
        <v>0</v>
      </c>
      <c r="D88" s="3" t="n">
        <f aca="false">SUMIFS(Equipes!$D$2:$D$60,Equipes!$A$2:$A$60,"LOT-02",Equipes!$B$2:$B$60,"&lt;="&amp;$A88,Equipes!$C$2:$C$60,"&gt;="&amp;$A88)</f>
        <v>0</v>
      </c>
      <c r="E88" s="3" t="n">
        <f aca="false">IF(D88&gt;0,ROUNDUP(D88/Parametres!$B$7,0)+1,0)</f>
        <v>0</v>
      </c>
      <c r="F88" s="3" t="n">
        <f aca="false">SUMIFS(Equipes!$D$2:$D$60,Equipes!$A$2:$A$60,"LOT-03",Equipes!$B$2:$B$60,"&lt;="&amp;$A88,Equipes!$C$2:$C$60,"&gt;="&amp;$A88)</f>
        <v>12</v>
      </c>
      <c r="G88" s="3" t="n">
        <f aca="false">IF(F88&gt;0,ROUNDUP(F88/Parametres!$B$7,0)+1,0)</f>
        <v>2</v>
      </c>
      <c r="H88" s="3" t="n">
        <f aca="false">SUMIFS(Equipes!$D$2:$D$60,Equipes!$A$2:$A$60,"LOT-04",Equipes!$B$2:$B$60,"&lt;="&amp;$A88,Equipes!$C$2:$C$60,"&gt;="&amp;$A88)</f>
        <v>0</v>
      </c>
      <c r="I88" s="3" t="n">
        <f aca="false">IF(H88&gt;0,ROUNDUP(H88/Parametres!$B$7,0)+1,0)</f>
        <v>0</v>
      </c>
      <c r="J88" s="3" t="n">
        <f aca="false">SUMIFS(Equipes!$D$2:$D$60,Equipes!$A$2:$A$60,"LOT-05",Equipes!$B$2:$B$60,"&lt;="&amp;$A88,Equipes!$C$2:$C$60,"&gt;="&amp;$A88)</f>
        <v>0</v>
      </c>
      <c r="K88" s="3" t="n">
        <f aca="false">IF(J88&gt;0,ROUNDUP(J88/Parametres!$B$7,0)+1,0)</f>
        <v>0</v>
      </c>
      <c r="L88" s="3" t="n">
        <f aca="false">SUMIFS(Equipes!$D$2:$D$60,Equipes!$A$2:$A$60,"LOT-06",Equipes!$B$2:$B$60,"&lt;="&amp;$A88,Equipes!$C$2:$C$60,"&gt;="&amp;$A88)</f>
        <v>0</v>
      </c>
      <c r="M88" s="3" t="n">
        <f aca="false">IF(L88&gt;0,ROUNDUP(L88/Parametres!$B$7,0)+1,0)</f>
        <v>0</v>
      </c>
      <c r="N88" s="3" t="n">
        <f aca="false">SUMIFS(Equipes!$D$2:$D$60,Equipes!$A$2:$A$60,"LOT-07",Equipes!$B$2:$B$60,"&lt;="&amp;$A88,Equipes!$C$2:$C$60,"&gt;="&amp;$A88)</f>
        <v>0</v>
      </c>
      <c r="O88" s="3" t="n">
        <f aca="false">IF(N88&gt;0,ROUNDUP(N88/Parametres!$B$7,0)+1,0)</f>
        <v>0</v>
      </c>
      <c r="P88" s="3" t="n">
        <f aca="false">SUMIFS(Equipes!$D$2:$D$60,Equipes!$A$2:$A$60,"LOT-08",Equipes!$B$2:$B$60,"&lt;="&amp;$A88,Equipes!$C$2:$C$60,"&gt;="&amp;$A88)</f>
        <v>0</v>
      </c>
      <c r="Q88" s="3" t="n">
        <f aca="false">IF(P88&gt;0,ROUNDUP(P88/Parametres!$B$7,0)+1,0)</f>
        <v>0</v>
      </c>
    </row>
    <row r="89" customFormat="false" ht="15" hidden="false" customHeight="false" outlineLevel="0" collapsed="false">
      <c r="A89" s="2" t="n">
        <v>46170</v>
      </c>
      <c r="B89" s="3" t="n">
        <f aca="false">SUMIFS(Equipes!$D$2:$D$60,Equipes!$A$2:$A$60,"LOT-01",Equipes!$B$2:$B$60,"&lt;="&amp;$A89,Equipes!$C$2:$C$60,"&gt;="&amp;$A89)</f>
        <v>0</v>
      </c>
      <c r="C89" s="3" t="n">
        <f aca="false">IF(B89&gt;0,ROUNDUP(B89/Parametres!$B$7,0)+1,0)</f>
        <v>0</v>
      </c>
      <c r="D89" s="3" t="n">
        <f aca="false">SUMIFS(Equipes!$D$2:$D$60,Equipes!$A$2:$A$60,"LOT-02",Equipes!$B$2:$B$60,"&lt;="&amp;$A89,Equipes!$C$2:$C$60,"&gt;="&amp;$A89)</f>
        <v>0</v>
      </c>
      <c r="E89" s="3" t="n">
        <f aca="false">IF(D89&gt;0,ROUNDUP(D89/Parametres!$B$7,0)+1,0)</f>
        <v>0</v>
      </c>
      <c r="F89" s="3" t="n">
        <f aca="false">SUMIFS(Equipes!$D$2:$D$60,Equipes!$A$2:$A$60,"LOT-03",Equipes!$B$2:$B$60,"&lt;="&amp;$A89,Equipes!$C$2:$C$60,"&gt;="&amp;$A89)</f>
        <v>12</v>
      </c>
      <c r="G89" s="3" t="n">
        <f aca="false">IF(F89&gt;0,ROUNDUP(F89/Parametres!$B$7,0)+1,0)</f>
        <v>2</v>
      </c>
      <c r="H89" s="3" t="n">
        <f aca="false">SUMIFS(Equipes!$D$2:$D$60,Equipes!$A$2:$A$60,"LOT-04",Equipes!$B$2:$B$60,"&lt;="&amp;$A89,Equipes!$C$2:$C$60,"&gt;="&amp;$A89)</f>
        <v>0</v>
      </c>
      <c r="I89" s="3" t="n">
        <f aca="false">IF(H89&gt;0,ROUNDUP(H89/Parametres!$B$7,0)+1,0)</f>
        <v>0</v>
      </c>
      <c r="J89" s="3" t="n">
        <f aca="false">SUMIFS(Equipes!$D$2:$D$60,Equipes!$A$2:$A$60,"LOT-05",Equipes!$B$2:$B$60,"&lt;="&amp;$A89,Equipes!$C$2:$C$60,"&gt;="&amp;$A89)</f>
        <v>0</v>
      </c>
      <c r="K89" s="3" t="n">
        <f aca="false">IF(J89&gt;0,ROUNDUP(J89/Parametres!$B$7,0)+1,0)</f>
        <v>0</v>
      </c>
      <c r="L89" s="3" t="n">
        <f aca="false">SUMIFS(Equipes!$D$2:$D$60,Equipes!$A$2:$A$60,"LOT-06",Equipes!$B$2:$B$60,"&lt;="&amp;$A89,Equipes!$C$2:$C$60,"&gt;="&amp;$A89)</f>
        <v>0</v>
      </c>
      <c r="M89" s="3" t="n">
        <f aca="false">IF(L89&gt;0,ROUNDUP(L89/Parametres!$B$7,0)+1,0)</f>
        <v>0</v>
      </c>
      <c r="N89" s="3" t="n">
        <f aca="false">SUMIFS(Equipes!$D$2:$D$60,Equipes!$A$2:$A$60,"LOT-07",Equipes!$B$2:$B$60,"&lt;="&amp;$A89,Equipes!$C$2:$C$60,"&gt;="&amp;$A89)</f>
        <v>0</v>
      </c>
      <c r="O89" s="3" t="n">
        <f aca="false">IF(N89&gt;0,ROUNDUP(N89/Parametres!$B$7,0)+1,0)</f>
        <v>0</v>
      </c>
      <c r="P89" s="3" t="n">
        <f aca="false">SUMIFS(Equipes!$D$2:$D$60,Equipes!$A$2:$A$60,"LOT-08",Equipes!$B$2:$B$60,"&lt;="&amp;$A89,Equipes!$C$2:$C$60,"&gt;="&amp;$A89)</f>
        <v>0</v>
      </c>
      <c r="Q89" s="3" t="n">
        <f aca="false">IF(P89&gt;0,ROUNDUP(P89/Parametres!$B$7,0)+1,0)</f>
        <v>0</v>
      </c>
    </row>
    <row r="90" customFormat="false" ht="15" hidden="false" customHeight="false" outlineLevel="0" collapsed="false">
      <c r="A90" s="2" t="n">
        <v>46171</v>
      </c>
      <c r="B90" s="3" t="n">
        <f aca="false">SUMIFS(Equipes!$D$2:$D$60,Equipes!$A$2:$A$60,"LOT-01",Equipes!$B$2:$B$60,"&lt;="&amp;$A90,Equipes!$C$2:$C$60,"&gt;="&amp;$A90)</f>
        <v>0</v>
      </c>
      <c r="C90" s="3" t="n">
        <f aca="false">IF(B90&gt;0,ROUNDUP(B90/Parametres!$B$7,0)+1,0)</f>
        <v>0</v>
      </c>
      <c r="D90" s="3" t="n">
        <f aca="false">SUMIFS(Equipes!$D$2:$D$60,Equipes!$A$2:$A$60,"LOT-02",Equipes!$B$2:$B$60,"&lt;="&amp;$A90,Equipes!$C$2:$C$60,"&gt;="&amp;$A90)</f>
        <v>0</v>
      </c>
      <c r="E90" s="3" t="n">
        <f aca="false">IF(D90&gt;0,ROUNDUP(D90/Parametres!$B$7,0)+1,0)</f>
        <v>0</v>
      </c>
      <c r="F90" s="3" t="n">
        <f aca="false">SUMIFS(Equipes!$D$2:$D$60,Equipes!$A$2:$A$60,"LOT-03",Equipes!$B$2:$B$60,"&lt;="&amp;$A90,Equipes!$C$2:$C$60,"&gt;="&amp;$A90)</f>
        <v>12</v>
      </c>
      <c r="G90" s="3" t="n">
        <f aca="false">IF(F90&gt;0,ROUNDUP(F90/Parametres!$B$7,0)+1,0)</f>
        <v>2</v>
      </c>
      <c r="H90" s="3" t="n">
        <f aca="false">SUMIFS(Equipes!$D$2:$D$60,Equipes!$A$2:$A$60,"LOT-04",Equipes!$B$2:$B$60,"&lt;="&amp;$A90,Equipes!$C$2:$C$60,"&gt;="&amp;$A90)</f>
        <v>0</v>
      </c>
      <c r="I90" s="3" t="n">
        <f aca="false">IF(H90&gt;0,ROUNDUP(H90/Parametres!$B$7,0)+1,0)</f>
        <v>0</v>
      </c>
      <c r="J90" s="3" t="n">
        <f aca="false">SUMIFS(Equipes!$D$2:$D$60,Equipes!$A$2:$A$60,"LOT-05",Equipes!$B$2:$B$60,"&lt;="&amp;$A90,Equipes!$C$2:$C$60,"&gt;="&amp;$A90)</f>
        <v>0</v>
      </c>
      <c r="K90" s="3" t="n">
        <f aca="false">IF(J90&gt;0,ROUNDUP(J90/Parametres!$B$7,0)+1,0)</f>
        <v>0</v>
      </c>
      <c r="L90" s="3" t="n">
        <f aca="false">SUMIFS(Equipes!$D$2:$D$60,Equipes!$A$2:$A$60,"LOT-06",Equipes!$B$2:$B$60,"&lt;="&amp;$A90,Equipes!$C$2:$C$60,"&gt;="&amp;$A90)</f>
        <v>0</v>
      </c>
      <c r="M90" s="3" t="n">
        <f aca="false">IF(L90&gt;0,ROUNDUP(L90/Parametres!$B$7,0)+1,0)</f>
        <v>0</v>
      </c>
      <c r="N90" s="3" t="n">
        <f aca="false">SUMIFS(Equipes!$D$2:$D$60,Equipes!$A$2:$A$60,"LOT-07",Equipes!$B$2:$B$60,"&lt;="&amp;$A90,Equipes!$C$2:$C$60,"&gt;="&amp;$A90)</f>
        <v>0</v>
      </c>
      <c r="O90" s="3" t="n">
        <f aca="false">IF(N90&gt;0,ROUNDUP(N90/Parametres!$B$7,0)+1,0)</f>
        <v>0</v>
      </c>
      <c r="P90" s="3" t="n">
        <f aca="false">SUMIFS(Equipes!$D$2:$D$60,Equipes!$A$2:$A$60,"LOT-08",Equipes!$B$2:$B$60,"&lt;="&amp;$A90,Equipes!$C$2:$C$60,"&gt;="&amp;$A90)</f>
        <v>0</v>
      </c>
      <c r="Q90" s="3" t="n">
        <f aca="false">IF(P90&gt;0,ROUNDUP(P90/Parametres!$B$7,0)+1,0)</f>
        <v>0</v>
      </c>
    </row>
    <row r="91" customFormat="false" ht="15" hidden="false" customHeight="false" outlineLevel="0" collapsed="false">
      <c r="A91" s="2" t="n">
        <v>46172</v>
      </c>
      <c r="B91" s="3" t="n">
        <f aca="false">SUMIFS(Equipes!$D$2:$D$60,Equipes!$A$2:$A$60,"LOT-01",Equipes!$B$2:$B$60,"&lt;="&amp;$A91,Equipes!$C$2:$C$60,"&gt;="&amp;$A91)</f>
        <v>0</v>
      </c>
      <c r="C91" s="3" t="n">
        <f aca="false">IF(B91&gt;0,ROUNDUP(B91/Parametres!$B$7,0)+1,0)</f>
        <v>0</v>
      </c>
      <c r="D91" s="3" t="n">
        <f aca="false">SUMIFS(Equipes!$D$2:$D$60,Equipes!$A$2:$A$60,"LOT-02",Equipes!$B$2:$B$60,"&lt;="&amp;$A91,Equipes!$C$2:$C$60,"&gt;="&amp;$A91)</f>
        <v>0</v>
      </c>
      <c r="E91" s="3" t="n">
        <f aca="false">IF(D91&gt;0,ROUNDUP(D91/Parametres!$B$7,0)+1,0)</f>
        <v>0</v>
      </c>
      <c r="F91" s="3" t="n">
        <f aca="false">SUMIFS(Equipes!$D$2:$D$60,Equipes!$A$2:$A$60,"LOT-03",Equipes!$B$2:$B$60,"&lt;="&amp;$A91,Equipes!$C$2:$C$60,"&gt;="&amp;$A91)</f>
        <v>12</v>
      </c>
      <c r="G91" s="3" t="n">
        <f aca="false">IF(F91&gt;0,ROUNDUP(F91/Parametres!$B$7,0)+1,0)</f>
        <v>2</v>
      </c>
      <c r="H91" s="3" t="n">
        <f aca="false">SUMIFS(Equipes!$D$2:$D$60,Equipes!$A$2:$A$60,"LOT-04",Equipes!$B$2:$B$60,"&lt;="&amp;$A91,Equipes!$C$2:$C$60,"&gt;="&amp;$A91)</f>
        <v>0</v>
      </c>
      <c r="I91" s="3" t="n">
        <f aca="false">IF(H91&gt;0,ROUNDUP(H91/Parametres!$B$7,0)+1,0)</f>
        <v>0</v>
      </c>
      <c r="J91" s="3" t="n">
        <f aca="false">SUMIFS(Equipes!$D$2:$D$60,Equipes!$A$2:$A$60,"LOT-05",Equipes!$B$2:$B$60,"&lt;="&amp;$A91,Equipes!$C$2:$C$60,"&gt;="&amp;$A91)</f>
        <v>0</v>
      </c>
      <c r="K91" s="3" t="n">
        <f aca="false">IF(J91&gt;0,ROUNDUP(J91/Parametres!$B$7,0)+1,0)</f>
        <v>0</v>
      </c>
      <c r="L91" s="3" t="n">
        <f aca="false">SUMIFS(Equipes!$D$2:$D$60,Equipes!$A$2:$A$60,"LOT-06",Equipes!$B$2:$B$60,"&lt;="&amp;$A91,Equipes!$C$2:$C$60,"&gt;="&amp;$A91)</f>
        <v>0</v>
      </c>
      <c r="M91" s="3" t="n">
        <f aca="false">IF(L91&gt;0,ROUNDUP(L91/Parametres!$B$7,0)+1,0)</f>
        <v>0</v>
      </c>
      <c r="N91" s="3" t="n">
        <f aca="false">SUMIFS(Equipes!$D$2:$D$60,Equipes!$A$2:$A$60,"LOT-07",Equipes!$B$2:$B$60,"&lt;="&amp;$A91,Equipes!$C$2:$C$60,"&gt;="&amp;$A91)</f>
        <v>0</v>
      </c>
      <c r="O91" s="3" t="n">
        <f aca="false">IF(N91&gt;0,ROUNDUP(N91/Parametres!$B$7,0)+1,0)</f>
        <v>0</v>
      </c>
      <c r="P91" s="3" t="n">
        <f aca="false">SUMIFS(Equipes!$D$2:$D$60,Equipes!$A$2:$A$60,"LOT-08",Equipes!$B$2:$B$60,"&lt;="&amp;$A91,Equipes!$C$2:$C$60,"&gt;="&amp;$A91)</f>
        <v>0</v>
      </c>
      <c r="Q91" s="3" t="n">
        <f aca="false">IF(P91&gt;0,ROUNDUP(P91/Parametres!$B$7,0)+1,0)</f>
        <v>0</v>
      </c>
    </row>
    <row r="92" customFormat="false" ht="15" hidden="false" customHeight="false" outlineLevel="0" collapsed="false">
      <c r="A92" s="2" t="n">
        <v>46173</v>
      </c>
      <c r="B92" s="3" t="n">
        <f aca="false">SUMIFS(Equipes!$D$2:$D$60,Equipes!$A$2:$A$60,"LOT-01",Equipes!$B$2:$B$60,"&lt;="&amp;$A92,Equipes!$C$2:$C$60,"&gt;="&amp;$A92)</f>
        <v>0</v>
      </c>
      <c r="C92" s="3" t="n">
        <f aca="false">IF(B92&gt;0,ROUNDUP(B92/Parametres!$B$7,0)+1,0)</f>
        <v>0</v>
      </c>
      <c r="D92" s="3" t="n">
        <f aca="false">SUMIFS(Equipes!$D$2:$D$60,Equipes!$A$2:$A$60,"LOT-02",Equipes!$B$2:$B$60,"&lt;="&amp;$A92,Equipes!$C$2:$C$60,"&gt;="&amp;$A92)</f>
        <v>0</v>
      </c>
      <c r="E92" s="3" t="n">
        <f aca="false">IF(D92&gt;0,ROUNDUP(D92/Parametres!$B$7,0)+1,0)</f>
        <v>0</v>
      </c>
      <c r="F92" s="3" t="n">
        <f aca="false">SUMIFS(Equipes!$D$2:$D$60,Equipes!$A$2:$A$60,"LOT-03",Equipes!$B$2:$B$60,"&lt;="&amp;$A92,Equipes!$C$2:$C$60,"&gt;="&amp;$A92)</f>
        <v>12</v>
      </c>
      <c r="G92" s="3" t="n">
        <f aca="false">IF(F92&gt;0,ROUNDUP(F92/Parametres!$B$7,0)+1,0)</f>
        <v>2</v>
      </c>
      <c r="H92" s="3" t="n">
        <f aca="false">SUMIFS(Equipes!$D$2:$D$60,Equipes!$A$2:$A$60,"LOT-04",Equipes!$B$2:$B$60,"&lt;="&amp;$A92,Equipes!$C$2:$C$60,"&gt;="&amp;$A92)</f>
        <v>0</v>
      </c>
      <c r="I92" s="3" t="n">
        <f aca="false">IF(H92&gt;0,ROUNDUP(H92/Parametres!$B$7,0)+1,0)</f>
        <v>0</v>
      </c>
      <c r="J92" s="3" t="n">
        <f aca="false">SUMIFS(Equipes!$D$2:$D$60,Equipes!$A$2:$A$60,"LOT-05",Equipes!$B$2:$B$60,"&lt;="&amp;$A92,Equipes!$C$2:$C$60,"&gt;="&amp;$A92)</f>
        <v>0</v>
      </c>
      <c r="K92" s="3" t="n">
        <f aca="false">IF(J92&gt;0,ROUNDUP(J92/Parametres!$B$7,0)+1,0)</f>
        <v>0</v>
      </c>
      <c r="L92" s="3" t="n">
        <f aca="false">SUMIFS(Equipes!$D$2:$D$60,Equipes!$A$2:$A$60,"LOT-06",Equipes!$B$2:$B$60,"&lt;="&amp;$A92,Equipes!$C$2:$C$60,"&gt;="&amp;$A92)</f>
        <v>0</v>
      </c>
      <c r="M92" s="3" t="n">
        <f aca="false">IF(L92&gt;0,ROUNDUP(L92/Parametres!$B$7,0)+1,0)</f>
        <v>0</v>
      </c>
      <c r="N92" s="3" t="n">
        <f aca="false">SUMIFS(Equipes!$D$2:$D$60,Equipes!$A$2:$A$60,"LOT-07",Equipes!$B$2:$B$60,"&lt;="&amp;$A92,Equipes!$C$2:$C$60,"&gt;="&amp;$A92)</f>
        <v>0</v>
      </c>
      <c r="O92" s="3" t="n">
        <f aca="false">IF(N92&gt;0,ROUNDUP(N92/Parametres!$B$7,0)+1,0)</f>
        <v>0</v>
      </c>
      <c r="P92" s="3" t="n">
        <f aca="false">SUMIFS(Equipes!$D$2:$D$60,Equipes!$A$2:$A$60,"LOT-08",Equipes!$B$2:$B$60,"&lt;="&amp;$A92,Equipes!$C$2:$C$60,"&gt;="&amp;$A92)</f>
        <v>0</v>
      </c>
      <c r="Q92" s="3" t="n">
        <f aca="false">IF(P92&gt;0,ROUNDUP(P92/Parametres!$B$7,0)+1,0)</f>
        <v>0</v>
      </c>
    </row>
    <row r="93" customFormat="false" ht="15" hidden="false" customHeight="false" outlineLevel="0" collapsed="false">
      <c r="A93" s="2" t="n">
        <v>46174</v>
      </c>
      <c r="B93" s="3" t="n">
        <f aca="false">SUMIFS(Equipes!$D$2:$D$60,Equipes!$A$2:$A$60,"LOT-01",Equipes!$B$2:$B$60,"&lt;="&amp;$A93,Equipes!$C$2:$C$60,"&gt;="&amp;$A93)</f>
        <v>0</v>
      </c>
      <c r="C93" s="3" t="n">
        <f aca="false">IF(B93&gt;0,ROUNDUP(B93/Parametres!$B$7,0)+1,0)</f>
        <v>0</v>
      </c>
      <c r="D93" s="3" t="n">
        <f aca="false">SUMIFS(Equipes!$D$2:$D$60,Equipes!$A$2:$A$60,"LOT-02",Equipes!$B$2:$B$60,"&lt;="&amp;$A93,Equipes!$C$2:$C$60,"&gt;="&amp;$A93)</f>
        <v>0</v>
      </c>
      <c r="E93" s="3" t="n">
        <f aca="false">IF(D93&gt;0,ROUNDUP(D93/Parametres!$B$7,0)+1,0)</f>
        <v>0</v>
      </c>
      <c r="F93" s="3" t="n">
        <f aca="false">SUMIFS(Equipes!$D$2:$D$60,Equipes!$A$2:$A$60,"LOT-03",Equipes!$B$2:$B$60,"&lt;="&amp;$A93,Equipes!$C$2:$C$60,"&gt;="&amp;$A93)</f>
        <v>12</v>
      </c>
      <c r="G93" s="3" t="n">
        <f aca="false">IF(F93&gt;0,ROUNDUP(F93/Parametres!$B$7,0)+1,0)</f>
        <v>2</v>
      </c>
      <c r="H93" s="3" t="n">
        <f aca="false">SUMIFS(Equipes!$D$2:$D$60,Equipes!$A$2:$A$60,"LOT-04",Equipes!$B$2:$B$60,"&lt;="&amp;$A93,Equipes!$C$2:$C$60,"&gt;="&amp;$A93)</f>
        <v>0</v>
      </c>
      <c r="I93" s="3" t="n">
        <f aca="false">IF(H93&gt;0,ROUNDUP(H93/Parametres!$B$7,0)+1,0)</f>
        <v>0</v>
      </c>
      <c r="J93" s="3" t="n">
        <f aca="false">SUMIFS(Equipes!$D$2:$D$60,Equipes!$A$2:$A$60,"LOT-05",Equipes!$B$2:$B$60,"&lt;="&amp;$A93,Equipes!$C$2:$C$60,"&gt;="&amp;$A93)</f>
        <v>0</v>
      </c>
      <c r="K93" s="3" t="n">
        <f aca="false">IF(J93&gt;0,ROUNDUP(J93/Parametres!$B$7,0)+1,0)</f>
        <v>0</v>
      </c>
      <c r="L93" s="3" t="n">
        <f aca="false">SUMIFS(Equipes!$D$2:$D$60,Equipes!$A$2:$A$60,"LOT-06",Equipes!$B$2:$B$60,"&lt;="&amp;$A93,Equipes!$C$2:$C$60,"&gt;="&amp;$A93)</f>
        <v>0</v>
      </c>
      <c r="M93" s="3" t="n">
        <f aca="false">IF(L93&gt;0,ROUNDUP(L93/Parametres!$B$7,0)+1,0)</f>
        <v>0</v>
      </c>
      <c r="N93" s="3" t="n">
        <f aca="false">SUMIFS(Equipes!$D$2:$D$60,Equipes!$A$2:$A$60,"LOT-07",Equipes!$B$2:$B$60,"&lt;="&amp;$A93,Equipes!$C$2:$C$60,"&gt;="&amp;$A93)</f>
        <v>0</v>
      </c>
      <c r="O93" s="3" t="n">
        <f aca="false">IF(N93&gt;0,ROUNDUP(N93/Parametres!$B$7,0)+1,0)</f>
        <v>0</v>
      </c>
      <c r="P93" s="3" t="n">
        <f aca="false">SUMIFS(Equipes!$D$2:$D$60,Equipes!$A$2:$A$60,"LOT-08",Equipes!$B$2:$B$60,"&lt;="&amp;$A93,Equipes!$C$2:$C$60,"&gt;="&amp;$A93)</f>
        <v>0</v>
      </c>
      <c r="Q93" s="3" t="n">
        <f aca="false">IF(P93&gt;0,ROUNDUP(P93/Parametres!$B$7,0)+1,0)</f>
        <v>0</v>
      </c>
    </row>
    <row r="94" customFormat="false" ht="15" hidden="false" customHeight="false" outlineLevel="0" collapsed="false">
      <c r="A94" s="2" t="n">
        <v>46175</v>
      </c>
      <c r="B94" s="3" t="n">
        <f aca="false">SUMIFS(Equipes!$D$2:$D$60,Equipes!$A$2:$A$60,"LOT-01",Equipes!$B$2:$B$60,"&lt;="&amp;$A94,Equipes!$C$2:$C$60,"&gt;="&amp;$A94)</f>
        <v>0</v>
      </c>
      <c r="C94" s="3" t="n">
        <f aca="false">IF(B94&gt;0,ROUNDUP(B94/Parametres!$B$7,0)+1,0)</f>
        <v>0</v>
      </c>
      <c r="D94" s="3" t="n">
        <f aca="false">SUMIFS(Equipes!$D$2:$D$60,Equipes!$A$2:$A$60,"LOT-02",Equipes!$B$2:$B$60,"&lt;="&amp;$A94,Equipes!$C$2:$C$60,"&gt;="&amp;$A94)</f>
        <v>0</v>
      </c>
      <c r="E94" s="3" t="n">
        <f aca="false">IF(D94&gt;0,ROUNDUP(D94/Parametres!$B$7,0)+1,0)</f>
        <v>0</v>
      </c>
      <c r="F94" s="3" t="n">
        <f aca="false">SUMIFS(Equipes!$D$2:$D$60,Equipes!$A$2:$A$60,"LOT-03",Equipes!$B$2:$B$60,"&lt;="&amp;$A94,Equipes!$C$2:$C$60,"&gt;="&amp;$A94)</f>
        <v>12</v>
      </c>
      <c r="G94" s="3" t="n">
        <f aca="false">IF(F94&gt;0,ROUNDUP(F94/Parametres!$B$7,0)+1,0)</f>
        <v>2</v>
      </c>
      <c r="H94" s="3" t="n">
        <f aca="false">SUMIFS(Equipes!$D$2:$D$60,Equipes!$A$2:$A$60,"LOT-04",Equipes!$B$2:$B$60,"&lt;="&amp;$A94,Equipes!$C$2:$C$60,"&gt;="&amp;$A94)</f>
        <v>0</v>
      </c>
      <c r="I94" s="3" t="n">
        <f aca="false">IF(H94&gt;0,ROUNDUP(H94/Parametres!$B$7,0)+1,0)</f>
        <v>0</v>
      </c>
      <c r="J94" s="3" t="n">
        <f aca="false">SUMIFS(Equipes!$D$2:$D$60,Equipes!$A$2:$A$60,"LOT-05",Equipes!$B$2:$B$60,"&lt;="&amp;$A94,Equipes!$C$2:$C$60,"&gt;="&amp;$A94)</f>
        <v>0</v>
      </c>
      <c r="K94" s="3" t="n">
        <f aca="false">IF(J94&gt;0,ROUNDUP(J94/Parametres!$B$7,0)+1,0)</f>
        <v>0</v>
      </c>
      <c r="L94" s="3" t="n">
        <f aca="false">SUMIFS(Equipes!$D$2:$D$60,Equipes!$A$2:$A$60,"LOT-06",Equipes!$B$2:$B$60,"&lt;="&amp;$A94,Equipes!$C$2:$C$60,"&gt;="&amp;$A94)</f>
        <v>0</v>
      </c>
      <c r="M94" s="3" t="n">
        <f aca="false">IF(L94&gt;0,ROUNDUP(L94/Parametres!$B$7,0)+1,0)</f>
        <v>0</v>
      </c>
      <c r="N94" s="3" t="n">
        <f aca="false">SUMIFS(Equipes!$D$2:$D$60,Equipes!$A$2:$A$60,"LOT-07",Equipes!$B$2:$B$60,"&lt;="&amp;$A94,Equipes!$C$2:$C$60,"&gt;="&amp;$A94)</f>
        <v>0</v>
      </c>
      <c r="O94" s="3" t="n">
        <f aca="false">IF(N94&gt;0,ROUNDUP(N94/Parametres!$B$7,0)+1,0)</f>
        <v>0</v>
      </c>
      <c r="P94" s="3" t="n">
        <f aca="false">SUMIFS(Equipes!$D$2:$D$60,Equipes!$A$2:$A$60,"LOT-08",Equipes!$B$2:$B$60,"&lt;="&amp;$A94,Equipes!$C$2:$C$60,"&gt;="&amp;$A94)</f>
        <v>0</v>
      </c>
      <c r="Q94" s="3" t="n">
        <f aca="false">IF(P94&gt;0,ROUNDUP(P94/Parametres!$B$7,0)+1,0)</f>
        <v>0</v>
      </c>
    </row>
    <row r="95" customFormat="false" ht="15" hidden="false" customHeight="false" outlineLevel="0" collapsed="false">
      <c r="A95" s="2" t="n">
        <v>46176</v>
      </c>
      <c r="B95" s="3" t="n">
        <f aca="false">SUMIFS(Equipes!$D$2:$D$60,Equipes!$A$2:$A$60,"LOT-01",Equipes!$B$2:$B$60,"&lt;="&amp;$A95,Equipes!$C$2:$C$60,"&gt;="&amp;$A95)</f>
        <v>0</v>
      </c>
      <c r="C95" s="3" t="n">
        <f aca="false">IF(B95&gt;0,ROUNDUP(B95/Parametres!$B$7,0)+1,0)</f>
        <v>0</v>
      </c>
      <c r="D95" s="3" t="n">
        <f aca="false">SUMIFS(Equipes!$D$2:$D$60,Equipes!$A$2:$A$60,"LOT-02",Equipes!$B$2:$B$60,"&lt;="&amp;$A95,Equipes!$C$2:$C$60,"&gt;="&amp;$A95)</f>
        <v>0</v>
      </c>
      <c r="E95" s="3" t="n">
        <f aca="false">IF(D95&gt;0,ROUNDUP(D95/Parametres!$B$7,0)+1,0)</f>
        <v>0</v>
      </c>
      <c r="F95" s="3" t="n">
        <f aca="false">SUMIFS(Equipes!$D$2:$D$60,Equipes!$A$2:$A$60,"LOT-03",Equipes!$B$2:$B$60,"&lt;="&amp;$A95,Equipes!$C$2:$C$60,"&gt;="&amp;$A95)</f>
        <v>12</v>
      </c>
      <c r="G95" s="3" t="n">
        <f aca="false">IF(F95&gt;0,ROUNDUP(F95/Parametres!$B$7,0)+1,0)</f>
        <v>2</v>
      </c>
      <c r="H95" s="3" t="n">
        <f aca="false">SUMIFS(Equipes!$D$2:$D$60,Equipes!$A$2:$A$60,"LOT-04",Equipes!$B$2:$B$60,"&lt;="&amp;$A95,Equipes!$C$2:$C$60,"&gt;="&amp;$A95)</f>
        <v>0</v>
      </c>
      <c r="I95" s="3" t="n">
        <f aca="false">IF(H95&gt;0,ROUNDUP(H95/Parametres!$B$7,0)+1,0)</f>
        <v>0</v>
      </c>
      <c r="J95" s="3" t="n">
        <f aca="false">SUMIFS(Equipes!$D$2:$D$60,Equipes!$A$2:$A$60,"LOT-05",Equipes!$B$2:$B$60,"&lt;="&amp;$A95,Equipes!$C$2:$C$60,"&gt;="&amp;$A95)</f>
        <v>0</v>
      </c>
      <c r="K95" s="3" t="n">
        <f aca="false">IF(J95&gt;0,ROUNDUP(J95/Parametres!$B$7,0)+1,0)</f>
        <v>0</v>
      </c>
      <c r="L95" s="3" t="n">
        <f aca="false">SUMIFS(Equipes!$D$2:$D$60,Equipes!$A$2:$A$60,"LOT-06",Equipes!$B$2:$B$60,"&lt;="&amp;$A95,Equipes!$C$2:$C$60,"&gt;="&amp;$A95)</f>
        <v>0</v>
      </c>
      <c r="M95" s="3" t="n">
        <f aca="false">IF(L95&gt;0,ROUNDUP(L95/Parametres!$B$7,0)+1,0)</f>
        <v>0</v>
      </c>
      <c r="N95" s="3" t="n">
        <f aca="false">SUMIFS(Equipes!$D$2:$D$60,Equipes!$A$2:$A$60,"LOT-07",Equipes!$B$2:$B$60,"&lt;="&amp;$A95,Equipes!$C$2:$C$60,"&gt;="&amp;$A95)</f>
        <v>0</v>
      </c>
      <c r="O95" s="3" t="n">
        <f aca="false">IF(N95&gt;0,ROUNDUP(N95/Parametres!$B$7,0)+1,0)</f>
        <v>0</v>
      </c>
      <c r="P95" s="3" t="n">
        <f aca="false">SUMIFS(Equipes!$D$2:$D$60,Equipes!$A$2:$A$60,"LOT-08",Equipes!$B$2:$B$60,"&lt;="&amp;$A95,Equipes!$C$2:$C$60,"&gt;="&amp;$A95)</f>
        <v>0</v>
      </c>
      <c r="Q95" s="3" t="n">
        <f aca="false">IF(P95&gt;0,ROUNDUP(P95/Parametres!$B$7,0)+1,0)</f>
        <v>0</v>
      </c>
    </row>
    <row r="96" customFormat="false" ht="15" hidden="false" customHeight="false" outlineLevel="0" collapsed="false">
      <c r="A96" s="2" t="n">
        <v>46177</v>
      </c>
      <c r="B96" s="3" t="n">
        <f aca="false">SUMIFS(Equipes!$D$2:$D$60,Equipes!$A$2:$A$60,"LOT-01",Equipes!$B$2:$B$60,"&lt;="&amp;$A96,Equipes!$C$2:$C$60,"&gt;="&amp;$A96)</f>
        <v>0</v>
      </c>
      <c r="C96" s="3" t="n">
        <f aca="false">IF(B96&gt;0,ROUNDUP(B96/Parametres!$B$7,0)+1,0)</f>
        <v>0</v>
      </c>
      <c r="D96" s="3" t="n">
        <f aca="false">SUMIFS(Equipes!$D$2:$D$60,Equipes!$A$2:$A$60,"LOT-02",Equipes!$B$2:$B$60,"&lt;="&amp;$A96,Equipes!$C$2:$C$60,"&gt;="&amp;$A96)</f>
        <v>0</v>
      </c>
      <c r="E96" s="3" t="n">
        <f aca="false">IF(D96&gt;0,ROUNDUP(D96/Parametres!$B$7,0)+1,0)</f>
        <v>0</v>
      </c>
      <c r="F96" s="3" t="n">
        <f aca="false">SUMIFS(Equipes!$D$2:$D$60,Equipes!$A$2:$A$60,"LOT-03",Equipes!$B$2:$B$60,"&lt;="&amp;$A96,Equipes!$C$2:$C$60,"&gt;="&amp;$A96)</f>
        <v>12</v>
      </c>
      <c r="G96" s="3" t="n">
        <f aca="false">IF(F96&gt;0,ROUNDUP(F96/Parametres!$B$7,0)+1,0)</f>
        <v>2</v>
      </c>
      <c r="H96" s="3" t="n">
        <f aca="false">SUMIFS(Equipes!$D$2:$D$60,Equipes!$A$2:$A$60,"LOT-04",Equipes!$B$2:$B$60,"&lt;="&amp;$A96,Equipes!$C$2:$C$60,"&gt;="&amp;$A96)</f>
        <v>0</v>
      </c>
      <c r="I96" s="3" t="n">
        <f aca="false">IF(H96&gt;0,ROUNDUP(H96/Parametres!$B$7,0)+1,0)</f>
        <v>0</v>
      </c>
      <c r="J96" s="3" t="n">
        <f aca="false">SUMIFS(Equipes!$D$2:$D$60,Equipes!$A$2:$A$60,"LOT-05",Equipes!$B$2:$B$60,"&lt;="&amp;$A96,Equipes!$C$2:$C$60,"&gt;="&amp;$A96)</f>
        <v>0</v>
      </c>
      <c r="K96" s="3" t="n">
        <f aca="false">IF(J96&gt;0,ROUNDUP(J96/Parametres!$B$7,0)+1,0)</f>
        <v>0</v>
      </c>
      <c r="L96" s="3" t="n">
        <f aca="false">SUMIFS(Equipes!$D$2:$D$60,Equipes!$A$2:$A$60,"LOT-06",Equipes!$B$2:$B$60,"&lt;="&amp;$A96,Equipes!$C$2:$C$60,"&gt;="&amp;$A96)</f>
        <v>0</v>
      </c>
      <c r="M96" s="3" t="n">
        <f aca="false">IF(L96&gt;0,ROUNDUP(L96/Parametres!$B$7,0)+1,0)</f>
        <v>0</v>
      </c>
      <c r="N96" s="3" t="n">
        <f aca="false">SUMIFS(Equipes!$D$2:$D$60,Equipes!$A$2:$A$60,"LOT-07",Equipes!$B$2:$B$60,"&lt;="&amp;$A96,Equipes!$C$2:$C$60,"&gt;="&amp;$A96)</f>
        <v>0</v>
      </c>
      <c r="O96" s="3" t="n">
        <f aca="false">IF(N96&gt;0,ROUNDUP(N96/Parametres!$B$7,0)+1,0)</f>
        <v>0</v>
      </c>
      <c r="P96" s="3" t="n">
        <f aca="false">SUMIFS(Equipes!$D$2:$D$60,Equipes!$A$2:$A$60,"LOT-08",Equipes!$B$2:$B$60,"&lt;="&amp;$A96,Equipes!$C$2:$C$60,"&gt;="&amp;$A96)</f>
        <v>0</v>
      </c>
      <c r="Q96" s="3" t="n">
        <f aca="false">IF(P96&gt;0,ROUNDUP(P96/Parametres!$B$7,0)+1,0)</f>
        <v>0</v>
      </c>
    </row>
    <row r="97" customFormat="false" ht="15" hidden="false" customHeight="false" outlineLevel="0" collapsed="false">
      <c r="A97" s="2" t="n">
        <v>46178</v>
      </c>
      <c r="B97" s="3" t="n">
        <f aca="false">SUMIFS(Equipes!$D$2:$D$60,Equipes!$A$2:$A$60,"LOT-01",Equipes!$B$2:$B$60,"&lt;="&amp;$A97,Equipes!$C$2:$C$60,"&gt;="&amp;$A97)</f>
        <v>0</v>
      </c>
      <c r="C97" s="3" t="n">
        <f aca="false">IF(B97&gt;0,ROUNDUP(B97/Parametres!$B$7,0)+1,0)</f>
        <v>0</v>
      </c>
      <c r="D97" s="3" t="n">
        <f aca="false">SUMIFS(Equipes!$D$2:$D$60,Equipes!$A$2:$A$60,"LOT-02",Equipes!$B$2:$B$60,"&lt;="&amp;$A97,Equipes!$C$2:$C$60,"&gt;="&amp;$A97)</f>
        <v>0</v>
      </c>
      <c r="E97" s="3" t="n">
        <f aca="false">IF(D97&gt;0,ROUNDUP(D97/Parametres!$B$7,0)+1,0)</f>
        <v>0</v>
      </c>
      <c r="F97" s="3" t="n">
        <f aca="false">SUMIFS(Equipes!$D$2:$D$60,Equipes!$A$2:$A$60,"LOT-03",Equipes!$B$2:$B$60,"&lt;="&amp;$A97,Equipes!$C$2:$C$60,"&gt;="&amp;$A97)</f>
        <v>12</v>
      </c>
      <c r="G97" s="3" t="n">
        <f aca="false">IF(F97&gt;0,ROUNDUP(F97/Parametres!$B$7,0)+1,0)</f>
        <v>2</v>
      </c>
      <c r="H97" s="3" t="n">
        <f aca="false">SUMIFS(Equipes!$D$2:$D$60,Equipes!$A$2:$A$60,"LOT-04",Equipes!$B$2:$B$60,"&lt;="&amp;$A97,Equipes!$C$2:$C$60,"&gt;="&amp;$A97)</f>
        <v>0</v>
      </c>
      <c r="I97" s="3" t="n">
        <f aca="false">IF(H97&gt;0,ROUNDUP(H97/Parametres!$B$7,0)+1,0)</f>
        <v>0</v>
      </c>
      <c r="J97" s="3" t="n">
        <f aca="false">SUMIFS(Equipes!$D$2:$D$60,Equipes!$A$2:$A$60,"LOT-05",Equipes!$B$2:$B$60,"&lt;="&amp;$A97,Equipes!$C$2:$C$60,"&gt;="&amp;$A97)</f>
        <v>0</v>
      </c>
      <c r="K97" s="3" t="n">
        <f aca="false">IF(J97&gt;0,ROUNDUP(J97/Parametres!$B$7,0)+1,0)</f>
        <v>0</v>
      </c>
      <c r="L97" s="3" t="n">
        <f aca="false">SUMIFS(Equipes!$D$2:$D$60,Equipes!$A$2:$A$60,"LOT-06",Equipes!$B$2:$B$60,"&lt;="&amp;$A97,Equipes!$C$2:$C$60,"&gt;="&amp;$A97)</f>
        <v>0</v>
      </c>
      <c r="M97" s="3" t="n">
        <f aca="false">IF(L97&gt;0,ROUNDUP(L97/Parametres!$B$7,0)+1,0)</f>
        <v>0</v>
      </c>
      <c r="N97" s="3" t="n">
        <f aca="false">SUMIFS(Equipes!$D$2:$D$60,Equipes!$A$2:$A$60,"LOT-07",Equipes!$B$2:$B$60,"&lt;="&amp;$A97,Equipes!$C$2:$C$60,"&gt;="&amp;$A97)</f>
        <v>0</v>
      </c>
      <c r="O97" s="3" t="n">
        <f aca="false">IF(N97&gt;0,ROUNDUP(N97/Parametres!$B$7,0)+1,0)</f>
        <v>0</v>
      </c>
      <c r="P97" s="3" t="n">
        <f aca="false">SUMIFS(Equipes!$D$2:$D$60,Equipes!$A$2:$A$60,"LOT-08",Equipes!$B$2:$B$60,"&lt;="&amp;$A97,Equipes!$C$2:$C$60,"&gt;="&amp;$A97)</f>
        <v>0</v>
      </c>
      <c r="Q97" s="3" t="n">
        <f aca="false">IF(P97&gt;0,ROUNDUP(P97/Parametres!$B$7,0)+1,0)</f>
        <v>0</v>
      </c>
    </row>
    <row r="98" customFormat="false" ht="15" hidden="false" customHeight="false" outlineLevel="0" collapsed="false">
      <c r="A98" s="2" t="n">
        <v>46179</v>
      </c>
      <c r="B98" s="3" t="n">
        <f aca="false">SUMIFS(Equipes!$D$2:$D$60,Equipes!$A$2:$A$60,"LOT-01",Equipes!$B$2:$B$60,"&lt;="&amp;$A98,Equipes!$C$2:$C$60,"&gt;="&amp;$A98)</f>
        <v>0</v>
      </c>
      <c r="C98" s="3" t="n">
        <f aca="false">IF(B98&gt;0,ROUNDUP(B98/Parametres!$B$7,0)+1,0)</f>
        <v>0</v>
      </c>
      <c r="D98" s="3" t="n">
        <f aca="false">SUMIFS(Equipes!$D$2:$D$60,Equipes!$A$2:$A$60,"LOT-02",Equipes!$B$2:$B$60,"&lt;="&amp;$A98,Equipes!$C$2:$C$60,"&gt;="&amp;$A98)</f>
        <v>0</v>
      </c>
      <c r="E98" s="3" t="n">
        <f aca="false">IF(D98&gt;0,ROUNDUP(D98/Parametres!$B$7,0)+1,0)</f>
        <v>0</v>
      </c>
      <c r="F98" s="3" t="n">
        <f aca="false">SUMIFS(Equipes!$D$2:$D$60,Equipes!$A$2:$A$60,"LOT-03",Equipes!$B$2:$B$60,"&lt;="&amp;$A98,Equipes!$C$2:$C$60,"&gt;="&amp;$A98)</f>
        <v>12</v>
      </c>
      <c r="G98" s="3" t="n">
        <f aca="false">IF(F98&gt;0,ROUNDUP(F98/Parametres!$B$7,0)+1,0)</f>
        <v>2</v>
      </c>
      <c r="H98" s="3" t="n">
        <f aca="false">SUMIFS(Equipes!$D$2:$D$60,Equipes!$A$2:$A$60,"LOT-04",Equipes!$B$2:$B$60,"&lt;="&amp;$A98,Equipes!$C$2:$C$60,"&gt;="&amp;$A98)</f>
        <v>0</v>
      </c>
      <c r="I98" s="3" t="n">
        <f aca="false">IF(H98&gt;0,ROUNDUP(H98/Parametres!$B$7,0)+1,0)</f>
        <v>0</v>
      </c>
      <c r="J98" s="3" t="n">
        <f aca="false">SUMIFS(Equipes!$D$2:$D$60,Equipes!$A$2:$A$60,"LOT-05",Equipes!$B$2:$B$60,"&lt;="&amp;$A98,Equipes!$C$2:$C$60,"&gt;="&amp;$A98)</f>
        <v>0</v>
      </c>
      <c r="K98" s="3" t="n">
        <f aca="false">IF(J98&gt;0,ROUNDUP(J98/Parametres!$B$7,0)+1,0)</f>
        <v>0</v>
      </c>
      <c r="L98" s="3" t="n">
        <f aca="false">SUMIFS(Equipes!$D$2:$D$60,Equipes!$A$2:$A$60,"LOT-06",Equipes!$B$2:$B$60,"&lt;="&amp;$A98,Equipes!$C$2:$C$60,"&gt;="&amp;$A98)</f>
        <v>0</v>
      </c>
      <c r="M98" s="3" t="n">
        <f aca="false">IF(L98&gt;0,ROUNDUP(L98/Parametres!$B$7,0)+1,0)</f>
        <v>0</v>
      </c>
      <c r="N98" s="3" t="n">
        <f aca="false">SUMIFS(Equipes!$D$2:$D$60,Equipes!$A$2:$A$60,"LOT-07",Equipes!$B$2:$B$60,"&lt;="&amp;$A98,Equipes!$C$2:$C$60,"&gt;="&amp;$A98)</f>
        <v>0</v>
      </c>
      <c r="O98" s="3" t="n">
        <f aca="false">IF(N98&gt;0,ROUNDUP(N98/Parametres!$B$7,0)+1,0)</f>
        <v>0</v>
      </c>
      <c r="P98" s="3" t="n">
        <f aca="false">SUMIFS(Equipes!$D$2:$D$60,Equipes!$A$2:$A$60,"LOT-08",Equipes!$B$2:$B$60,"&lt;="&amp;$A98,Equipes!$C$2:$C$60,"&gt;="&amp;$A98)</f>
        <v>0</v>
      </c>
      <c r="Q98" s="3" t="n">
        <f aca="false">IF(P98&gt;0,ROUNDUP(P98/Parametres!$B$7,0)+1,0)</f>
        <v>0</v>
      </c>
    </row>
    <row r="99" customFormat="false" ht="15" hidden="false" customHeight="false" outlineLevel="0" collapsed="false">
      <c r="A99" s="2" t="n">
        <v>46180</v>
      </c>
      <c r="B99" s="3" t="n">
        <f aca="false">SUMIFS(Equipes!$D$2:$D$60,Equipes!$A$2:$A$60,"LOT-01",Equipes!$B$2:$B$60,"&lt;="&amp;$A99,Equipes!$C$2:$C$60,"&gt;="&amp;$A99)</f>
        <v>0</v>
      </c>
      <c r="C99" s="3" t="n">
        <f aca="false">IF(B99&gt;0,ROUNDUP(B99/Parametres!$B$7,0)+1,0)</f>
        <v>0</v>
      </c>
      <c r="D99" s="3" t="n">
        <f aca="false">SUMIFS(Equipes!$D$2:$D$60,Equipes!$A$2:$A$60,"LOT-02",Equipes!$B$2:$B$60,"&lt;="&amp;$A99,Equipes!$C$2:$C$60,"&gt;="&amp;$A99)</f>
        <v>0</v>
      </c>
      <c r="E99" s="3" t="n">
        <f aca="false">IF(D99&gt;0,ROUNDUP(D99/Parametres!$B$7,0)+1,0)</f>
        <v>0</v>
      </c>
      <c r="F99" s="3" t="n">
        <f aca="false">SUMIFS(Equipes!$D$2:$D$60,Equipes!$A$2:$A$60,"LOT-03",Equipes!$B$2:$B$60,"&lt;="&amp;$A99,Equipes!$C$2:$C$60,"&gt;="&amp;$A99)</f>
        <v>12</v>
      </c>
      <c r="G99" s="3" t="n">
        <f aca="false">IF(F99&gt;0,ROUNDUP(F99/Parametres!$B$7,0)+1,0)</f>
        <v>2</v>
      </c>
      <c r="H99" s="3" t="n">
        <f aca="false">SUMIFS(Equipes!$D$2:$D$60,Equipes!$A$2:$A$60,"LOT-04",Equipes!$B$2:$B$60,"&lt;="&amp;$A99,Equipes!$C$2:$C$60,"&gt;="&amp;$A99)</f>
        <v>0</v>
      </c>
      <c r="I99" s="3" t="n">
        <f aca="false">IF(H99&gt;0,ROUNDUP(H99/Parametres!$B$7,0)+1,0)</f>
        <v>0</v>
      </c>
      <c r="J99" s="3" t="n">
        <f aca="false">SUMIFS(Equipes!$D$2:$D$60,Equipes!$A$2:$A$60,"LOT-05",Equipes!$B$2:$B$60,"&lt;="&amp;$A99,Equipes!$C$2:$C$60,"&gt;="&amp;$A99)</f>
        <v>0</v>
      </c>
      <c r="K99" s="3" t="n">
        <f aca="false">IF(J99&gt;0,ROUNDUP(J99/Parametres!$B$7,0)+1,0)</f>
        <v>0</v>
      </c>
      <c r="L99" s="3" t="n">
        <f aca="false">SUMIFS(Equipes!$D$2:$D$60,Equipes!$A$2:$A$60,"LOT-06",Equipes!$B$2:$B$60,"&lt;="&amp;$A99,Equipes!$C$2:$C$60,"&gt;="&amp;$A99)</f>
        <v>0</v>
      </c>
      <c r="M99" s="3" t="n">
        <f aca="false">IF(L99&gt;0,ROUNDUP(L99/Parametres!$B$7,0)+1,0)</f>
        <v>0</v>
      </c>
      <c r="N99" s="3" t="n">
        <f aca="false">SUMIFS(Equipes!$D$2:$D$60,Equipes!$A$2:$A$60,"LOT-07",Equipes!$B$2:$B$60,"&lt;="&amp;$A99,Equipes!$C$2:$C$60,"&gt;="&amp;$A99)</f>
        <v>0</v>
      </c>
      <c r="O99" s="3" t="n">
        <f aca="false">IF(N99&gt;0,ROUNDUP(N99/Parametres!$B$7,0)+1,0)</f>
        <v>0</v>
      </c>
      <c r="P99" s="3" t="n">
        <f aca="false">SUMIFS(Equipes!$D$2:$D$60,Equipes!$A$2:$A$60,"LOT-08",Equipes!$B$2:$B$60,"&lt;="&amp;$A99,Equipes!$C$2:$C$60,"&gt;="&amp;$A99)</f>
        <v>0</v>
      </c>
      <c r="Q99" s="3" t="n">
        <f aca="false">IF(P99&gt;0,ROUNDUP(P99/Parametres!$B$7,0)+1,0)</f>
        <v>0</v>
      </c>
    </row>
    <row r="100" customFormat="false" ht="15" hidden="false" customHeight="false" outlineLevel="0" collapsed="false">
      <c r="A100" s="2" t="n">
        <v>46181</v>
      </c>
      <c r="B100" s="3" t="n">
        <f aca="false">SUMIFS(Equipes!$D$2:$D$60,Equipes!$A$2:$A$60,"LOT-01",Equipes!$B$2:$B$60,"&lt;="&amp;$A100,Equipes!$C$2:$C$60,"&gt;="&amp;$A100)</f>
        <v>0</v>
      </c>
      <c r="C100" s="3" t="n">
        <f aca="false">IF(B100&gt;0,ROUNDUP(B100/Parametres!$B$7,0)+1,0)</f>
        <v>0</v>
      </c>
      <c r="D100" s="3" t="n">
        <f aca="false">SUMIFS(Equipes!$D$2:$D$60,Equipes!$A$2:$A$60,"LOT-02",Equipes!$B$2:$B$60,"&lt;="&amp;$A100,Equipes!$C$2:$C$60,"&gt;="&amp;$A100)</f>
        <v>8</v>
      </c>
      <c r="E100" s="3" t="n">
        <f aca="false">IF(D100&gt;0,ROUNDUP(D100/Parametres!$B$7,0)+1,0)</f>
        <v>2</v>
      </c>
      <c r="F100" s="3" t="n">
        <f aca="false">SUMIFS(Equipes!$D$2:$D$60,Equipes!$A$2:$A$60,"LOT-03",Equipes!$B$2:$B$60,"&lt;="&amp;$A100,Equipes!$C$2:$C$60,"&gt;="&amp;$A100)</f>
        <v>0</v>
      </c>
      <c r="G100" s="3" t="n">
        <f aca="false">IF(F100&gt;0,ROUNDUP(F100/Parametres!$B$7,0)+1,0)</f>
        <v>0</v>
      </c>
      <c r="H100" s="3" t="n">
        <f aca="false">SUMIFS(Equipes!$D$2:$D$60,Equipes!$A$2:$A$60,"LOT-04",Equipes!$B$2:$B$60,"&lt;="&amp;$A100,Equipes!$C$2:$C$60,"&gt;="&amp;$A100)</f>
        <v>14</v>
      </c>
      <c r="I100" s="3" t="n">
        <f aca="false">IF(H100&gt;0,ROUNDUP(H100/Parametres!$B$7,0)+1,0)</f>
        <v>3</v>
      </c>
      <c r="J100" s="3" t="n">
        <f aca="false">SUMIFS(Equipes!$D$2:$D$60,Equipes!$A$2:$A$60,"LOT-05",Equipes!$B$2:$B$60,"&lt;="&amp;$A100,Equipes!$C$2:$C$60,"&gt;="&amp;$A100)</f>
        <v>0</v>
      </c>
      <c r="K100" s="3" t="n">
        <f aca="false">IF(J100&gt;0,ROUNDUP(J100/Parametres!$B$7,0)+1,0)</f>
        <v>0</v>
      </c>
      <c r="L100" s="3" t="n">
        <f aca="false">SUMIFS(Equipes!$D$2:$D$60,Equipes!$A$2:$A$60,"LOT-06",Equipes!$B$2:$B$60,"&lt;="&amp;$A100,Equipes!$C$2:$C$60,"&gt;="&amp;$A100)</f>
        <v>0</v>
      </c>
      <c r="M100" s="3" t="n">
        <f aca="false">IF(L100&gt;0,ROUNDUP(L100/Parametres!$B$7,0)+1,0)</f>
        <v>0</v>
      </c>
      <c r="N100" s="3" t="n">
        <f aca="false">SUMIFS(Equipes!$D$2:$D$60,Equipes!$A$2:$A$60,"LOT-07",Equipes!$B$2:$B$60,"&lt;="&amp;$A100,Equipes!$C$2:$C$60,"&gt;="&amp;$A100)</f>
        <v>0</v>
      </c>
      <c r="O100" s="3" t="n">
        <f aca="false">IF(N100&gt;0,ROUNDUP(N100/Parametres!$B$7,0)+1,0)</f>
        <v>0</v>
      </c>
      <c r="P100" s="3" t="n">
        <f aca="false">SUMIFS(Equipes!$D$2:$D$60,Equipes!$A$2:$A$60,"LOT-08",Equipes!$B$2:$B$60,"&lt;="&amp;$A100,Equipes!$C$2:$C$60,"&gt;="&amp;$A100)</f>
        <v>0</v>
      </c>
      <c r="Q100" s="3" t="n">
        <f aca="false">IF(P100&gt;0,ROUNDUP(P100/Parametres!$B$7,0)+1,0)</f>
        <v>0</v>
      </c>
    </row>
    <row r="101" customFormat="false" ht="15" hidden="false" customHeight="false" outlineLevel="0" collapsed="false">
      <c r="A101" s="2" t="n">
        <v>46182</v>
      </c>
      <c r="B101" s="3" t="n">
        <f aca="false">SUMIFS(Equipes!$D$2:$D$60,Equipes!$A$2:$A$60,"LOT-01",Equipes!$B$2:$B$60,"&lt;="&amp;$A101,Equipes!$C$2:$C$60,"&gt;="&amp;$A101)</f>
        <v>0</v>
      </c>
      <c r="C101" s="3" t="n">
        <f aca="false">IF(B101&gt;0,ROUNDUP(B101/Parametres!$B$7,0)+1,0)</f>
        <v>0</v>
      </c>
      <c r="D101" s="3" t="n">
        <f aca="false">SUMIFS(Equipes!$D$2:$D$60,Equipes!$A$2:$A$60,"LOT-02",Equipes!$B$2:$B$60,"&lt;="&amp;$A101,Equipes!$C$2:$C$60,"&gt;="&amp;$A101)</f>
        <v>8</v>
      </c>
      <c r="E101" s="3" t="n">
        <f aca="false">IF(D101&gt;0,ROUNDUP(D101/Parametres!$B$7,0)+1,0)</f>
        <v>2</v>
      </c>
      <c r="F101" s="3" t="n">
        <f aca="false">SUMIFS(Equipes!$D$2:$D$60,Equipes!$A$2:$A$60,"LOT-03",Equipes!$B$2:$B$60,"&lt;="&amp;$A101,Equipes!$C$2:$C$60,"&gt;="&amp;$A101)</f>
        <v>0</v>
      </c>
      <c r="G101" s="3" t="n">
        <f aca="false">IF(F101&gt;0,ROUNDUP(F101/Parametres!$B$7,0)+1,0)</f>
        <v>0</v>
      </c>
      <c r="H101" s="3" t="n">
        <f aca="false">SUMIFS(Equipes!$D$2:$D$60,Equipes!$A$2:$A$60,"LOT-04",Equipes!$B$2:$B$60,"&lt;="&amp;$A101,Equipes!$C$2:$C$60,"&gt;="&amp;$A101)</f>
        <v>14</v>
      </c>
      <c r="I101" s="3" t="n">
        <f aca="false">IF(H101&gt;0,ROUNDUP(H101/Parametres!$B$7,0)+1,0)</f>
        <v>3</v>
      </c>
      <c r="J101" s="3" t="n">
        <f aca="false">SUMIFS(Equipes!$D$2:$D$60,Equipes!$A$2:$A$60,"LOT-05",Equipes!$B$2:$B$60,"&lt;="&amp;$A101,Equipes!$C$2:$C$60,"&gt;="&amp;$A101)</f>
        <v>0</v>
      </c>
      <c r="K101" s="3" t="n">
        <f aca="false">IF(J101&gt;0,ROUNDUP(J101/Parametres!$B$7,0)+1,0)</f>
        <v>0</v>
      </c>
      <c r="L101" s="3" t="n">
        <f aca="false">SUMIFS(Equipes!$D$2:$D$60,Equipes!$A$2:$A$60,"LOT-06",Equipes!$B$2:$B$60,"&lt;="&amp;$A101,Equipes!$C$2:$C$60,"&gt;="&amp;$A101)</f>
        <v>0</v>
      </c>
      <c r="M101" s="3" t="n">
        <f aca="false">IF(L101&gt;0,ROUNDUP(L101/Parametres!$B$7,0)+1,0)</f>
        <v>0</v>
      </c>
      <c r="N101" s="3" t="n">
        <f aca="false">SUMIFS(Equipes!$D$2:$D$60,Equipes!$A$2:$A$60,"LOT-07",Equipes!$B$2:$B$60,"&lt;="&amp;$A101,Equipes!$C$2:$C$60,"&gt;="&amp;$A101)</f>
        <v>0</v>
      </c>
      <c r="O101" s="3" t="n">
        <f aca="false">IF(N101&gt;0,ROUNDUP(N101/Parametres!$B$7,0)+1,0)</f>
        <v>0</v>
      </c>
      <c r="P101" s="3" t="n">
        <f aca="false">SUMIFS(Equipes!$D$2:$D$60,Equipes!$A$2:$A$60,"LOT-08",Equipes!$B$2:$B$60,"&lt;="&amp;$A101,Equipes!$C$2:$C$60,"&gt;="&amp;$A101)</f>
        <v>0</v>
      </c>
      <c r="Q101" s="3" t="n">
        <f aca="false">IF(P101&gt;0,ROUNDUP(P101/Parametres!$B$7,0)+1,0)</f>
        <v>0</v>
      </c>
    </row>
    <row r="102" customFormat="false" ht="15" hidden="false" customHeight="false" outlineLevel="0" collapsed="false">
      <c r="A102" s="2" t="n">
        <v>46183</v>
      </c>
      <c r="B102" s="3" t="n">
        <f aca="false">SUMIFS(Equipes!$D$2:$D$60,Equipes!$A$2:$A$60,"LOT-01",Equipes!$B$2:$B$60,"&lt;="&amp;$A102,Equipes!$C$2:$C$60,"&gt;="&amp;$A102)</f>
        <v>0</v>
      </c>
      <c r="C102" s="3" t="n">
        <f aca="false">IF(B102&gt;0,ROUNDUP(B102/Parametres!$B$7,0)+1,0)</f>
        <v>0</v>
      </c>
      <c r="D102" s="3" t="n">
        <f aca="false">SUMIFS(Equipes!$D$2:$D$60,Equipes!$A$2:$A$60,"LOT-02",Equipes!$B$2:$B$60,"&lt;="&amp;$A102,Equipes!$C$2:$C$60,"&gt;="&amp;$A102)</f>
        <v>8</v>
      </c>
      <c r="E102" s="3" t="n">
        <f aca="false">IF(D102&gt;0,ROUNDUP(D102/Parametres!$B$7,0)+1,0)</f>
        <v>2</v>
      </c>
      <c r="F102" s="3" t="n">
        <f aca="false">SUMIFS(Equipes!$D$2:$D$60,Equipes!$A$2:$A$60,"LOT-03",Equipes!$B$2:$B$60,"&lt;="&amp;$A102,Equipes!$C$2:$C$60,"&gt;="&amp;$A102)</f>
        <v>0</v>
      </c>
      <c r="G102" s="3" t="n">
        <f aca="false">IF(F102&gt;0,ROUNDUP(F102/Parametres!$B$7,0)+1,0)</f>
        <v>0</v>
      </c>
      <c r="H102" s="3" t="n">
        <f aca="false">SUMIFS(Equipes!$D$2:$D$60,Equipes!$A$2:$A$60,"LOT-04",Equipes!$B$2:$B$60,"&lt;="&amp;$A102,Equipes!$C$2:$C$60,"&gt;="&amp;$A102)</f>
        <v>14</v>
      </c>
      <c r="I102" s="3" t="n">
        <f aca="false">IF(H102&gt;0,ROUNDUP(H102/Parametres!$B$7,0)+1,0)</f>
        <v>3</v>
      </c>
      <c r="J102" s="3" t="n">
        <f aca="false">SUMIFS(Equipes!$D$2:$D$60,Equipes!$A$2:$A$60,"LOT-05",Equipes!$B$2:$B$60,"&lt;="&amp;$A102,Equipes!$C$2:$C$60,"&gt;="&amp;$A102)</f>
        <v>0</v>
      </c>
      <c r="K102" s="3" t="n">
        <f aca="false">IF(J102&gt;0,ROUNDUP(J102/Parametres!$B$7,0)+1,0)</f>
        <v>0</v>
      </c>
      <c r="L102" s="3" t="n">
        <f aca="false">SUMIFS(Equipes!$D$2:$D$60,Equipes!$A$2:$A$60,"LOT-06",Equipes!$B$2:$B$60,"&lt;="&amp;$A102,Equipes!$C$2:$C$60,"&gt;="&amp;$A102)</f>
        <v>0</v>
      </c>
      <c r="M102" s="3" t="n">
        <f aca="false">IF(L102&gt;0,ROUNDUP(L102/Parametres!$B$7,0)+1,0)</f>
        <v>0</v>
      </c>
      <c r="N102" s="3" t="n">
        <f aca="false">SUMIFS(Equipes!$D$2:$D$60,Equipes!$A$2:$A$60,"LOT-07",Equipes!$B$2:$B$60,"&lt;="&amp;$A102,Equipes!$C$2:$C$60,"&gt;="&amp;$A102)</f>
        <v>0</v>
      </c>
      <c r="O102" s="3" t="n">
        <f aca="false">IF(N102&gt;0,ROUNDUP(N102/Parametres!$B$7,0)+1,0)</f>
        <v>0</v>
      </c>
      <c r="P102" s="3" t="n">
        <f aca="false">SUMIFS(Equipes!$D$2:$D$60,Equipes!$A$2:$A$60,"LOT-08",Equipes!$B$2:$B$60,"&lt;="&amp;$A102,Equipes!$C$2:$C$60,"&gt;="&amp;$A102)</f>
        <v>0</v>
      </c>
      <c r="Q102" s="3" t="n">
        <f aca="false">IF(P102&gt;0,ROUNDUP(P102/Parametres!$B$7,0)+1,0)</f>
        <v>0</v>
      </c>
    </row>
    <row r="103" customFormat="false" ht="15" hidden="false" customHeight="false" outlineLevel="0" collapsed="false">
      <c r="A103" s="2" t="n">
        <v>46184</v>
      </c>
      <c r="B103" s="3" t="n">
        <f aca="false">SUMIFS(Equipes!$D$2:$D$60,Equipes!$A$2:$A$60,"LOT-01",Equipes!$B$2:$B$60,"&lt;="&amp;$A103,Equipes!$C$2:$C$60,"&gt;="&amp;$A103)</f>
        <v>0</v>
      </c>
      <c r="C103" s="3" t="n">
        <f aca="false">IF(B103&gt;0,ROUNDUP(B103/Parametres!$B$7,0)+1,0)</f>
        <v>0</v>
      </c>
      <c r="D103" s="3" t="n">
        <f aca="false">SUMIFS(Equipes!$D$2:$D$60,Equipes!$A$2:$A$60,"LOT-02",Equipes!$B$2:$B$60,"&lt;="&amp;$A103,Equipes!$C$2:$C$60,"&gt;="&amp;$A103)</f>
        <v>8</v>
      </c>
      <c r="E103" s="3" t="n">
        <f aca="false">IF(D103&gt;0,ROUNDUP(D103/Parametres!$B$7,0)+1,0)</f>
        <v>2</v>
      </c>
      <c r="F103" s="3" t="n">
        <f aca="false">SUMIFS(Equipes!$D$2:$D$60,Equipes!$A$2:$A$60,"LOT-03",Equipes!$B$2:$B$60,"&lt;="&amp;$A103,Equipes!$C$2:$C$60,"&gt;="&amp;$A103)</f>
        <v>0</v>
      </c>
      <c r="G103" s="3" t="n">
        <f aca="false">IF(F103&gt;0,ROUNDUP(F103/Parametres!$B$7,0)+1,0)</f>
        <v>0</v>
      </c>
      <c r="H103" s="3" t="n">
        <f aca="false">SUMIFS(Equipes!$D$2:$D$60,Equipes!$A$2:$A$60,"LOT-04",Equipes!$B$2:$B$60,"&lt;="&amp;$A103,Equipes!$C$2:$C$60,"&gt;="&amp;$A103)</f>
        <v>14</v>
      </c>
      <c r="I103" s="3" t="n">
        <f aca="false">IF(H103&gt;0,ROUNDUP(H103/Parametres!$B$7,0)+1,0)</f>
        <v>3</v>
      </c>
      <c r="J103" s="3" t="n">
        <f aca="false">SUMIFS(Equipes!$D$2:$D$60,Equipes!$A$2:$A$60,"LOT-05",Equipes!$B$2:$B$60,"&lt;="&amp;$A103,Equipes!$C$2:$C$60,"&gt;="&amp;$A103)</f>
        <v>0</v>
      </c>
      <c r="K103" s="3" t="n">
        <f aca="false">IF(J103&gt;0,ROUNDUP(J103/Parametres!$B$7,0)+1,0)</f>
        <v>0</v>
      </c>
      <c r="L103" s="3" t="n">
        <f aca="false">SUMIFS(Equipes!$D$2:$D$60,Equipes!$A$2:$A$60,"LOT-06",Equipes!$B$2:$B$60,"&lt;="&amp;$A103,Equipes!$C$2:$C$60,"&gt;="&amp;$A103)</f>
        <v>0</v>
      </c>
      <c r="M103" s="3" t="n">
        <f aca="false">IF(L103&gt;0,ROUNDUP(L103/Parametres!$B$7,0)+1,0)</f>
        <v>0</v>
      </c>
      <c r="N103" s="3" t="n">
        <f aca="false">SUMIFS(Equipes!$D$2:$D$60,Equipes!$A$2:$A$60,"LOT-07",Equipes!$B$2:$B$60,"&lt;="&amp;$A103,Equipes!$C$2:$C$60,"&gt;="&amp;$A103)</f>
        <v>0</v>
      </c>
      <c r="O103" s="3" t="n">
        <f aca="false">IF(N103&gt;0,ROUNDUP(N103/Parametres!$B$7,0)+1,0)</f>
        <v>0</v>
      </c>
      <c r="P103" s="3" t="n">
        <f aca="false">SUMIFS(Equipes!$D$2:$D$60,Equipes!$A$2:$A$60,"LOT-08",Equipes!$B$2:$B$60,"&lt;="&amp;$A103,Equipes!$C$2:$C$60,"&gt;="&amp;$A103)</f>
        <v>0</v>
      </c>
      <c r="Q103" s="3" t="n">
        <f aca="false">IF(P103&gt;0,ROUNDUP(P103/Parametres!$B$7,0)+1,0)</f>
        <v>0</v>
      </c>
    </row>
    <row r="104" customFormat="false" ht="15" hidden="false" customHeight="false" outlineLevel="0" collapsed="false">
      <c r="A104" s="2" t="n">
        <v>46185</v>
      </c>
      <c r="B104" s="3" t="n">
        <f aca="false">SUMIFS(Equipes!$D$2:$D$60,Equipes!$A$2:$A$60,"LOT-01",Equipes!$B$2:$B$60,"&lt;="&amp;$A104,Equipes!$C$2:$C$60,"&gt;="&amp;$A104)</f>
        <v>0</v>
      </c>
      <c r="C104" s="3" t="n">
        <f aca="false">IF(B104&gt;0,ROUNDUP(B104/Parametres!$B$7,0)+1,0)</f>
        <v>0</v>
      </c>
      <c r="D104" s="3" t="n">
        <f aca="false">SUMIFS(Equipes!$D$2:$D$60,Equipes!$A$2:$A$60,"LOT-02",Equipes!$B$2:$B$60,"&lt;="&amp;$A104,Equipes!$C$2:$C$60,"&gt;="&amp;$A104)</f>
        <v>8</v>
      </c>
      <c r="E104" s="3" t="n">
        <f aca="false">IF(D104&gt;0,ROUNDUP(D104/Parametres!$B$7,0)+1,0)</f>
        <v>2</v>
      </c>
      <c r="F104" s="3" t="n">
        <f aca="false">SUMIFS(Equipes!$D$2:$D$60,Equipes!$A$2:$A$60,"LOT-03",Equipes!$B$2:$B$60,"&lt;="&amp;$A104,Equipes!$C$2:$C$60,"&gt;="&amp;$A104)</f>
        <v>0</v>
      </c>
      <c r="G104" s="3" t="n">
        <f aca="false">IF(F104&gt;0,ROUNDUP(F104/Parametres!$B$7,0)+1,0)</f>
        <v>0</v>
      </c>
      <c r="H104" s="3" t="n">
        <f aca="false">SUMIFS(Equipes!$D$2:$D$60,Equipes!$A$2:$A$60,"LOT-04",Equipes!$B$2:$B$60,"&lt;="&amp;$A104,Equipes!$C$2:$C$60,"&gt;="&amp;$A104)</f>
        <v>28</v>
      </c>
      <c r="I104" s="3" t="n">
        <f aca="false">IF(H104&gt;0,ROUNDUP(H104/Parametres!$B$7,0)+1,0)</f>
        <v>4</v>
      </c>
      <c r="J104" s="3" t="n">
        <f aca="false">SUMIFS(Equipes!$D$2:$D$60,Equipes!$A$2:$A$60,"LOT-05",Equipes!$B$2:$B$60,"&lt;="&amp;$A104,Equipes!$C$2:$C$60,"&gt;="&amp;$A104)</f>
        <v>0</v>
      </c>
      <c r="K104" s="3" t="n">
        <f aca="false">IF(J104&gt;0,ROUNDUP(J104/Parametres!$B$7,0)+1,0)</f>
        <v>0</v>
      </c>
      <c r="L104" s="3" t="n">
        <f aca="false">SUMIFS(Equipes!$D$2:$D$60,Equipes!$A$2:$A$60,"LOT-06",Equipes!$B$2:$B$60,"&lt;="&amp;$A104,Equipes!$C$2:$C$60,"&gt;="&amp;$A104)</f>
        <v>0</v>
      </c>
      <c r="M104" s="3" t="n">
        <f aca="false">IF(L104&gt;0,ROUNDUP(L104/Parametres!$B$7,0)+1,0)</f>
        <v>0</v>
      </c>
      <c r="N104" s="3" t="n">
        <f aca="false">SUMIFS(Equipes!$D$2:$D$60,Equipes!$A$2:$A$60,"LOT-07",Equipes!$B$2:$B$60,"&lt;="&amp;$A104,Equipes!$C$2:$C$60,"&gt;="&amp;$A104)</f>
        <v>0</v>
      </c>
      <c r="O104" s="3" t="n">
        <f aca="false">IF(N104&gt;0,ROUNDUP(N104/Parametres!$B$7,0)+1,0)</f>
        <v>0</v>
      </c>
      <c r="P104" s="3" t="n">
        <f aca="false">SUMIFS(Equipes!$D$2:$D$60,Equipes!$A$2:$A$60,"LOT-08",Equipes!$B$2:$B$60,"&lt;="&amp;$A104,Equipes!$C$2:$C$60,"&gt;="&amp;$A104)</f>
        <v>0</v>
      </c>
      <c r="Q104" s="3" t="n">
        <f aca="false">IF(P104&gt;0,ROUNDUP(P104/Parametres!$B$7,0)+1,0)</f>
        <v>0</v>
      </c>
    </row>
    <row r="105" customFormat="false" ht="15" hidden="false" customHeight="false" outlineLevel="0" collapsed="false">
      <c r="A105" s="2" t="n">
        <v>46186</v>
      </c>
      <c r="B105" s="3" t="n">
        <f aca="false">SUMIFS(Equipes!$D$2:$D$60,Equipes!$A$2:$A$60,"LOT-01",Equipes!$B$2:$B$60,"&lt;="&amp;$A105,Equipes!$C$2:$C$60,"&gt;="&amp;$A105)</f>
        <v>0</v>
      </c>
      <c r="C105" s="3" t="n">
        <f aca="false">IF(B105&gt;0,ROUNDUP(B105/Parametres!$B$7,0)+1,0)</f>
        <v>0</v>
      </c>
      <c r="D105" s="3" t="n">
        <f aca="false">SUMIFS(Equipes!$D$2:$D$60,Equipes!$A$2:$A$60,"LOT-02",Equipes!$B$2:$B$60,"&lt;="&amp;$A105,Equipes!$C$2:$C$60,"&gt;="&amp;$A105)</f>
        <v>8</v>
      </c>
      <c r="E105" s="3" t="n">
        <f aca="false">IF(D105&gt;0,ROUNDUP(D105/Parametres!$B$7,0)+1,0)</f>
        <v>2</v>
      </c>
      <c r="F105" s="3" t="n">
        <f aca="false">SUMIFS(Equipes!$D$2:$D$60,Equipes!$A$2:$A$60,"LOT-03",Equipes!$B$2:$B$60,"&lt;="&amp;$A105,Equipes!$C$2:$C$60,"&gt;="&amp;$A105)</f>
        <v>0</v>
      </c>
      <c r="G105" s="3" t="n">
        <f aca="false">IF(F105&gt;0,ROUNDUP(F105/Parametres!$B$7,0)+1,0)</f>
        <v>0</v>
      </c>
      <c r="H105" s="3" t="n">
        <f aca="false">SUMIFS(Equipes!$D$2:$D$60,Equipes!$A$2:$A$60,"LOT-04",Equipes!$B$2:$B$60,"&lt;="&amp;$A105,Equipes!$C$2:$C$60,"&gt;="&amp;$A105)</f>
        <v>28</v>
      </c>
      <c r="I105" s="3" t="n">
        <f aca="false">IF(H105&gt;0,ROUNDUP(H105/Parametres!$B$7,0)+1,0)</f>
        <v>4</v>
      </c>
      <c r="J105" s="3" t="n">
        <f aca="false">SUMIFS(Equipes!$D$2:$D$60,Equipes!$A$2:$A$60,"LOT-05",Equipes!$B$2:$B$60,"&lt;="&amp;$A105,Equipes!$C$2:$C$60,"&gt;="&amp;$A105)</f>
        <v>0</v>
      </c>
      <c r="K105" s="3" t="n">
        <f aca="false">IF(J105&gt;0,ROUNDUP(J105/Parametres!$B$7,0)+1,0)</f>
        <v>0</v>
      </c>
      <c r="L105" s="3" t="n">
        <f aca="false">SUMIFS(Equipes!$D$2:$D$60,Equipes!$A$2:$A$60,"LOT-06",Equipes!$B$2:$B$60,"&lt;="&amp;$A105,Equipes!$C$2:$C$60,"&gt;="&amp;$A105)</f>
        <v>0</v>
      </c>
      <c r="M105" s="3" t="n">
        <f aca="false">IF(L105&gt;0,ROUNDUP(L105/Parametres!$B$7,0)+1,0)</f>
        <v>0</v>
      </c>
      <c r="N105" s="3" t="n">
        <f aca="false">SUMIFS(Equipes!$D$2:$D$60,Equipes!$A$2:$A$60,"LOT-07",Equipes!$B$2:$B$60,"&lt;="&amp;$A105,Equipes!$C$2:$C$60,"&gt;="&amp;$A105)</f>
        <v>0</v>
      </c>
      <c r="O105" s="3" t="n">
        <f aca="false">IF(N105&gt;0,ROUNDUP(N105/Parametres!$B$7,0)+1,0)</f>
        <v>0</v>
      </c>
      <c r="P105" s="3" t="n">
        <f aca="false">SUMIFS(Equipes!$D$2:$D$60,Equipes!$A$2:$A$60,"LOT-08",Equipes!$B$2:$B$60,"&lt;="&amp;$A105,Equipes!$C$2:$C$60,"&gt;="&amp;$A105)</f>
        <v>0</v>
      </c>
      <c r="Q105" s="3" t="n">
        <f aca="false">IF(P105&gt;0,ROUNDUP(P105/Parametres!$B$7,0)+1,0)</f>
        <v>0</v>
      </c>
    </row>
    <row r="106" customFormat="false" ht="15" hidden="false" customHeight="false" outlineLevel="0" collapsed="false">
      <c r="A106" s="2" t="n">
        <v>46187</v>
      </c>
      <c r="B106" s="3" t="n">
        <f aca="false">SUMIFS(Equipes!$D$2:$D$60,Equipes!$A$2:$A$60,"LOT-01",Equipes!$B$2:$B$60,"&lt;="&amp;$A106,Equipes!$C$2:$C$60,"&gt;="&amp;$A106)</f>
        <v>0</v>
      </c>
      <c r="C106" s="3" t="n">
        <f aca="false">IF(B106&gt;0,ROUNDUP(B106/Parametres!$B$7,0)+1,0)</f>
        <v>0</v>
      </c>
      <c r="D106" s="3" t="n">
        <f aca="false">SUMIFS(Equipes!$D$2:$D$60,Equipes!$A$2:$A$60,"LOT-02",Equipes!$B$2:$B$60,"&lt;="&amp;$A106,Equipes!$C$2:$C$60,"&gt;="&amp;$A106)</f>
        <v>8</v>
      </c>
      <c r="E106" s="3" t="n">
        <f aca="false">IF(D106&gt;0,ROUNDUP(D106/Parametres!$B$7,0)+1,0)</f>
        <v>2</v>
      </c>
      <c r="F106" s="3" t="n">
        <f aca="false">SUMIFS(Equipes!$D$2:$D$60,Equipes!$A$2:$A$60,"LOT-03",Equipes!$B$2:$B$60,"&lt;="&amp;$A106,Equipes!$C$2:$C$60,"&gt;="&amp;$A106)</f>
        <v>0</v>
      </c>
      <c r="G106" s="3" t="n">
        <f aca="false">IF(F106&gt;0,ROUNDUP(F106/Parametres!$B$7,0)+1,0)</f>
        <v>0</v>
      </c>
      <c r="H106" s="3" t="n">
        <f aca="false">SUMIFS(Equipes!$D$2:$D$60,Equipes!$A$2:$A$60,"LOT-04",Equipes!$B$2:$B$60,"&lt;="&amp;$A106,Equipes!$C$2:$C$60,"&gt;="&amp;$A106)</f>
        <v>28</v>
      </c>
      <c r="I106" s="3" t="n">
        <f aca="false">IF(H106&gt;0,ROUNDUP(H106/Parametres!$B$7,0)+1,0)</f>
        <v>4</v>
      </c>
      <c r="J106" s="3" t="n">
        <f aca="false">SUMIFS(Equipes!$D$2:$D$60,Equipes!$A$2:$A$60,"LOT-05",Equipes!$B$2:$B$60,"&lt;="&amp;$A106,Equipes!$C$2:$C$60,"&gt;="&amp;$A106)</f>
        <v>0</v>
      </c>
      <c r="K106" s="3" t="n">
        <f aca="false">IF(J106&gt;0,ROUNDUP(J106/Parametres!$B$7,0)+1,0)</f>
        <v>0</v>
      </c>
      <c r="L106" s="3" t="n">
        <f aca="false">SUMIFS(Equipes!$D$2:$D$60,Equipes!$A$2:$A$60,"LOT-06",Equipes!$B$2:$B$60,"&lt;="&amp;$A106,Equipes!$C$2:$C$60,"&gt;="&amp;$A106)</f>
        <v>0</v>
      </c>
      <c r="M106" s="3" t="n">
        <f aca="false">IF(L106&gt;0,ROUNDUP(L106/Parametres!$B$7,0)+1,0)</f>
        <v>0</v>
      </c>
      <c r="N106" s="3" t="n">
        <f aca="false">SUMIFS(Equipes!$D$2:$D$60,Equipes!$A$2:$A$60,"LOT-07",Equipes!$B$2:$B$60,"&lt;="&amp;$A106,Equipes!$C$2:$C$60,"&gt;="&amp;$A106)</f>
        <v>0</v>
      </c>
      <c r="O106" s="3" t="n">
        <f aca="false">IF(N106&gt;0,ROUNDUP(N106/Parametres!$B$7,0)+1,0)</f>
        <v>0</v>
      </c>
      <c r="P106" s="3" t="n">
        <f aca="false">SUMIFS(Equipes!$D$2:$D$60,Equipes!$A$2:$A$60,"LOT-08",Equipes!$B$2:$B$60,"&lt;="&amp;$A106,Equipes!$C$2:$C$60,"&gt;="&amp;$A106)</f>
        <v>0</v>
      </c>
      <c r="Q106" s="3" t="n">
        <f aca="false">IF(P106&gt;0,ROUNDUP(P106/Parametres!$B$7,0)+1,0)</f>
        <v>0</v>
      </c>
    </row>
    <row r="107" customFormat="false" ht="15" hidden="false" customHeight="false" outlineLevel="0" collapsed="false">
      <c r="A107" s="2" t="n">
        <v>46188</v>
      </c>
      <c r="B107" s="3" t="n">
        <f aca="false">SUMIFS(Equipes!$D$2:$D$60,Equipes!$A$2:$A$60,"LOT-01",Equipes!$B$2:$B$60,"&lt;="&amp;$A107,Equipes!$C$2:$C$60,"&gt;="&amp;$A107)</f>
        <v>0</v>
      </c>
      <c r="C107" s="3" t="n">
        <f aca="false">IF(B107&gt;0,ROUNDUP(B107/Parametres!$B$7,0)+1,0)</f>
        <v>0</v>
      </c>
      <c r="D107" s="3" t="n">
        <f aca="false">SUMIFS(Equipes!$D$2:$D$60,Equipes!$A$2:$A$60,"LOT-02",Equipes!$B$2:$B$60,"&lt;="&amp;$A107,Equipes!$C$2:$C$60,"&gt;="&amp;$A107)</f>
        <v>8</v>
      </c>
      <c r="E107" s="3" t="n">
        <f aca="false">IF(D107&gt;0,ROUNDUP(D107/Parametres!$B$7,0)+1,0)</f>
        <v>2</v>
      </c>
      <c r="F107" s="3" t="n">
        <f aca="false">SUMIFS(Equipes!$D$2:$D$60,Equipes!$A$2:$A$60,"LOT-03",Equipes!$B$2:$B$60,"&lt;="&amp;$A107,Equipes!$C$2:$C$60,"&gt;="&amp;$A107)</f>
        <v>0</v>
      </c>
      <c r="G107" s="3" t="n">
        <f aca="false">IF(F107&gt;0,ROUNDUP(F107/Parametres!$B$7,0)+1,0)</f>
        <v>0</v>
      </c>
      <c r="H107" s="3" t="n">
        <f aca="false">SUMIFS(Equipes!$D$2:$D$60,Equipes!$A$2:$A$60,"LOT-04",Equipes!$B$2:$B$60,"&lt;="&amp;$A107,Equipes!$C$2:$C$60,"&gt;="&amp;$A107)</f>
        <v>28</v>
      </c>
      <c r="I107" s="3" t="n">
        <f aca="false">IF(H107&gt;0,ROUNDUP(H107/Parametres!$B$7,0)+1,0)</f>
        <v>4</v>
      </c>
      <c r="J107" s="3" t="n">
        <f aca="false">SUMIFS(Equipes!$D$2:$D$60,Equipes!$A$2:$A$60,"LOT-05",Equipes!$B$2:$B$60,"&lt;="&amp;$A107,Equipes!$C$2:$C$60,"&gt;="&amp;$A107)</f>
        <v>0</v>
      </c>
      <c r="K107" s="3" t="n">
        <f aca="false">IF(J107&gt;0,ROUNDUP(J107/Parametres!$B$7,0)+1,0)</f>
        <v>0</v>
      </c>
      <c r="L107" s="3" t="n">
        <f aca="false">SUMIFS(Equipes!$D$2:$D$60,Equipes!$A$2:$A$60,"LOT-06",Equipes!$B$2:$B$60,"&lt;="&amp;$A107,Equipes!$C$2:$C$60,"&gt;="&amp;$A107)</f>
        <v>0</v>
      </c>
      <c r="M107" s="3" t="n">
        <f aca="false">IF(L107&gt;0,ROUNDUP(L107/Parametres!$B$7,0)+1,0)</f>
        <v>0</v>
      </c>
      <c r="N107" s="3" t="n">
        <f aca="false">SUMIFS(Equipes!$D$2:$D$60,Equipes!$A$2:$A$60,"LOT-07",Equipes!$B$2:$B$60,"&lt;="&amp;$A107,Equipes!$C$2:$C$60,"&gt;="&amp;$A107)</f>
        <v>0</v>
      </c>
      <c r="O107" s="3" t="n">
        <f aca="false">IF(N107&gt;0,ROUNDUP(N107/Parametres!$B$7,0)+1,0)</f>
        <v>0</v>
      </c>
      <c r="P107" s="3" t="n">
        <f aca="false">SUMIFS(Equipes!$D$2:$D$60,Equipes!$A$2:$A$60,"LOT-08",Equipes!$B$2:$B$60,"&lt;="&amp;$A107,Equipes!$C$2:$C$60,"&gt;="&amp;$A107)</f>
        <v>0</v>
      </c>
      <c r="Q107" s="3" t="n">
        <f aca="false">IF(P107&gt;0,ROUNDUP(P107/Parametres!$B$7,0)+1,0)</f>
        <v>0</v>
      </c>
    </row>
    <row r="108" customFormat="false" ht="15" hidden="false" customHeight="false" outlineLevel="0" collapsed="false">
      <c r="A108" s="2" t="n">
        <v>46189</v>
      </c>
      <c r="B108" s="3" t="n">
        <f aca="false">SUMIFS(Equipes!$D$2:$D$60,Equipes!$A$2:$A$60,"LOT-01",Equipes!$B$2:$B$60,"&lt;="&amp;$A108,Equipes!$C$2:$C$60,"&gt;="&amp;$A108)</f>
        <v>0</v>
      </c>
      <c r="C108" s="3" t="n">
        <f aca="false">IF(B108&gt;0,ROUNDUP(B108/Parametres!$B$7,0)+1,0)</f>
        <v>0</v>
      </c>
      <c r="D108" s="3" t="n">
        <f aca="false">SUMIFS(Equipes!$D$2:$D$60,Equipes!$A$2:$A$60,"LOT-02",Equipes!$B$2:$B$60,"&lt;="&amp;$A108,Equipes!$C$2:$C$60,"&gt;="&amp;$A108)</f>
        <v>8</v>
      </c>
      <c r="E108" s="3" t="n">
        <f aca="false">IF(D108&gt;0,ROUNDUP(D108/Parametres!$B$7,0)+1,0)</f>
        <v>2</v>
      </c>
      <c r="F108" s="3" t="n">
        <f aca="false">SUMIFS(Equipes!$D$2:$D$60,Equipes!$A$2:$A$60,"LOT-03",Equipes!$B$2:$B$60,"&lt;="&amp;$A108,Equipes!$C$2:$C$60,"&gt;="&amp;$A108)</f>
        <v>0</v>
      </c>
      <c r="G108" s="3" t="n">
        <f aca="false">IF(F108&gt;0,ROUNDUP(F108/Parametres!$B$7,0)+1,0)</f>
        <v>0</v>
      </c>
      <c r="H108" s="3" t="n">
        <f aca="false">SUMIFS(Equipes!$D$2:$D$60,Equipes!$A$2:$A$60,"LOT-04",Equipes!$B$2:$B$60,"&lt;="&amp;$A108,Equipes!$C$2:$C$60,"&gt;="&amp;$A108)</f>
        <v>28</v>
      </c>
      <c r="I108" s="3" t="n">
        <f aca="false">IF(H108&gt;0,ROUNDUP(H108/Parametres!$B$7,0)+1,0)</f>
        <v>4</v>
      </c>
      <c r="J108" s="3" t="n">
        <f aca="false">SUMIFS(Equipes!$D$2:$D$60,Equipes!$A$2:$A$60,"LOT-05",Equipes!$B$2:$B$60,"&lt;="&amp;$A108,Equipes!$C$2:$C$60,"&gt;="&amp;$A108)</f>
        <v>0</v>
      </c>
      <c r="K108" s="3" t="n">
        <f aca="false">IF(J108&gt;0,ROUNDUP(J108/Parametres!$B$7,0)+1,0)</f>
        <v>0</v>
      </c>
      <c r="L108" s="3" t="n">
        <f aca="false">SUMIFS(Equipes!$D$2:$D$60,Equipes!$A$2:$A$60,"LOT-06",Equipes!$B$2:$B$60,"&lt;="&amp;$A108,Equipes!$C$2:$C$60,"&gt;="&amp;$A108)</f>
        <v>0</v>
      </c>
      <c r="M108" s="3" t="n">
        <f aca="false">IF(L108&gt;0,ROUNDUP(L108/Parametres!$B$7,0)+1,0)</f>
        <v>0</v>
      </c>
      <c r="N108" s="3" t="n">
        <f aca="false">SUMIFS(Equipes!$D$2:$D$60,Equipes!$A$2:$A$60,"LOT-07",Equipes!$B$2:$B$60,"&lt;="&amp;$A108,Equipes!$C$2:$C$60,"&gt;="&amp;$A108)</f>
        <v>0</v>
      </c>
      <c r="O108" s="3" t="n">
        <f aca="false">IF(N108&gt;0,ROUNDUP(N108/Parametres!$B$7,0)+1,0)</f>
        <v>0</v>
      </c>
      <c r="P108" s="3" t="n">
        <f aca="false">SUMIFS(Equipes!$D$2:$D$60,Equipes!$A$2:$A$60,"LOT-08",Equipes!$B$2:$B$60,"&lt;="&amp;$A108,Equipes!$C$2:$C$60,"&gt;="&amp;$A108)</f>
        <v>0</v>
      </c>
      <c r="Q108" s="3" t="n">
        <f aca="false">IF(P108&gt;0,ROUNDUP(P108/Parametres!$B$7,0)+1,0)</f>
        <v>0</v>
      </c>
    </row>
    <row r="109" customFormat="false" ht="15" hidden="false" customHeight="false" outlineLevel="0" collapsed="false">
      <c r="A109" s="2" t="n">
        <v>46190</v>
      </c>
      <c r="B109" s="3" t="n">
        <f aca="false">SUMIFS(Equipes!$D$2:$D$60,Equipes!$A$2:$A$60,"LOT-01",Equipes!$B$2:$B$60,"&lt;="&amp;$A109,Equipes!$C$2:$C$60,"&gt;="&amp;$A109)</f>
        <v>0</v>
      </c>
      <c r="C109" s="3" t="n">
        <f aca="false">IF(B109&gt;0,ROUNDUP(B109/Parametres!$B$7,0)+1,0)</f>
        <v>0</v>
      </c>
      <c r="D109" s="3" t="n">
        <f aca="false">SUMIFS(Equipes!$D$2:$D$60,Equipes!$A$2:$A$60,"LOT-02",Equipes!$B$2:$B$60,"&lt;="&amp;$A109,Equipes!$C$2:$C$60,"&gt;="&amp;$A109)</f>
        <v>8</v>
      </c>
      <c r="E109" s="3" t="n">
        <f aca="false">IF(D109&gt;0,ROUNDUP(D109/Parametres!$B$7,0)+1,0)</f>
        <v>2</v>
      </c>
      <c r="F109" s="3" t="n">
        <f aca="false">SUMIFS(Equipes!$D$2:$D$60,Equipes!$A$2:$A$60,"LOT-03",Equipes!$B$2:$B$60,"&lt;="&amp;$A109,Equipes!$C$2:$C$60,"&gt;="&amp;$A109)</f>
        <v>0</v>
      </c>
      <c r="G109" s="3" t="n">
        <f aca="false">IF(F109&gt;0,ROUNDUP(F109/Parametres!$B$7,0)+1,0)</f>
        <v>0</v>
      </c>
      <c r="H109" s="3" t="n">
        <f aca="false">SUMIFS(Equipes!$D$2:$D$60,Equipes!$A$2:$A$60,"LOT-04",Equipes!$B$2:$B$60,"&lt;="&amp;$A109,Equipes!$C$2:$C$60,"&gt;="&amp;$A109)</f>
        <v>28</v>
      </c>
      <c r="I109" s="3" t="n">
        <f aca="false">IF(H109&gt;0,ROUNDUP(H109/Parametres!$B$7,0)+1,0)</f>
        <v>4</v>
      </c>
      <c r="J109" s="3" t="n">
        <f aca="false">SUMIFS(Equipes!$D$2:$D$60,Equipes!$A$2:$A$60,"LOT-05",Equipes!$B$2:$B$60,"&lt;="&amp;$A109,Equipes!$C$2:$C$60,"&gt;="&amp;$A109)</f>
        <v>0</v>
      </c>
      <c r="K109" s="3" t="n">
        <f aca="false">IF(J109&gt;0,ROUNDUP(J109/Parametres!$B$7,0)+1,0)</f>
        <v>0</v>
      </c>
      <c r="L109" s="3" t="n">
        <f aca="false">SUMIFS(Equipes!$D$2:$D$60,Equipes!$A$2:$A$60,"LOT-06",Equipes!$B$2:$B$60,"&lt;="&amp;$A109,Equipes!$C$2:$C$60,"&gt;="&amp;$A109)</f>
        <v>0</v>
      </c>
      <c r="M109" s="3" t="n">
        <f aca="false">IF(L109&gt;0,ROUNDUP(L109/Parametres!$B$7,0)+1,0)</f>
        <v>0</v>
      </c>
      <c r="N109" s="3" t="n">
        <f aca="false">SUMIFS(Equipes!$D$2:$D$60,Equipes!$A$2:$A$60,"LOT-07",Equipes!$B$2:$B$60,"&lt;="&amp;$A109,Equipes!$C$2:$C$60,"&gt;="&amp;$A109)</f>
        <v>0</v>
      </c>
      <c r="O109" s="3" t="n">
        <f aca="false">IF(N109&gt;0,ROUNDUP(N109/Parametres!$B$7,0)+1,0)</f>
        <v>0</v>
      </c>
      <c r="P109" s="3" t="n">
        <f aca="false">SUMIFS(Equipes!$D$2:$D$60,Equipes!$A$2:$A$60,"LOT-08",Equipes!$B$2:$B$60,"&lt;="&amp;$A109,Equipes!$C$2:$C$60,"&gt;="&amp;$A109)</f>
        <v>0</v>
      </c>
      <c r="Q109" s="3" t="n">
        <f aca="false">IF(P109&gt;0,ROUNDUP(P109/Parametres!$B$7,0)+1,0)</f>
        <v>0</v>
      </c>
    </row>
    <row r="110" customFormat="false" ht="15" hidden="false" customHeight="false" outlineLevel="0" collapsed="false">
      <c r="A110" s="2" t="n">
        <v>46191</v>
      </c>
      <c r="B110" s="3" t="n">
        <f aca="false">SUMIFS(Equipes!$D$2:$D$60,Equipes!$A$2:$A$60,"LOT-01",Equipes!$B$2:$B$60,"&lt;="&amp;$A110,Equipes!$C$2:$C$60,"&gt;="&amp;$A110)</f>
        <v>0</v>
      </c>
      <c r="C110" s="3" t="n">
        <f aca="false">IF(B110&gt;0,ROUNDUP(B110/Parametres!$B$7,0)+1,0)</f>
        <v>0</v>
      </c>
      <c r="D110" s="3" t="n">
        <f aca="false">SUMIFS(Equipes!$D$2:$D$60,Equipes!$A$2:$A$60,"LOT-02",Equipes!$B$2:$B$60,"&lt;="&amp;$A110,Equipes!$C$2:$C$60,"&gt;="&amp;$A110)</f>
        <v>8</v>
      </c>
      <c r="E110" s="3" t="n">
        <f aca="false">IF(D110&gt;0,ROUNDUP(D110/Parametres!$B$7,0)+1,0)</f>
        <v>2</v>
      </c>
      <c r="F110" s="3" t="n">
        <f aca="false">SUMIFS(Equipes!$D$2:$D$60,Equipes!$A$2:$A$60,"LOT-03",Equipes!$B$2:$B$60,"&lt;="&amp;$A110,Equipes!$C$2:$C$60,"&gt;="&amp;$A110)</f>
        <v>0</v>
      </c>
      <c r="G110" s="3" t="n">
        <f aca="false">IF(F110&gt;0,ROUNDUP(F110/Parametres!$B$7,0)+1,0)</f>
        <v>0</v>
      </c>
      <c r="H110" s="3" t="n">
        <f aca="false">SUMIFS(Equipes!$D$2:$D$60,Equipes!$A$2:$A$60,"LOT-04",Equipes!$B$2:$B$60,"&lt;="&amp;$A110,Equipes!$C$2:$C$60,"&gt;="&amp;$A110)</f>
        <v>28</v>
      </c>
      <c r="I110" s="3" t="n">
        <f aca="false">IF(H110&gt;0,ROUNDUP(H110/Parametres!$B$7,0)+1,0)</f>
        <v>4</v>
      </c>
      <c r="J110" s="3" t="n">
        <f aca="false">SUMIFS(Equipes!$D$2:$D$60,Equipes!$A$2:$A$60,"LOT-05",Equipes!$B$2:$B$60,"&lt;="&amp;$A110,Equipes!$C$2:$C$60,"&gt;="&amp;$A110)</f>
        <v>0</v>
      </c>
      <c r="K110" s="3" t="n">
        <f aca="false">IF(J110&gt;0,ROUNDUP(J110/Parametres!$B$7,0)+1,0)</f>
        <v>0</v>
      </c>
      <c r="L110" s="3" t="n">
        <f aca="false">SUMIFS(Equipes!$D$2:$D$60,Equipes!$A$2:$A$60,"LOT-06",Equipes!$B$2:$B$60,"&lt;="&amp;$A110,Equipes!$C$2:$C$60,"&gt;="&amp;$A110)</f>
        <v>0</v>
      </c>
      <c r="M110" s="3" t="n">
        <f aca="false">IF(L110&gt;0,ROUNDUP(L110/Parametres!$B$7,0)+1,0)</f>
        <v>0</v>
      </c>
      <c r="N110" s="3" t="n">
        <f aca="false">SUMIFS(Equipes!$D$2:$D$60,Equipes!$A$2:$A$60,"LOT-07",Equipes!$B$2:$B$60,"&lt;="&amp;$A110,Equipes!$C$2:$C$60,"&gt;="&amp;$A110)</f>
        <v>0</v>
      </c>
      <c r="O110" s="3" t="n">
        <f aca="false">IF(N110&gt;0,ROUNDUP(N110/Parametres!$B$7,0)+1,0)</f>
        <v>0</v>
      </c>
      <c r="P110" s="3" t="n">
        <f aca="false">SUMIFS(Equipes!$D$2:$D$60,Equipes!$A$2:$A$60,"LOT-08",Equipes!$B$2:$B$60,"&lt;="&amp;$A110,Equipes!$C$2:$C$60,"&gt;="&amp;$A110)</f>
        <v>0</v>
      </c>
      <c r="Q110" s="3" t="n">
        <f aca="false">IF(P110&gt;0,ROUNDUP(P110/Parametres!$B$7,0)+1,0)</f>
        <v>0</v>
      </c>
    </row>
    <row r="111" customFormat="false" ht="15" hidden="false" customHeight="false" outlineLevel="0" collapsed="false">
      <c r="A111" s="2" t="n">
        <v>46192</v>
      </c>
      <c r="B111" s="3" t="n">
        <f aca="false">SUMIFS(Equipes!$D$2:$D$60,Equipes!$A$2:$A$60,"LOT-01",Equipes!$B$2:$B$60,"&lt;="&amp;$A111,Equipes!$C$2:$C$60,"&gt;="&amp;$A111)</f>
        <v>0</v>
      </c>
      <c r="C111" s="3" t="n">
        <f aca="false">IF(B111&gt;0,ROUNDUP(B111/Parametres!$B$7,0)+1,0)</f>
        <v>0</v>
      </c>
      <c r="D111" s="3" t="n">
        <f aca="false">SUMIFS(Equipes!$D$2:$D$60,Equipes!$A$2:$A$60,"LOT-02",Equipes!$B$2:$B$60,"&lt;="&amp;$A111,Equipes!$C$2:$C$60,"&gt;="&amp;$A111)</f>
        <v>8</v>
      </c>
      <c r="E111" s="3" t="n">
        <f aca="false">IF(D111&gt;0,ROUNDUP(D111/Parametres!$B$7,0)+1,0)</f>
        <v>2</v>
      </c>
      <c r="F111" s="3" t="n">
        <f aca="false">SUMIFS(Equipes!$D$2:$D$60,Equipes!$A$2:$A$60,"LOT-03",Equipes!$B$2:$B$60,"&lt;="&amp;$A111,Equipes!$C$2:$C$60,"&gt;="&amp;$A111)</f>
        <v>0</v>
      </c>
      <c r="G111" s="3" t="n">
        <f aca="false">IF(F111&gt;0,ROUNDUP(F111/Parametres!$B$7,0)+1,0)</f>
        <v>0</v>
      </c>
      <c r="H111" s="3" t="n">
        <f aca="false">SUMIFS(Equipes!$D$2:$D$60,Equipes!$A$2:$A$60,"LOT-04",Equipes!$B$2:$B$60,"&lt;="&amp;$A111,Equipes!$C$2:$C$60,"&gt;="&amp;$A111)</f>
        <v>28</v>
      </c>
      <c r="I111" s="3" t="n">
        <f aca="false">IF(H111&gt;0,ROUNDUP(H111/Parametres!$B$7,0)+1,0)</f>
        <v>4</v>
      </c>
      <c r="J111" s="3" t="n">
        <f aca="false">SUMIFS(Equipes!$D$2:$D$60,Equipes!$A$2:$A$60,"LOT-05",Equipes!$B$2:$B$60,"&lt;="&amp;$A111,Equipes!$C$2:$C$60,"&gt;="&amp;$A111)</f>
        <v>0</v>
      </c>
      <c r="K111" s="3" t="n">
        <f aca="false">IF(J111&gt;0,ROUNDUP(J111/Parametres!$B$7,0)+1,0)</f>
        <v>0</v>
      </c>
      <c r="L111" s="3" t="n">
        <f aca="false">SUMIFS(Equipes!$D$2:$D$60,Equipes!$A$2:$A$60,"LOT-06",Equipes!$B$2:$B$60,"&lt;="&amp;$A111,Equipes!$C$2:$C$60,"&gt;="&amp;$A111)</f>
        <v>0</v>
      </c>
      <c r="M111" s="3" t="n">
        <f aca="false">IF(L111&gt;0,ROUNDUP(L111/Parametres!$B$7,0)+1,0)</f>
        <v>0</v>
      </c>
      <c r="N111" s="3" t="n">
        <f aca="false">SUMIFS(Equipes!$D$2:$D$60,Equipes!$A$2:$A$60,"LOT-07",Equipes!$B$2:$B$60,"&lt;="&amp;$A111,Equipes!$C$2:$C$60,"&gt;="&amp;$A111)</f>
        <v>0</v>
      </c>
      <c r="O111" s="3" t="n">
        <f aca="false">IF(N111&gt;0,ROUNDUP(N111/Parametres!$B$7,0)+1,0)</f>
        <v>0</v>
      </c>
      <c r="P111" s="3" t="n">
        <f aca="false">SUMIFS(Equipes!$D$2:$D$60,Equipes!$A$2:$A$60,"LOT-08",Equipes!$B$2:$B$60,"&lt;="&amp;$A111,Equipes!$C$2:$C$60,"&gt;="&amp;$A111)</f>
        <v>0</v>
      </c>
      <c r="Q111" s="3" t="n">
        <f aca="false">IF(P111&gt;0,ROUNDUP(P111/Parametres!$B$7,0)+1,0)</f>
        <v>0</v>
      </c>
    </row>
    <row r="112" customFormat="false" ht="15" hidden="false" customHeight="false" outlineLevel="0" collapsed="false">
      <c r="A112" s="2" t="n">
        <v>46193</v>
      </c>
      <c r="B112" s="3" t="n">
        <f aca="false">SUMIFS(Equipes!$D$2:$D$60,Equipes!$A$2:$A$60,"LOT-01",Equipes!$B$2:$B$60,"&lt;="&amp;$A112,Equipes!$C$2:$C$60,"&gt;="&amp;$A112)</f>
        <v>0</v>
      </c>
      <c r="C112" s="3" t="n">
        <f aca="false">IF(B112&gt;0,ROUNDUP(B112/Parametres!$B$7,0)+1,0)</f>
        <v>0</v>
      </c>
      <c r="D112" s="3" t="n">
        <f aca="false">SUMIFS(Equipes!$D$2:$D$60,Equipes!$A$2:$A$60,"LOT-02",Equipes!$B$2:$B$60,"&lt;="&amp;$A112,Equipes!$C$2:$C$60,"&gt;="&amp;$A112)</f>
        <v>6</v>
      </c>
      <c r="E112" s="3" t="n">
        <f aca="false">IF(D112&gt;0,ROUNDUP(D112/Parametres!$B$7,0)+1,0)</f>
        <v>2</v>
      </c>
      <c r="F112" s="3" t="n">
        <f aca="false">SUMIFS(Equipes!$D$2:$D$60,Equipes!$A$2:$A$60,"LOT-03",Equipes!$B$2:$B$60,"&lt;="&amp;$A112,Equipes!$C$2:$C$60,"&gt;="&amp;$A112)</f>
        <v>14</v>
      </c>
      <c r="G112" s="3" t="n">
        <f aca="false">IF(F112&gt;0,ROUNDUP(F112/Parametres!$B$7,0)+1,0)</f>
        <v>3</v>
      </c>
      <c r="H112" s="3" t="n">
        <f aca="false">SUMIFS(Equipes!$D$2:$D$60,Equipes!$A$2:$A$60,"LOT-04",Equipes!$B$2:$B$60,"&lt;="&amp;$A112,Equipes!$C$2:$C$60,"&gt;="&amp;$A112)</f>
        <v>14</v>
      </c>
      <c r="I112" s="3" t="n">
        <f aca="false">IF(H112&gt;0,ROUNDUP(H112/Parametres!$B$7,0)+1,0)</f>
        <v>3</v>
      </c>
      <c r="J112" s="3" t="n">
        <f aca="false">SUMIFS(Equipes!$D$2:$D$60,Equipes!$A$2:$A$60,"LOT-05",Equipes!$B$2:$B$60,"&lt;="&amp;$A112,Equipes!$C$2:$C$60,"&gt;="&amp;$A112)</f>
        <v>0</v>
      </c>
      <c r="K112" s="3" t="n">
        <f aca="false">IF(J112&gt;0,ROUNDUP(J112/Parametres!$B$7,0)+1,0)</f>
        <v>0</v>
      </c>
      <c r="L112" s="3" t="n">
        <f aca="false">SUMIFS(Equipes!$D$2:$D$60,Equipes!$A$2:$A$60,"LOT-06",Equipes!$B$2:$B$60,"&lt;="&amp;$A112,Equipes!$C$2:$C$60,"&gt;="&amp;$A112)</f>
        <v>0</v>
      </c>
      <c r="M112" s="3" t="n">
        <f aca="false">IF(L112&gt;0,ROUNDUP(L112/Parametres!$B$7,0)+1,0)</f>
        <v>0</v>
      </c>
      <c r="N112" s="3" t="n">
        <f aca="false">SUMIFS(Equipes!$D$2:$D$60,Equipes!$A$2:$A$60,"LOT-07",Equipes!$B$2:$B$60,"&lt;="&amp;$A112,Equipes!$C$2:$C$60,"&gt;="&amp;$A112)</f>
        <v>0</v>
      </c>
      <c r="O112" s="3" t="n">
        <f aca="false">IF(N112&gt;0,ROUNDUP(N112/Parametres!$B$7,0)+1,0)</f>
        <v>0</v>
      </c>
      <c r="P112" s="3" t="n">
        <f aca="false">SUMIFS(Equipes!$D$2:$D$60,Equipes!$A$2:$A$60,"LOT-08",Equipes!$B$2:$B$60,"&lt;="&amp;$A112,Equipes!$C$2:$C$60,"&gt;="&amp;$A112)</f>
        <v>0</v>
      </c>
      <c r="Q112" s="3" t="n">
        <f aca="false">IF(P112&gt;0,ROUNDUP(P112/Parametres!$B$7,0)+1,0)</f>
        <v>0</v>
      </c>
    </row>
    <row r="113" customFormat="false" ht="15" hidden="false" customHeight="false" outlineLevel="0" collapsed="false">
      <c r="A113" s="2" t="n">
        <v>46194</v>
      </c>
      <c r="B113" s="3" t="n">
        <f aca="false">SUMIFS(Equipes!$D$2:$D$60,Equipes!$A$2:$A$60,"LOT-01",Equipes!$B$2:$B$60,"&lt;="&amp;$A113,Equipes!$C$2:$C$60,"&gt;="&amp;$A113)</f>
        <v>0</v>
      </c>
      <c r="C113" s="3" t="n">
        <f aca="false">IF(B113&gt;0,ROUNDUP(B113/Parametres!$B$7,0)+1,0)</f>
        <v>0</v>
      </c>
      <c r="D113" s="3" t="n">
        <f aca="false">SUMIFS(Equipes!$D$2:$D$60,Equipes!$A$2:$A$60,"LOT-02",Equipes!$B$2:$B$60,"&lt;="&amp;$A113,Equipes!$C$2:$C$60,"&gt;="&amp;$A113)</f>
        <v>6</v>
      </c>
      <c r="E113" s="3" t="n">
        <f aca="false">IF(D113&gt;0,ROUNDUP(D113/Parametres!$B$7,0)+1,0)</f>
        <v>2</v>
      </c>
      <c r="F113" s="3" t="n">
        <f aca="false">SUMIFS(Equipes!$D$2:$D$60,Equipes!$A$2:$A$60,"LOT-03",Equipes!$B$2:$B$60,"&lt;="&amp;$A113,Equipes!$C$2:$C$60,"&gt;="&amp;$A113)</f>
        <v>14</v>
      </c>
      <c r="G113" s="3" t="n">
        <f aca="false">IF(F113&gt;0,ROUNDUP(F113/Parametres!$B$7,0)+1,0)</f>
        <v>3</v>
      </c>
      <c r="H113" s="3" t="n">
        <f aca="false">SUMIFS(Equipes!$D$2:$D$60,Equipes!$A$2:$A$60,"LOT-04",Equipes!$B$2:$B$60,"&lt;="&amp;$A113,Equipes!$C$2:$C$60,"&gt;="&amp;$A113)</f>
        <v>14</v>
      </c>
      <c r="I113" s="3" t="n">
        <f aca="false">IF(H113&gt;0,ROUNDUP(H113/Parametres!$B$7,0)+1,0)</f>
        <v>3</v>
      </c>
      <c r="J113" s="3" t="n">
        <f aca="false">SUMIFS(Equipes!$D$2:$D$60,Equipes!$A$2:$A$60,"LOT-05",Equipes!$B$2:$B$60,"&lt;="&amp;$A113,Equipes!$C$2:$C$60,"&gt;="&amp;$A113)</f>
        <v>0</v>
      </c>
      <c r="K113" s="3" t="n">
        <f aca="false">IF(J113&gt;0,ROUNDUP(J113/Parametres!$B$7,0)+1,0)</f>
        <v>0</v>
      </c>
      <c r="L113" s="3" t="n">
        <f aca="false">SUMIFS(Equipes!$D$2:$D$60,Equipes!$A$2:$A$60,"LOT-06",Equipes!$B$2:$B$60,"&lt;="&amp;$A113,Equipes!$C$2:$C$60,"&gt;="&amp;$A113)</f>
        <v>0</v>
      </c>
      <c r="M113" s="3" t="n">
        <f aca="false">IF(L113&gt;0,ROUNDUP(L113/Parametres!$B$7,0)+1,0)</f>
        <v>0</v>
      </c>
      <c r="N113" s="3" t="n">
        <f aca="false">SUMIFS(Equipes!$D$2:$D$60,Equipes!$A$2:$A$60,"LOT-07",Equipes!$B$2:$B$60,"&lt;="&amp;$A113,Equipes!$C$2:$C$60,"&gt;="&amp;$A113)</f>
        <v>0</v>
      </c>
      <c r="O113" s="3" t="n">
        <f aca="false">IF(N113&gt;0,ROUNDUP(N113/Parametres!$B$7,0)+1,0)</f>
        <v>0</v>
      </c>
      <c r="P113" s="3" t="n">
        <f aca="false">SUMIFS(Equipes!$D$2:$D$60,Equipes!$A$2:$A$60,"LOT-08",Equipes!$B$2:$B$60,"&lt;="&amp;$A113,Equipes!$C$2:$C$60,"&gt;="&amp;$A113)</f>
        <v>0</v>
      </c>
      <c r="Q113" s="3" t="n">
        <f aca="false">IF(P113&gt;0,ROUNDUP(P113/Parametres!$B$7,0)+1,0)</f>
        <v>0</v>
      </c>
    </row>
    <row r="114" customFormat="false" ht="15" hidden="false" customHeight="false" outlineLevel="0" collapsed="false">
      <c r="A114" s="2" t="n">
        <v>46195</v>
      </c>
      <c r="B114" s="3" t="n">
        <f aca="false">SUMIFS(Equipes!$D$2:$D$60,Equipes!$A$2:$A$60,"LOT-01",Equipes!$B$2:$B$60,"&lt;="&amp;$A114,Equipes!$C$2:$C$60,"&gt;="&amp;$A114)</f>
        <v>0</v>
      </c>
      <c r="C114" s="3" t="n">
        <f aca="false">IF(B114&gt;0,ROUNDUP(B114/Parametres!$B$7,0)+1,0)</f>
        <v>0</v>
      </c>
      <c r="D114" s="3" t="n">
        <f aca="false">SUMIFS(Equipes!$D$2:$D$60,Equipes!$A$2:$A$60,"LOT-02",Equipes!$B$2:$B$60,"&lt;="&amp;$A114,Equipes!$C$2:$C$60,"&gt;="&amp;$A114)</f>
        <v>6</v>
      </c>
      <c r="E114" s="3" t="n">
        <f aca="false">IF(D114&gt;0,ROUNDUP(D114/Parametres!$B$7,0)+1,0)</f>
        <v>2</v>
      </c>
      <c r="F114" s="3" t="n">
        <f aca="false">SUMIFS(Equipes!$D$2:$D$60,Equipes!$A$2:$A$60,"LOT-03",Equipes!$B$2:$B$60,"&lt;="&amp;$A114,Equipes!$C$2:$C$60,"&gt;="&amp;$A114)</f>
        <v>14</v>
      </c>
      <c r="G114" s="3" t="n">
        <f aca="false">IF(F114&gt;0,ROUNDUP(F114/Parametres!$B$7,0)+1,0)</f>
        <v>3</v>
      </c>
      <c r="H114" s="3" t="n">
        <f aca="false">SUMIFS(Equipes!$D$2:$D$60,Equipes!$A$2:$A$60,"LOT-04",Equipes!$B$2:$B$60,"&lt;="&amp;$A114,Equipes!$C$2:$C$60,"&gt;="&amp;$A114)</f>
        <v>14</v>
      </c>
      <c r="I114" s="3" t="n">
        <f aca="false">IF(H114&gt;0,ROUNDUP(H114/Parametres!$B$7,0)+1,0)</f>
        <v>3</v>
      </c>
      <c r="J114" s="3" t="n">
        <f aca="false">SUMIFS(Equipes!$D$2:$D$60,Equipes!$A$2:$A$60,"LOT-05",Equipes!$B$2:$B$60,"&lt;="&amp;$A114,Equipes!$C$2:$C$60,"&gt;="&amp;$A114)</f>
        <v>0</v>
      </c>
      <c r="K114" s="3" t="n">
        <f aca="false">IF(J114&gt;0,ROUNDUP(J114/Parametres!$B$7,0)+1,0)</f>
        <v>0</v>
      </c>
      <c r="L114" s="3" t="n">
        <f aca="false">SUMIFS(Equipes!$D$2:$D$60,Equipes!$A$2:$A$60,"LOT-06",Equipes!$B$2:$B$60,"&lt;="&amp;$A114,Equipes!$C$2:$C$60,"&gt;="&amp;$A114)</f>
        <v>0</v>
      </c>
      <c r="M114" s="3" t="n">
        <f aca="false">IF(L114&gt;0,ROUNDUP(L114/Parametres!$B$7,0)+1,0)</f>
        <v>0</v>
      </c>
      <c r="N114" s="3" t="n">
        <f aca="false">SUMIFS(Equipes!$D$2:$D$60,Equipes!$A$2:$A$60,"LOT-07",Equipes!$B$2:$B$60,"&lt;="&amp;$A114,Equipes!$C$2:$C$60,"&gt;="&amp;$A114)</f>
        <v>0</v>
      </c>
      <c r="O114" s="3" t="n">
        <f aca="false">IF(N114&gt;0,ROUNDUP(N114/Parametres!$B$7,0)+1,0)</f>
        <v>0</v>
      </c>
      <c r="P114" s="3" t="n">
        <f aca="false">SUMIFS(Equipes!$D$2:$D$60,Equipes!$A$2:$A$60,"LOT-08",Equipes!$B$2:$B$60,"&lt;="&amp;$A114,Equipes!$C$2:$C$60,"&gt;="&amp;$A114)</f>
        <v>0</v>
      </c>
      <c r="Q114" s="3" t="n">
        <f aca="false">IF(P114&gt;0,ROUNDUP(P114/Parametres!$B$7,0)+1,0)</f>
        <v>0</v>
      </c>
    </row>
    <row r="115" customFormat="false" ht="15" hidden="false" customHeight="false" outlineLevel="0" collapsed="false">
      <c r="A115" s="2" t="n">
        <v>46196</v>
      </c>
      <c r="B115" s="3" t="n">
        <f aca="false">SUMIFS(Equipes!$D$2:$D$60,Equipes!$A$2:$A$60,"LOT-01",Equipes!$B$2:$B$60,"&lt;="&amp;$A115,Equipes!$C$2:$C$60,"&gt;="&amp;$A115)</f>
        <v>0</v>
      </c>
      <c r="C115" s="3" t="n">
        <f aca="false">IF(B115&gt;0,ROUNDUP(B115/Parametres!$B$7,0)+1,0)</f>
        <v>0</v>
      </c>
      <c r="D115" s="3" t="n">
        <f aca="false">SUMIFS(Equipes!$D$2:$D$60,Equipes!$A$2:$A$60,"LOT-02",Equipes!$B$2:$B$60,"&lt;="&amp;$A115,Equipes!$C$2:$C$60,"&gt;="&amp;$A115)</f>
        <v>6</v>
      </c>
      <c r="E115" s="3" t="n">
        <f aca="false">IF(D115&gt;0,ROUNDUP(D115/Parametres!$B$7,0)+1,0)</f>
        <v>2</v>
      </c>
      <c r="F115" s="3" t="n">
        <f aca="false">SUMIFS(Equipes!$D$2:$D$60,Equipes!$A$2:$A$60,"LOT-03",Equipes!$B$2:$B$60,"&lt;="&amp;$A115,Equipes!$C$2:$C$60,"&gt;="&amp;$A115)</f>
        <v>14</v>
      </c>
      <c r="G115" s="3" t="n">
        <f aca="false">IF(F115&gt;0,ROUNDUP(F115/Parametres!$B$7,0)+1,0)</f>
        <v>3</v>
      </c>
      <c r="H115" s="3" t="n">
        <f aca="false">SUMIFS(Equipes!$D$2:$D$60,Equipes!$A$2:$A$60,"LOT-04",Equipes!$B$2:$B$60,"&lt;="&amp;$A115,Equipes!$C$2:$C$60,"&gt;="&amp;$A115)</f>
        <v>14</v>
      </c>
      <c r="I115" s="3" t="n">
        <f aca="false">IF(H115&gt;0,ROUNDUP(H115/Parametres!$B$7,0)+1,0)</f>
        <v>3</v>
      </c>
      <c r="J115" s="3" t="n">
        <f aca="false">SUMIFS(Equipes!$D$2:$D$60,Equipes!$A$2:$A$60,"LOT-05",Equipes!$B$2:$B$60,"&lt;="&amp;$A115,Equipes!$C$2:$C$60,"&gt;="&amp;$A115)</f>
        <v>0</v>
      </c>
      <c r="K115" s="3" t="n">
        <f aca="false">IF(J115&gt;0,ROUNDUP(J115/Parametres!$B$7,0)+1,0)</f>
        <v>0</v>
      </c>
      <c r="L115" s="3" t="n">
        <f aca="false">SUMIFS(Equipes!$D$2:$D$60,Equipes!$A$2:$A$60,"LOT-06",Equipes!$B$2:$B$60,"&lt;="&amp;$A115,Equipes!$C$2:$C$60,"&gt;="&amp;$A115)</f>
        <v>0</v>
      </c>
      <c r="M115" s="3" t="n">
        <f aca="false">IF(L115&gt;0,ROUNDUP(L115/Parametres!$B$7,0)+1,0)</f>
        <v>0</v>
      </c>
      <c r="N115" s="3" t="n">
        <f aca="false">SUMIFS(Equipes!$D$2:$D$60,Equipes!$A$2:$A$60,"LOT-07",Equipes!$B$2:$B$60,"&lt;="&amp;$A115,Equipes!$C$2:$C$60,"&gt;="&amp;$A115)</f>
        <v>0</v>
      </c>
      <c r="O115" s="3" t="n">
        <f aca="false">IF(N115&gt;0,ROUNDUP(N115/Parametres!$B$7,0)+1,0)</f>
        <v>0</v>
      </c>
      <c r="P115" s="3" t="n">
        <f aca="false">SUMIFS(Equipes!$D$2:$D$60,Equipes!$A$2:$A$60,"LOT-08",Equipes!$B$2:$B$60,"&lt;="&amp;$A115,Equipes!$C$2:$C$60,"&gt;="&amp;$A115)</f>
        <v>0</v>
      </c>
      <c r="Q115" s="3" t="n">
        <f aca="false">IF(P115&gt;0,ROUNDUP(P115/Parametres!$B$7,0)+1,0)</f>
        <v>0</v>
      </c>
    </row>
    <row r="116" customFormat="false" ht="15" hidden="false" customHeight="false" outlineLevel="0" collapsed="false">
      <c r="A116" s="2" t="n">
        <v>46197</v>
      </c>
      <c r="B116" s="3" t="n">
        <f aca="false">SUMIFS(Equipes!$D$2:$D$60,Equipes!$A$2:$A$60,"LOT-01",Equipes!$B$2:$B$60,"&lt;="&amp;$A116,Equipes!$C$2:$C$60,"&gt;="&amp;$A116)</f>
        <v>0</v>
      </c>
      <c r="C116" s="3" t="n">
        <f aca="false">IF(B116&gt;0,ROUNDUP(B116/Parametres!$B$7,0)+1,0)</f>
        <v>0</v>
      </c>
      <c r="D116" s="3" t="n">
        <f aca="false">SUMIFS(Equipes!$D$2:$D$60,Equipes!$A$2:$A$60,"LOT-02",Equipes!$B$2:$B$60,"&lt;="&amp;$A116,Equipes!$C$2:$C$60,"&gt;="&amp;$A116)</f>
        <v>6</v>
      </c>
      <c r="E116" s="3" t="n">
        <f aca="false">IF(D116&gt;0,ROUNDUP(D116/Parametres!$B$7,0)+1,0)</f>
        <v>2</v>
      </c>
      <c r="F116" s="3" t="n">
        <f aca="false">SUMIFS(Equipes!$D$2:$D$60,Equipes!$A$2:$A$60,"LOT-03",Equipes!$B$2:$B$60,"&lt;="&amp;$A116,Equipes!$C$2:$C$60,"&gt;="&amp;$A116)</f>
        <v>14</v>
      </c>
      <c r="G116" s="3" t="n">
        <f aca="false">IF(F116&gt;0,ROUNDUP(F116/Parametres!$B$7,0)+1,0)</f>
        <v>3</v>
      </c>
      <c r="H116" s="3" t="n">
        <f aca="false">SUMIFS(Equipes!$D$2:$D$60,Equipes!$A$2:$A$60,"LOT-04",Equipes!$B$2:$B$60,"&lt;="&amp;$A116,Equipes!$C$2:$C$60,"&gt;="&amp;$A116)</f>
        <v>14</v>
      </c>
      <c r="I116" s="3" t="n">
        <f aca="false">IF(H116&gt;0,ROUNDUP(H116/Parametres!$B$7,0)+1,0)</f>
        <v>3</v>
      </c>
      <c r="J116" s="3" t="n">
        <f aca="false">SUMIFS(Equipes!$D$2:$D$60,Equipes!$A$2:$A$60,"LOT-05",Equipes!$B$2:$B$60,"&lt;="&amp;$A116,Equipes!$C$2:$C$60,"&gt;="&amp;$A116)</f>
        <v>0</v>
      </c>
      <c r="K116" s="3" t="n">
        <f aca="false">IF(J116&gt;0,ROUNDUP(J116/Parametres!$B$7,0)+1,0)</f>
        <v>0</v>
      </c>
      <c r="L116" s="3" t="n">
        <f aca="false">SUMIFS(Equipes!$D$2:$D$60,Equipes!$A$2:$A$60,"LOT-06",Equipes!$B$2:$B$60,"&lt;="&amp;$A116,Equipes!$C$2:$C$60,"&gt;="&amp;$A116)</f>
        <v>0</v>
      </c>
      <c r="M116" s="3" t="n">
        <f aca="false">IF(L116&gt;0,ROUNDUP(L116/Parametres!$B$7,0)+1,0)</f>
        <v>0</v>
      </c>
      <c r="N116" s="3" t="n">
        <f aca="false">SUMIFS(Equipes!$D$2:$D$60,Equipes!$A$2:$A$60,"LOT-07",Equipes!$B$2:$B$60,"&lt;="&amp;$A116,Equipes!$C$2:$C$60,"&gt;="&amp;$A116)</f>
        <v>0</v>
      </c>
      <c r="O116" s="3" t="n">
        <f aca="false">IF(N116&gt;0,ROUNDUP(N116/Parametres!$B$7,0)+1,0)</f>
        <v>0</v>
      </c>
      <c r="P116" s="3" t="n">
        <f aca="false">SUMIFS(Equipes!$D$2:$D$60,Equipes!$A$2:$A$60,"LOT-08",Equipes!$B$2:$B$60,"&lt;="&amp;$A116,Equipes!$C$2:$C$60,"&gt;="&amp;$A116)</f>
        <v>0</v>
      </c>
      <c r="Q116" s="3" t="n">
        <f aca="false">IF(P116&gt;0,ROUNDUP(P116/Parametres!$B$7,0)+1,0)</f>
        <v>0</v>
      </c>
    </row>
    <row r="117" customFormat="false" ht="15" hidden="false" customHeight="false" outlineLevel="0" collapsed="false">
      <c r="A117" s="2" t="n">
        <v>46198</v>
      </c>
      <c r="B117" s="3" t="n">
        <f aca="false">SUMIFS(Equipes!$D$2:$D$60,Equipes!$A$2:$A$60,"LOT-01",Equipes!$B$2:$B$60,"&lt;="&amp;$A117,Equipes!$C$2:$C$60,"&gt;="&amp;$A117)</f>
        <v>0</v>
      </c>
      <c r="C117" s="3" t="n">
        <f aca="false">IF(B117&gt;0,ROUNDUP(B117/Parametres!$B$7,0)+1,0)</f>
        <v>0</v>
      </c>
      <c r="D117" s="3" t="n">
        <f aca="false">SUMIFS(Equipes!$D$2:$D$60,Equipes!$A$2:$A$60,"LOT-02",Equipes!$B$2:$B$60,"&lt;="&amp;$A117,Equipes!$C$2:$C$60,"&gt;="&amp;$A117)</f>
        <v>6</v>
      </c>
      <c r="E117" s="3" t="n">
        <f aca="false">IF(D117&gt;0,ROUNDUP(D117/Parametres!$B$7,0)+1,0)</f>
        <v>2</v>
      </c>
      <c r="F117" s="3" t="n">
        <f aca="false">SUMIFS(Equipes!$D$2:$D$60,Equipes!$A$2:$A$60,"LOT-03",Equipes!$B$2:$B$60,"&lt;="&amp;$A117,Equipes!$C$2:$C$60,"&gt;="&amp;$A117)</f>
        <v>14</v>
      </c>
      <c r="G117" s="3" t="n">
        <f aca="false">IF(F117&gt;0,ROUNDUP(F117/Parametres!$B$7,0)+1,0)</f>
        <v>3</v>
      </c>
      <c r="H117" s="3" t="n">
        <f aca="false">SUMIFS(Equipes!$D$2:$D$60,Equipes!$A$2:$A$60,"LOT-04",Equipes!$B$2:$B$60,"&lt;="&amp;$A117,Equipes!$C$2:$C$60,"&gt;="&amp;$A117)</f>
        <v>14</v>
      </c>
      <c r="I117" s="3" t="n">
        <f aca="false">IF(H117&gt;0,ROUNDUP(H117/Parametres!$B$7,0)+1,0)</f>
        <v>3</v>
      </c>
      <c r="J117" s="3" t="n">
        <f aca="false">SUMIFS(Equipes!$D$2:$D$60,Equipes!$A$2:$A$60,"LOT-05",Equipes!$B$2:$B$60,"&lt;="&amp;$A117,Equipes!$C$2:$C$60,"&gt;="&amp;$A117)</f>
        <v>0</v>
      </c>
      <c r="K117" s="3" t="n">
        <f aca="false">IF(J117&gt;0,ROUNDUP(J117/Parametres!$B$7,0)+1,0)</f>
        <v>0</v>
      </c>
      <c r="L117" s="3" t="n">
        <f aca="false">SUMIFS(Equipes!$D$2:$D$60,Equipes!$A$2:$A$60,"LOT-06",Equipes!$B$2:$B$60,"&lt;="&amp;$A117,Equipes!$C$2:$C$60,"&gt;="&amp;$A117)</f>
        <v>0</v>
      </c>
      <c r="M117" s="3" t="n">
        <f aca="false">IF(L117&gt;0,ROUNDUP(L117/Parametres!$B$7,0)+1,0)</f>
        <v>0</v>
      </c>
      <c r="N117" s="3" t="n">
        <f aca="false">SUMIFS(Equipes!$D$2:$D$60,Equipes!$A$2:$A$60,"LOT-07",Equipes!$B$2:$B$60,"&lt;="&amp;$A117,Equipes!$C$2:$C$60,"&gt;="&amp;$A117)</f>
        <v>0</v>
      </c>
      <c r="O117" s="3" t="n">
        <f aca="false">IF(N117&gt;0,ROUNDUP(N117/Parametres!$B$7,0)+1,0)</f>
        <v>0</v>
      </c>
      <c r="P117" s="3" t="n">
        <f aca="false">SUMIFS(Equipes!$D$2:$D$60,Equipes!$A$2:$A$60,"LOT-08",Equipes!$B$2:$B$60,"&lt;="&amp;$A117,Equipes!$C$2:$C$60,"&gt;="&amp;$A117)</f>
        <v>0</v>
      </c>
      <c r="Q117" s="3" t="n">
        <f aca="false">IF(P117&gt;0,ROUNDUP(P117/Parametres!$B$7,0)+1,0)</f>
        <v>0</v>
      </c>
    </row>
    <row r="118" customFormat="false" ht="15" hidden="false" customHeight="false" outlineLevel="0" collapsed="false">
      <c r="A118" s="2" t="n">
        <v>46199</v>
      </c>
      <c r="B118" s="3" t="n">
        <f aca="false">SUMIFS(Equipes!$D$2:$D$60,Equipes!$A$2:$A$60,"LOT-01",Equipes!$B$2:$B$60,"&lt;="&amp;$A118,Equipes!$C$2:$C$60,"&gt;="&amp;$A118)</f>
        <v>0</v>
      </c>
      <c r="C118" s="3" t="n">
        <f aca="false">IF(B118&gt;0,ROUNDUP(B118/Parametres!$B$7,0)+1,0)</f>
        <v>0</v>
      </c>
      <c r="D118" s="3" t="n">
        <f aca="false">SUMIFS(Equipes!$D$2:$D$60,Equipes!$A$2:$A$60,"LOT-02",Equipes!$B$2:$B$60,"&lt;="&amp;$A118,Equipes!$C$2:$C$60,"&gt;="&amp;$A118)</f>
        <v>6</v>
      </c>
      <c r="E118" s="3" t="n">
        <f aca="false">IF(D118&gt;0,ROUNDUP(D118/Parametres!$B$7,0)+1,0)</f>
        <v>2</v>
      </c>
      <c r="F118" s="3" t="n">
        <f aca="false">SUMIFS(Equipes!$D$2:$D$60,Equipes!$A$2:$A$60,"LOT-03",Equipes!$B$2:$B$60,"&lt;="&amp;$A118,Equipes!$C$2:$C$60,"&gt;="&amp;$A118)</f>
        <v>14</v>
      </c>
      <c r="G118" s="3" t="n">
        <f aca="false">IF(F118&gt;0,ROUNDUP(F118/Parametres!$B$7,0)+1,0)</f>
        <v>3</v>
      </c>
      <c r="H118" s="3" t="n">
        <f aca="false">SUMIFS(Equipes!$D$2:$D$60,Equipes!$A$2:$A$60,"LOT-04",Equipes!$B$2:$B$60,"&lt;="&amp;$A118,Equipes!$C$2:$C$60,"&gt;="&amp;$A118)</f>
        <v>14</v>
      </c>
      <c r="I118" s="3" t="n">
        <f aca="false">IF(H118&gt;0,ROUNDUP(H118/Parametres!$B$7,0)+1,0)</f>
        <v>3</v>
      </c>
      <c r="J118" s="3" t="n">
        <f aca="false">SUMIFS(Equipes!$D$2:$D$60,Equipes!$A$2:$A$60,"LOT-05",Equipes!$B$2:$B$60,"&lt;="&amp;$A118,Equipes!$C$2:$C$60,"&gt;="&amp;$A118)</f>
        <v>0</v>
      </c>
      <c r="K118" s="3" t="n">
        <f aca="false">IF(J118&gt;0,ROUNDUP(J118/Parametres!$B$7,0)+1,0)</f>
        <v>0</v>
      </c>
      <c r="L118" s="3" t="n">
        <f aca="false">SUMIFS(Equipes!$D$2:$D$60,Equipes!$A$2:$A$60,"LOT-06",Equipes!$B$2:$B$60,"&lt;="&amp;$A118,Equipes!$C$2:$C$60,"&gt;="&amp;$A118)</f>
        <v>0</v>
      </c>
      <c r="M118" s="3" t="n">
        <f aca="false">IF(L118&gt;0,ROUNDUP(L118/Parametres!$B$7,0)+1,0)</f>
        <v>0</v>
      </c>
      <c r="N118" s="3" t="n">
        <f aca="false">SUMIFS(Equipes!$D$2:$D$60,Equipes!$A$2:$A$60,"LOT-07",Equipes!$B$2:$B$60,"&lt;="&amp;$A118,Equipes!$C$2:$C$60,"&gt;="&amp;$A118)</f>
        <v>0</v>
      </c>
      <c r="O118" s="3" t="n">
        <f aca="false">IF(N118&gt;0,ROUNDUP(N118/Parametres!$B$7,0)+1,0)</f>
        <v>0</v>
      </c>
      <c r="P118" s="3" t="n">
        <f aca="false">SUMIFS(Equipes!$D$2:$D$60,Equipes!$A$2:$A$60,"LOT-08",Equipes!$B$2:$B$60,"&lt;="&amp;$A118,Equipes!$C$2:$C$60,"&gt;="&amp;$A118)</f>
        <v>0</v>
      </c>
      <c r="Q118" s="3" t="n">
        <f aca="false">IF(P118&gt;0,ROUNDUP(P118/Parametres!$B$7,0)+1,0)</f>
        <v>0</v>
      </c>
    </row>
    <row r="119" customFormat="false" ht="15" hidden="false" customHeight="false" outlineLevel="0" collapsed="false">
      <c r="A119" s="2" t="n">
        <v>46200</v>
      </c>
      <c r="B119" s="3" t="n">
        <f aca="false">SUMIFS(Equipes!$D$2:$D$60,Equipes!$A$2:$A$60,"LOT-01",Equipes!$B$2:$B$60,"&lt;="&amp;$A119,Equipes!$C$2:$C$60,"&gt;="&amp;$A119)</f>
        <v>0</v>
      </c>
      <c r="C119" s="3" t="n">
        <f aca="false">IF(B119&gt;0,ROUNDUP(B119/Parametres!$B$7,0)+1,0)</f>
        <v>0</v>
      </c>
      <c r="D119" s="3" t="n">
        <f aca="false">SUMIFS(Equipes!$D$2:$D$60,Equipes!$A$2:$A$60,"LOT-02",Equipes!$B$2:$B$60,"&lt;="&amp;$A119,Equipes!$C$2:$C$60,"&gt;="&amp;$A119)</f>
        <v>6</v>
      </c>
      <c r="E119" s="3" t="n">
        <f aca="false">IF(D119&gt;0,ROUNDUP(D119/Parametres!$B$7,0)+1,0)</f>
        <v>2</v>
      </c>
      <c r="F119" s="3" t="n">
        <f aca="false">SUMIFS(Equipes!$D$2:$D$60,Equipes!$A$2:$A$60,"LOT-03",Equipes!$B$2:$B$60,"&lt;="&amp;$A119,Equipes!$C$2:$C$60,"&gt;="&amp;$A119)</f>
        <v>14</v>
      </c>
      <c r="G119" s="3" t="n">
        <f aca="false">IF(F119&gt;0,ROUNDUP(F119/Parametres!$B$7,0)+1,0)</f>
        <v>3</v>
      </c>
      <c r="H119" s="3" t="n">
        <f aca="false">SUMIFS(Equipes!$D$2:$D$60,Equipes!$A$2:$A$60,"LOT-04",Equipes!$B$2:$B$60,"&lt;="&amp;$A119,Equipes!$C$2:$C$60,"&gt;="&amp;$A119)</f>
        <v>14</v>
      </c>
      <c r="I119" s="3" t="n">
        <f aca="false">IF(H119&gt;0,ROUNDUP(H119/Parametres!$B$7,0)+1,0)</f>
        <v>3</v>
      </c>
      <c r="J119" s="3" t="n">
        <f aca="false">SUMIFS(Equipes!$D$2:$D$60,Equipes!$A$2:$A$60,"LOT-05",Equipes!$B$2:$B$60,"&lt;="&amp;$A119,Equipes!$C$2:$C$60,"&gt;="&amp;$A119)</f>
        <v>0</v>
      </c>
      <c r="K119" s="3" t="n">
        <f aca="false">IF(J119&gt;0,ROUNDUP(J119/Parametres!$B$7,0)+1,0)</f>
        <v>0</v>
      </c>
      <c r="L119" s="3" t="n">
        <f aca="false">SUMIFS(Equipes!$D$2:$D$60,Equipes!$A$2:$A$60,"LOT-06",Equipes!$B$2:$B$60,"&lt;="&amp;$A119,Equipes!$C$2:$C$60,"&gt;="&amp;$A119)</f>
        <v>0</v>
      </c>
      <c r="M119" s="3" t="n">
        <f aca="false">IF(L119&gt;0,ROUNDUP(L119/Parametres!$B$7,0)+1,0)</f>
        <v>0</v>
      </c>
      <c r="N119" s="3" t="n">
        <f aca="false">SUMIFS(Equipes!$D$2:$D$60,Equipes!$A$2:$A$60,"LOT-07",Equipes!$B$2:$B$60,"&lt;="&amp;$A119,Equipes!$C$2:$C$60,"&gt;="&amp;$A119)</f>
        <v>0</v>
      </c>
      <c r="O119" s="3" t="n">
        <f aca="false">IF(N119&gt;0,ROUNDUP(N119/Parametres!$B$7,0)+1,0)</f>
        <v>0</v>
      </c>
      <c r="P119" s="3" t="n">
        <f aca="false">SUMIFS(Equipes!$D$2:$D$60,Equipes!$A$2:$A$60,"LOT-08",Equipes!$B$2:$B$60,"&lt;="&amp;$A119,Equipes!$C$2:$C$60,"&gt;="&amp;$A119)</f>
        <v>0</v>
      </c>
      <c r="Q119" s="3" t="n">
        <f aca="false">IF(P119&gt;0,ROUNDUP(P119/Parametres!$B$7,0)+1,0)</f>
        <v>0</v>
      </c>
    </row>
    <row r="120" customFormat="false" ht="15" hidden="false" customHeight="false" outlineLevel="0" collapsed="false">
      <c r="A120" s="2" t="n">
        <v>46201</v>
      </c>
      <c r="B120" s="3" t="n">
        <f aca="false">SUMIFS(Equipes!$D$2:$D$60,Equipes!$A$2:$A$60,"LOT-01",Equipes!$B$2:$B$60,"&lt;="&amp;$A120,Equipes!$C$2:$C$60,"&gt;="&amp;$A120)</f>
        <v>0</v>
      </c>
      <c r="C120" s="3" t="n">
        <f aca="false">IF(B120&gt;0,ROUNDUP(B120/Parametres!$B$7,0)+1,0)</f>
        <v>0</v>
      </c>
      <c r="D120" s="3" t="n">
        <f aca="false">SUMIFS(Equipes!$D$2:$D$60,Equipes!$A$2:$A$60,"LOT-02",Equipes!$B$2:$B$60,"&lt;="&amp;$A120,Equipes!$C$2:$C$60,"&gt;="&amp;$A120)</f>
        <v>6</v>
      </c>
      <c r="E120" s="3" t="n">
        <f aca="false">IF(D120&gt;0,ROUNDUP(D120/Parametres!$B$7,0)+1,0)</f>
        <v>2</v>
      </c>
      <c r="F120" s="3" t="n">
        <f aca="false">SUMIFS(Equipes!$D$2:$D$60,Equipes!$A$2:$A$60,"LOT-03",Equipes!$B$2:$B$60,"&lt;="&amp;$A120,Equipes!$C$2:$C$60,"&gt;="&amp;$A120)</f>
        <v>14</v>
      </c>
      <c r="G120" s="3" t="n">
        <f aca="false">IF(F120&gt;0,ROUNDUP(F120/Parametres!$B$7,0)+1,0)</f>
        <v>3</v>
      </c>
      <c r="H120" s="3" t="n">
        <f aca="false">SUMIFS(Equipes!$D$2:$D$60,Equipes!$A$2:$A$60,"LOT-04",Equipes!$B$2:$B$60,"&lt;="&amp;$A120,Equipes!$C$2:$C$60,"&gt;="&amp;$A120)</f>
        <v>14</v>
      </c>
      <c r="I120" s="3" t="n">
        <f aca="false">IF(H120&gt;0,ROUNDUP(H120/Parametres!$B$7,0)+1,0)</f>
        <v>3</v>
      </c>
      <c r="J120" s="3" t="n">
        <f aca="false">SUMIFS(Equipes!$D$2:$D$60,Equipes!$A$2:$A$60,"LOT-05",Equipes!$B$2:$B$60,"&lt;="&amp;$A120,Equipes!$C$2:$C$60,"&gt;="&amp;$A120)</f>
        <v>0</v>
      </c>
      <c r="K120" s="3" t="n">
        <f aca="false">IF(J120&gt;0,ROUNDUP(J120/Parametres!$B$7,0)+1,0)</f>
        <v>0</v>
      </c>
      <c r="L120" s="3" t="n">
        <f aca="false">SUMIFS(Equipes!$D$2:$D$60,Equipes!$A$2:$A$60,"LOT-06",Equipes!$B$2:$B$60,"&lt;="&amp;$A120,Equipes!$C$2:$C$60,"&gt;="&amp;$A120)</f>
        <v>0</v>
      </c>
      <c r="M120" s="3" t="n">
        <f aca="false">IF(L120&gt;0,ROUNDUP(L120/Parametres!$B$7,0)+1,0)</f>
        <v>0</v>
      </c>
      <c r="N120" s="3" t="n">
        <f aca="false">SUMIFS(Equipes!$D$2:$D$60,Equipes!$A$2:$A$60,"LOT-07",Equipes!$B$2:$B$60,"&lt;="&amp;$A120,Equipes!$C$2:$C$60,"&gt;="&amp;$A120)</f>
        <v>0</v>
      </c>
      <c r="O120" s="3" t="n">
        <f aca="false">IF(N120&gt;0,ROUNDUP(N120/Parametres!$B$7,0)+1,0)</f>
        <v>0</v>
      </c>
      <c r="P120" s="3" t="n">
        <f aca="false">SUMIFS(Equipes!$D$2:$D$60,Equipes!$A$2:$A$60,"LOT-08",Equipes!$B$2:$B$60,"&lt;="&amp;$A120,Equipes!$C$2:$C$60,"&gt;="&amp;$A120)</f>
        <v>0</v>
      </c>
      <c r="Q120" s="3" t="n">
        <f aca="false">IF(P120&gt;0,ROUNDUP(P120/Parametres!$B$7,0)+1,0)</f>
        <v>0</v>
      </c>
    </row>
    <row r="121" customFormat="false" ht="15" hidden="false" customHeight="false" outlineLevel="0" collapsed="false">
      <c r="A121" s="2" t="n">
        <v>46202</v>
      </c>
      <c r="B121" s="3" t="n">
        <f aca="false">SUMIFS(Equipes!$D$2:$D$60,Equipes!$A$2:$A$60,"LOT-01",Equipes!$B$2:$B$60,"&lt;="&amp;$A121,Equipes!$C$2:$C$60,"&gt;="&amp;$A121)</f>
        <v>0</v>
      </c>
      <c r="C121" s="3" t="n">
        <f aca="false">IF(B121&gt;0,ROUNDUP(B121/Parametres!$B$7,0)+1,0)</f>
        <v>0</v>
      </c>
      <c r="D121" s="3" t="n">
        <f aca="false">SUMIFS(Equipes!$D$2:$D$60,Equipes!$A$2:$A$60,"LOT-02",Equipes!$B$2:$B$60,"&lt;="&amp;$A121,Equipes!$C$2:$C$60,"&gt;="&amp;$A121)</f>
        <v>6</v>
      </c>
      <c r="E121" s="3" t="n">
        <f aca="false">IF(D121&gt;0,ROUNDUP(D121/Parametres!$B$7,0)+1,0)</f>
        <v>2</v>
      </c>
      <c r="F121" s="3" t="n">
        <f aca="false">SUMIFS(Equipes!$D$2:$D$60,Equipes!$A$2:$A$60,"LOT-03",Equipes!$B$2:$B$60,"&lt;="&amp;$A121,Equipes!$C$2:$C$60,"&gt;="&amp;$A121)</f>
        <v>14</v>
      </c>
      <c r="G121" s="3" t="n">
        <f aca="false">IF(F121&gt;0,ROUNDUP(F121/Parametres!$B$7,0)+1,0)</f>
        <v>3</v>
      </c>
      <c r="H121" s="3" t="n">
        <f aca="false">SUMIFS(Equipes!$D$2:$D$60,Equipes!$A$2:$A$60,"LOT-04",Equipes!$B$2:$B$60,"&lt;="&amp;$A121,Equipes!$C$2:$C$60,"&gt;="&amp;$A121)</f>
        <v>14</v>
      </c>
      <c r="I121" s="3" t="n">
        <f aca="false">IF(H121&gt;0,ROUNDUP(H121/Parametres!$B$7,0)+1,0)</f>
        <v>3</v>
      </c>
      <c r="J121" s="3" t="n">
        <f aca="false">SUMIFS(Equipes!$D$2:$D$60,Equipes!$A$2:$A$60,"LOT-05",Equipes!$B$2:$B$60,"&lt;="&amp;$A121,Equipes!$C$2:$C$60,"&gt;="&amp;$A121)</f>
        <v>0</v>
      </c>
      <c r="K121" s="3" t="n">
        <f aca="false">IF(J121&gt;0,ROUNDUP(J121/Parametres!$B$7,0)+1,0)</f>
        <v>0</v>
      </c>
      <c r="L121" s="3" t="n">
        <f aca="false">SUMIFS(Equipes!$D$2:$D$60,Equipes!$A$2:$A$60,"LOT-06",Equipes!$B$2:$B$60,"&lt;="&amp;$A121,Equipes!$C$2:$C$60,"&gt;="&amp;$A121)</f>
        <v>0</v>
      </c>
      <c r="M121" s="3" t="n">
        <f aca="false">IF(L121&gt;0,ROUNDUP(L121/Parametres!$B$7,0)+1,0)</f>
        <v>0</v>
      </c>
      <c r="N121" s="3" t="n">
        <f aca="false">SUMIFS(Equipes!$D$2:$D$60,Equipes!$A$2:$A$60,"LOT-07",Equipes!$B$2:$B$60,"&lt;="&amp;$A121,Equipes!$C$2:$C$60,"&gt;="&amp;$A121)</f>
        <v>0</v>
      </c>
      <c r="O121" s="3" t="n">
        <f aca="false">IF(N121&gt;0,ROUNDUP(N121/Parametres!$B$7,0)+1,0)</f>
        <v>0</v>
      </c>
      <c r="P121" s="3" t="n">
        <f aca="false">SUMIFS(Equipes!$D$2:$D$60,Equipes!$A$2:$A$60,"LOT-08",Equipes!$B$2:$B$60,"&lt;="&amp;$A121,Equipes!$C$2:$C$60,"&gt;="&amp;$A121)</f>
        <v>0</v>
      </c>
      <c r="Q121" s="3" t="n">
        <f aca="false">IF(P121&gt;0,ROUNDUP(P121/Parametres!$B$7,0)+1,0)</f>
        <v>0</v>
      </c>
    </row>
    <row r="122" customFormat="false" ht="15" hidden="false" customHeight="false" outlineLevel="0" collapsed="false">
      <c r="A122" s="2" t="n">
        <v>46203</v>
      </c>
      <c r="B122" s="3" t="n">
        <f aca="false">SUMIFS(Equipes!$D$2:$D$60,Equipes!$A$2:$A$60,"LOT-01",Equipes!$B$2:$B$60,"&lt;="&amp;$A122,Equipes!$C$2:$C$60,"&gt;="&amp;$A122)</f>
        <v>0</v>
      </c>
      <c r="C122" s="3" t="n">
        <f aca="false">IF(B122&gt;0,ROUNDUP(B122/Parametres!$B$7,0)+1,0)</f>
        <v>0</v>
      </c>
      <c r="D122" s="3" t="n">
        <f aca="false">SUMIFS(Equipes!$D$2:$D$60,Equipes!$A$2:$A$60,"LOT-02",Equipes!$B$2:$B$60,"&lt;="&amp;$A122,Equipes!$C$2:$C$60,"&gt;="&amp;$A122)</f>
        <v>12</v>
      </c>
      <c r="E122" s="3" t="n">
        <f aca="false">IF(D122&gt;0,ROUNDUP(D122/Parametres!$B$7,0)+1,0)</f>
        <v>2</v>
      </c>
      <c r="F122" s="3" t="n">
        <f aca="false">SUMIFS(Equipes!$D$2:$D$60,Equipes!$A$2:$A$60,"LOT-03",Equipes!$B$2:$B$60,"&lt;="&amp;$A122,Equipes!$C$2:$C$60,"&gt;="&amp;$A122)</f>
        <v>14</v>
      </c>
      <c r="G122" s="3" t="n">
        <f aca="false">IF(F122&gt;0,ROUNDUP(F122/Parametres!$B$7,0)+1,0)</f>
        <v>3</v>
      </c>
      <c r="H122" s="3" t="n">
        <f aca="false">SUMIFS(Equipes!$D$2:$D$60,Equipes!$A$2:$A$60,"LOT-04",Equipes!$B$2:$B$60,"&lt;="&amp;$A122,Equipes!$C$2:$C$60,"&gt;="&amp;$A122)</f>
        <v>14</v>
      </c>
      <c r="I122" s="3" t="n">
        <f aca="false">IF(H122&gt;0,ROUNDUP(H122/Parametres!$B$7,0)+1,0)</f>
        <v>3</v>
      </c>
      <c r="J122" s="3" t="n">
        <f aca="false">SUMIFS(Equipes!$D$2:$D$60,Equipes!$A$2:$A$60,"LOT-05",Equipes!$B$2:$B$60,"&lt;="&amp;$A122,Equipes!$C$2:$C$60,"&gt;="&amp;$A122)</f>
        <v>0</v>
      </c>
      <c r="K122" s="3" t="n">
        <f aca="false">IF(J122&gt;0,ROUNDUP(J122/Parametres!$B$7,0)+1,0)</f>
        <v>0</v>
      </c>
      <c r="L122" s="3" t="n">
        <f aca="false">SUMIFS(Equipes!$D$2:$D$60,Equipes!$A$2:$A$60,"LOT-06",Equipes!$B$2:$B$60,"&lt;="&amp;$A122,Equipes!$C$2:$C$60,"&gt;="&amp;$A122)</f>
        <v>0</v>
      </c>
      <c r="M122" s="3" t="n">
        <f aca="false">IF(L122&gt;0,ROUNDUP(L122/Parametres!$B$7,0)+1,0)</f>
        <v>0</v>
      </c>
      <c r="N122" s="3" t="n">
        <f aca="false">SUMIFS(Equipes!$D$2:$D$60,Equipes!$A$2:$A$60,"LOT-07",Equipes!$B$2:$B$60,"&lt;="&amp;$A122,Equipes!$C$2:$C$60,"&gt;="&amp;$A122)</f>
        <v>0</v>
      </c>
      <c r="O122" s="3" t="n">
        <f aca="false">IF(N122&gt;0,ROUNDUP(N122/Parametres!$B$7,0)+1,0)</f>
        <v>0</v>
      </c>
      <c r="P122" s="3" t="n">
        <f aca="false">SUMIFS(Equipes!$D$2:$D$60,Equipes!$A$2:$A$60,"LOT-08",Equipes!$B$2:$B$60,"&lt;="&amp;$A122,Equipes!$C$2:$C$60,"&gt;="&amp;$A122)</f>
        <v>0</v>
      </c>
      <c r="Q122" s="3" t="n">
        <f aca="false">IF(P122&gt;0,ROUNDUP(P122/Parametres!$B$7,0)+1,0)</f>
        <v>0</v>
      </c>
    </row>
    <row r="123" customFormat="false" ht="15" hidden="false" customHeight="false" outlineLevel="0" collapsed="false">
      <c r="A123" s="2" t="n">
        <v>46204</v>
      </c>
      <c r="B123" s="3" t="n">
        <f aca="false">SUMIFS(Equipes!$D$2:$D$60,Equipes!$A$2:$A$60,"LOT-01",Equipes!$B$2:$B$60,"&lt;="&amp;$A123,Equipes!$C$2:$C$60,"&gt;="&amp;$A123)</f>
        <v>0</v>
      </c>
      <c r="C123" s="3" t="n">
        <f aca="false">IF(B123&gt;0,ROUNDUP(B123/Parametres!$B$7,0)+1,0)</f>
        <v>0</v>
      </c>
      <c r="D123" s="3" t="n">
        <f aca="false">SUMIFS(Equipes!$D$2:$D$60,Equipes!$A$2:$A$60,"LOT-02",Equipes!$B$2:$B$60,"&lt;="&amp;$A123,Equipes!$C$2:$C$60,"&gt;="&amp;$A123)</f>
        <v>12</v>
      </c>
      <c r="E123" s="3" t="n">
        <f aca="false">IF(D123&gt;0,ROUNDUP(D123/Parametres!$B$7,0)+1,0)</f>
        <v>2</v>
      </c>
      <c r="F123" s="3" t="n">
        <f aca="false">SUMIFS(Equipes!$D$2:$D$60,Equipes!$A$2:$A$60,"LOT-03",Equipes!$B$2:$B$60,"&lt;="&amp;$A123,Equipes!$C$2:$C$60,"&gt;="&amp;$A123)</f>
        <v>14</v>
      </c>
      <c r="G123" s="3" t="n">
        <f aca="false">IF(F123&gt;0,ROUNDUP(F123/Parametres!$B$7,0)+1,0)</f>
        <v>3</v>
      </c>
      <c r="H123" s="3" t="n">
        <f aca="false">SUMIFS(Equipes!$D$2:$D$60,Equipes!$A$2:$A$60,"LOT-04",Equipes!$B$2:$B$60,"&lt;="&amp;$A123,Equipes!$C$2:$C$60,"&gt;="&amp;$A123)</f>
        <v>14</v>
      </c>
      <c r="I123" s="3" t="n">
        <f aca="false">IF(H123&gt;0,ROUNDUP(H123/Parametres!$B$7,0)+1,0)</f>
        <v>3</v>
      </c>
      <c r="J123" s="3" t="n">
        <f aca="false">SUMIFS(Equipes!$D$2:$D$60,Equipes!$A$2:$A$60,"LOT-05",Equipes!$B$2:$B$60,"&lt;="&amp;$A123,Equipes!$C$2:$C$60,"&gt;="&amp;$A123)</f>
        <v>0</v>
      </c>
      <c r="K123" s="3" t="n">
        <f aca="false">IF(J123&gt;0,ROUNDUP(J123/Parametres!$B$7,0)+1,0)</f>
        <v>0</v>
      </c>
      <c r="L123" s="3" t="n">
        <f aca="false">SUMIFS(Equipes!$D$2:$D$60,Equipes!$A$2:$A$60,"LOT-06",Equipes!$B$2:$B$60,"&lt;="&amp;$A123,Equipes!$C$2:$C$60,"&gt;="&amp;$A123)</f>
        <v>0</v>
      </c>
      <c r="M123" s="3" t="n">
        <f aca="false">IF(L123&gt;0,ROUNDUP(L123/Parametres!$B$7,0)+1,0)</f>
        <v>0</v>
      </c>
      <c r="N123" s="3" t="n">
        <f aca="false">SUMIFS(Equipes!$D$2:$D$60,Equipes!$A$2:$A$60,"LOT-07",Equipes!$B$2:$B$60,"&lt;="&amp;$A123,Equipes!$C$2:$C$60,"&gt;="&amp;$A123)</f>
        <v>0</v>
      </c>
      <c r="O123" s="3" t="n">
        <f aca="false">IF(N123&gt;0,ROUNDUP(N123/Parametres!$B$7,0)+1,0)</f>
        <v>0</v>
      </c>
      <c r="P123" s="3" t="n">
        <f aca="false">SUMIFS(Equipes!$D$2:$D$60,Equipes!$A$2:$A$60,"LOT-08",Equipes!$B$2:$B$60,"&lt;="&amp;$A123,Equipes!$C$2:$C$60,"&gt;="&amp;$A123)</f>
        <v>0</v>
      </c>
      <c r="Q123" s="3" t="n">
        <f aca="false">IF(P123&gt;0,ROUNDUP(P123/Parametres!$B$7,0)+1,0)</f>
        <v>0</v>
      </c>
    </row>
    <row r="124" customFormat="false" ht="15" hidden="false" customHeight="false" outlineLevel="0" collapsed="false">
      <c r="A124" s="2" t="n">
        <v>46205</v>
      </c>
      <c r="B124" s="3" t="n">
        <f aca="false">SUMIFS(Equipes!$D$2:$D$60,Equipes!$A$2:$A$60,"LOT-01",Equipes!$B$2:$B$60,"&lt;="&amp;$A124,Equipes!$C$2:$C$60,"&gt;="&amp;$A124)</f>
        <v>0</v>
      </c>
      <c r="C124" s="3" t="n">
        <f aca="false">IF(B124&gt;0,ROUNDUP(B124/Parametres!$B$7,0)+1,0)</f>
        <v>0</v>
      </c>
      <c r="D124" s="3" t="n">
        <f aca="false">SUMIFS(Equipes!$D$2:$D$60,Equipes!$A$2:$A$60,"LOT-02",Equipes!$B$2:$B$60,"&lt;="&amp;$A124,Equipes!$C$2:$C$60,"&gt;="&amp;$A124)</f>
        <v>12</v>
      </c>
      <c r="E124" s="3" t="n">
        <f aca="false">IF(D124&gt;0,ROUNDUP(D124/Parametres!$B$7,0)+1,0)</f>
        <v>2</v>
      </c>
      <c r="F124" s="3" t="n">
        <f aca="false">SUMIFS(Equipes!$D$2:$D$60,Equipes!$A$2:$A$60,"LOT-03",Equipes!$B$2:$B$60,"&lt;="&amp;$A124,Equipes!$C$2:$C$60,"&gt;="&amp;$A124)</f>
        <v>14</v>
      </c>
      <c r="G124" s="3" t="n">
        <f aca="false">IF(F124&gt;0,ROUNDUP(F124/Parametres!$B$7,0)+1,0)</f>
        <v>3</v>
      </c>
      <c r="H124" s="3" t="n">
        <f aca="false">SUMIFS(Equipes!$D$2:$D$60,Equipes!$A$2:$A$60,"LOT-04",Equipes!$B$2:$B$60,"&lt;="&amp;$A124,Equipes!$C$2:$C$60,"&gt;="&amp;$A124)</f>
        <v>14</v>
      </c>
      <c r="I124" s="3" t="n">
        <f aca="false">IF(H124&gt;0,ROUNDUP(H124/Parametres!$B$7,0)+1,0)</f>
        <v>3</v>
      </c>
      <c r="J124" s="3" t="n">
        <f aca="false">SUMIFS(Equipes!$D$2:$D$60,Equipes!$A$2:$A$60,"LOT-05",Equipes!$B$2:$B$60,"&lt;="&amp;$A124,Equipes!$C$2:$C$60,"&gt;="&amp;$A124)</f>
        <v>0</v>
      </c>
      <c r="K124" s="3" t="n">
        <f aca="false">IF(J124&gt;0,ROUNDUP(J124/Parametres!$B$7,0)+1,0)</f>
        <v>0</v>
      </c>
      <c r="L124" s="3" t="n">
        <f aca="false">SUMIFS(Equipes!$D$2:$D$60,Equipes!$A$2:$A$60,"LOT-06",Equipes!$B$2:$B$60,"&lt;="&amp;$A124,Equipes!$C$2:$C$60,"&gt;="&amp;$A124)</f>
        <v>0</v>
      </c>
      <c r="M124" s="3" t="n">
        <f aca="false">IF(L124&gt;0,ROUNDUP(L124/Parametres!$B$7,0)+1,0)</f>
        <v>0</v>
      </c>
      <c r="N124" s="3" t="n">
        <f aca="false">SUMIFS(Equipes!$D$2:$D$60,Equipes!$A$2:$A$60,"LOT-07",Equipes!$B$2:$B$60,"&lt;="&amp;$A124,Equipes!$C$2:$C$60,"&gt;="&amp;$A124)</f>
        <v>0</v>
      </c>
      <c r="O124" s="3" t="n">
        <f aca="false">IF(N124&gt;0,ROUNDUP(N124/Parametres!$B$7,0)+1,0)</f>
        <v>0</v>
      </c>
      <c r="P124" s="3" t="n">
        <f aca="false">SUMIFS(Equipes!$D$2:$D$60,Equipes!$A$2:$A$60,"LOT-08",Equipes!$B$2:$B$60,"&lt;="&amp;$A124,Equipes!$C$2:$C$60,"&gt;="&amp;$A124)</f>
        <v>0</v>
      </c>
      <c r="Q124" s="3" t="n">
        <f aca="false">IF(P124&gt;0,ROUNDUP(P124/Parametres!$B$7,0)+1,0)</f>
        <v>0</v>
      </c>
    </row>
    <row r="125" customFormat="false" ht="15" hidden="false" customHeight="false" outlineLevel="0" collapsed="false">
      <c r="A125" s="2" t="n">
        <v>46206</v>
      </c>
      <c r="B125" s="3" t="n">
        <f aca="false">SUMIFS(Equipes!$D$2:$D$60,Equipes!$A$2:$A$60,"LOT-01",Equipes!$B$2:$B$60,"&lt;="&amp;$A125,Equipes!$C$2:$C$60,"&gt;="&amp;$A125)</f>
        <v>0</v>
      </c>
      <c r="C125" s="3" t="n">
        <f aca="false">IF(B125&gt;0,ROUNDUP(B125/Parametres!$B$7,0)+1,0)</f>
        <v>0</v>
      </c>
      <c r="D125" s="3" t="n">
        <f aca="false">SUMIFS(Equipes!$D$2:$D$60,Equipes!$A$2:$A$60,"LOT-02",Equipes!$B$2:$B$60,"&lt;="&amp;$A125,Equipes!$C$2:$C$60,"&gt;="&amp;$A125)</f>
        <v>12</v>
      </c>
      <c r="E125" s="3" t="n">
        <f aca="false">IF(D125&gt;0,ROUNDUP(D125/Parametres!$B$7,0)+1,0)</f>
        <v>2</v>
      </c>
      <c r="F125" s="3" t="n">
        <f aca="false">SUMIFS(Equipes!$D$2:$D$60,Equipes!$A$2:$A$60,"LOT-03",Equipes!$B$2:$B$60,"&lt;="&amp;$A125,Equipes!$C$2:$C$60,"&gt;="&amp;$A125)</f>
        <v>14</v>
      </c>
      <c r="G125" s="3" t="n">
        <f aca="false">IF(F125&gt;0,ROUNDUP(F125/Parametres!$B$7,0)+1,0)</f>
        <v>3</v>
      </c>
      <c r="H125" s="3" t="n">
        <f aca="false">SUMIFS(Equipes!$D$2:$D$60,Equipes!$A$2:$A$60,"LOT-04",Equipes!$B$2:$B$60,"&lt;="&amp;$A125,Equipes!$C$2:$C$60,"&gt;="&amp;$A125)</f>
        <v>14</v>
      </c>
      <c r="I125" s="3" t="n">
        <f aca="false">IF(H125&gt;0,ROUNDUP(H125/Parametres!$B$7,0)+1,0)</f>
        <v>3</v>
      </c>
      <c r="J125" s="3" t="n">
        <f aca="false">SUMIFS(Equipes!$D$2:$D$60,Equipes!$A$2:$A$60,"LOT-05",Equipes!$B$2:$B$60,"&lt;="&amp;$A125,Equipes!$C$2:$C$60,"&gt;="&amp;$A125)</f>
        <v>0</v>
      </c>
      <c r="K125" s="3" t="n">
        <f aca="false">IF(J125&gt;0,ROUNDUP(J125/Parametres!$B$7,0)+1,0)</f>
        <v>0</v>
      </c>
      <c r="L125" s="3" t="n">
        <f aca="false">SUMIFS(Equipes!$D$2:$D$60,Equipes!$A$2:$A$60,"LOT-06",Equipes!$B$2:$B$60,"&lt;="&amp;$A125,Equipes!$C$2:$C$60,"&gt;="&amp;$A125)</f>
        <v>0</v>
      </c>
      <c r="M125" s="3" t="n">
        <f aca="false">IF(L125&gt;0,ROUNDUP(L125/Parametres!$B$7,0)+1,0)</f>
        <v>0</v>
      </c>
      <c r="N125" s="3" t="n">
        <f aca="false">SUMIFS(Equipes!$D$2:$D$60,Equipes!$A$2:$A$60,"LOT-07",Equipes!$B$2:$B$60,"&lt;="&amp;$A125,Equipes!$C$2:$C$60,"&gt;="&amp;$A125)</f>
        <v>0</v>
      </c>
      <c r="O125" s="3" t="n">
        <f aca="false">IF(N125&gt;0,ROUNDUP(N125/Parametres!$B$7,0)+1,0)</f>
        <v>0</v>
      </c>
      <c r="P125" s="3" t="n">
        <f aca="false">SUMIFS(Equipes!$D$2:$D$60,Equipes!$A$2:$A$60,"LOT-08",Equipes!$B$2:$B$60,"&lt;="&amp;$A125,Equipes!$C$2:$C$60,"&gt;="&amp;$A125)</f>
        <v>0</v>
      </c>
      <c r="Q125" s="3" t="n">
        <f aca="false">IF(P125&gt;0,ROUNDUP(P125/Parametres!$B$7,0)+1,0)</f>
        <v>0</v>
      </c>
    </row>
    <row r="126" customFormat="false" ht="15" hidden="false" customHeight="false" outlineLevel="0" collapsed="false">
      <c r="A126" s="2" t="n">
        <v>46207</v>
      </c>
      <c r="B126" s="3" t="n">
        <f aca="false">SUMIFS(Equipes!$D$2:$D$60,Equipes!$A$2:$A$60,"LOT-01",Equipes!$B$2:$B$60,"&lt;="&amp;$A126,Equipes!$C$2:$C$60,"&gt;="&amp;$A126)</f>
        <v>0</v>
      </c>
      <c r="C126" s="3" t="n">
        <f aca="false">IF(B126&gt;0,ROUNDUP(B126/Parametres!$B$7,0)+1,0)</f>
        <v>0</v>
      </c>
      <c r="D126" s="3" t="n">
        <f aca="false">SUMIFS(Equipes!$D$2:$D$60,Equipes!$A$2:$A$60,"LOT-02",Equipes!$B$2:$B$60,"&lt;="&amp;$A126,Equipes!$C$2:$C$60,"&gt;="&amp;$A126)</f>
        <v>12</v>
      </c>
      <c r="E126" s="3" t="n">
        <f aca="false">IF(D126&gt;0,ROUNDUP(D126/Parametres!$B$7,0)+1,0)</f>
        <v>2</v>
      </c>
      <c r="F126" s="3" t="n">
        <f aca="false">SUMIFS(Equipes!$D$2:$D$60,Equipes!$A$2:$A$60,"LOT-03",Equipes!$B$2:$B$60,"&lt;="&amp;$A126,Equipes!$C$2:$C$60,"&gt;="&amp;$A126)</f>
        <v>0</v>
      </c>
      <c r="G126" s="3" t="n">
        <f aca="false">IF(F126&gt;0,ROUNDUP(F126/Parametres!$B$7,0)+1,0)</f>
        <v>0</v>
      </c>
      <c r="H126" s="3" t="n">
        <f aca="false">SUMIFS(Equipes!$D$2:$D$60,Equipes!$A$2:$A$60,"LOT-04",Equipes!$B$2:$B$60,"&lt;="&amp;$A126,Equipes!$C$2:$C$60,"&gt;="&amp;$A126)</f>
        <v>14</v>
      </c>
      <c r="I126" s="3" t="n">
        <f aca="false">IF(H126&gt;0,ROUNDUP(H126/Parametres!$B$7,0)+1,0)</f>
        <v>3</v>
      </c>
      <c r="J126" s="3" t="n">
        <f aca="false">SUMIFS(Equipes!$D$2:$D$60,Equipes!$A$2:$A$60,"LOT-05",Equipes!$B$2:$B$60,"&lt;="&amp;$A126,Equipes!$C$2:$C$60,"&gt;="&amp;$A126)</f>
        <v>0</v>
      </c>
      <c r="K126" s="3" t="n">
        <f aca="false">IF(J126&gt;0,ROUNDUP(J126/Parametres!$B$7,0)+1,0)</f>
        <v>0</v>
      </c>
      <c r="L126" s="3" t="n">
        <f aca="false">SUMIFS(Equipes!$D$2:$D$60,Equipes!$A$2:$A$60,"LOT-06",Equipes!$B$2:$B$60,"&lt;="&amp;$A126,Equipes!$C$2:$C$60,"&gt;="&amp;$A126)</f>
        <v>0</v>
      </c>
      <c r="M126" s="3" t="n">
        <f aca="false">IF(L126&gt;0,ROUNDUP(L126/Parametres!$B$7,0)+1,0)</f>
        <v>0</v>
      </c>
      <c r="N126" s="3" t="n">
        <f aca="false">SUMIFS(Equipes!$D$2:$D$60,Equipes!$A$2:$A$60,"LOT-07",Equipes!$B$2:$B$60,"&lt;="&amp;$A126,Equipes!$C$2:$C$60,"&gt;="&amp;$A126)</f>
        <v>0</v>
      </c>
      <c r="O126" s="3" t="n">
        <f aca="false">IF(N126&gt;0,ROUNDUP(N126/Parametres!$B$7,0)+1,0)</f>
        <v>0</v>
      </c>
      <c r="P126" s="3" t="n">
        <f aca="false">SUMIFS(Equipes!$D$2:$D$60,Equipes!$A$2:$A$60,"LOT-08",Equipes!$B$2:$B$60,"&lt;="&amp;$A126,Equipes!$C$2:$C$60,"&gt;="&amp;$A126)</f>
        <v>0</v>
      </c>
      <c r="Q126" s="3" t="n">
        <f aca="false">IF(P126&gt;0,ROUNDUP(P126/Parametres!$B$7,0)+1,0)</f>
        <v>0</v>
      </c>
    </row>
    <row r="127" customFormat="false" ht="15" hidden="false" customHeight="false" outlineLevel="0" collapsed="false">
      <c r="A127" s="2" t="n">
        <v>46208</v>
      </c>
      <c r="B127" s="3" t="n">
        <f aca="false">SUMIFS(Equipes!$D$2:$D$60,Equipes!$A$2:$A$60,"LOT-01",Equipes!$B$2:$B$60,"&lt;="&amp;$A127,Equipes!$C$2:$C$60,"&gt;="&amp;$A127)</f>
        <v>0</v>
      </c>
      <c r="C127" s="3" t="n">
        <f aca="false">IF(B127&gt;0,ROUNDUP(B127/Parametres!$B$7,0)+1,0)</f>
        <v>0</v>
      </c>
      <c r="D127" s="3" t="n">
        <f aca="false">SUMIFS(Equipes!$D$2:$D$60,Equipes!$A$2:$A$60,"LOT-02",Equipes!$B$2:$B$60,"&lt;="&amp;$A127,Equipes!$C$2:$C$60,"&gt;="&amp;$A127)</f>
        <v>12</v>
      </c>
      <c r="E127" s="3" t="n">
        <f aca="false">IF(D127&gt;0,ROUNDUP(D127/Parametres!$B$7,0)+1,0)</f>
        <v>2</v>
      </c>
      <c r="F127" s="3" t="n">
        <f aca="false">SUMIFS(Equipes!$D$2:$D$60,Equipes!$A$2:$A$60,"LOT-03",Equipes!$B$2:$B$60,"&lt;="&amp;$A127,Equipes!$C$2:$C$60,"&gt;="&amp;$A127)</f>
        <v>0</v>
      </c>
      <c r="G127" s="3" t="n">
        <f aca="false">IF(F127&gt;0,ROUNDUP(F127/Parametres!$B$7,0)+1,0)</f>
        <v>0</v>
      </c>
      <c r="H127" s="3" t="n">
        <f aca="false">SUMIFS(Equipes!$D$2:$D$60,Equipes!$A$2:$A$60,"LOT-04",Equipes!$B$2:$B$60,"&lt;="&amp;$A127,Equipes!$C$2:$C$60,"&gt;="&amp;$A127)</f>
        <v>14</v>
      </c>
      <c r="I127" s="3" t="n">
        <f aca="false">IF(H127&gt;0,ROUNDUP(H127/Parametres!$B$7,0)+1,0)</f>
        <v>3</v>
      </c>
      <c r="J127" s="3" t="n">
        <f aca="false">SUMIFS(Equipes!$D$2:$D$60,Equipes!$A$2:$A$60,"LOT-05",Equipes!$B$2:$B$60,"&lt;="&amp;$A127,Equipes!$C$2:$C$60,"&gt;="&amp;$A127)</f>
        <v>0</v>
      </c>
      <c r="K127" s="3" t="n">
        <f aca="false">IF(J127&gt;0,ROUNDUP(J127/Parametres!$B$7,0)+1,0)</f>
        <v>0</v>
      </c>
      <c r="L127" s="3" t="n">
        <f aca="false">SUMIFS(Equipes!$D$2:$D$60,Equipes!$A$2:$A$60,"LOT-06",Equipes!$B$2:$B$60,"&lt;="&amp;$A127,Equipes!$C$2:$C$60,"&gt;="&amp;$A127)</f>
        <v>0</v>
      </c>
      <c r="M127" s="3" t="n">
        <f aca="false">IF(L127&gt;0,ROUNDUP(L127/Parametres!$B$7,0)+1,0)</f>
        <v>0</v>
      </c>
      <c r="N127" s="3" t="n">
        <f aca="false">SUMIFS(Equipes!$D$2:$D$60,Equipes!$A$2:$A$60,"LOT-07",Equipes!$B$2:$B$60,"&lt;="&amp;$A127,Equipes!$C$2:$C$60,"&gt;="&amp;$A127)</f>
        <v>0</v>
      </c>
      <c r="O127" s="3" t="n">
        <f aca="false">IF(N127&gt;0,ROUNDUP(N127/Parametres!$B$7,0)+1,0)</f>
        <v>0</v>
      </c>
      <c r="P127" s="3" t="n">
        <f aca="false">SUMIFS(Equipes!$D$2:$D$60,Equipes!$A$2:$A$60,"LOT-08",Equipes!$B$2:$B$60,"&lt;="&amp;$A127,Equipes!$C$2:$C$60,"&gt;="&amp;$A127)</f>
        <v>0</v>
      </c>
      <c r="Q127" s="3" t="n">
        <f aca="false">IF(P127&gt;0,ROUNDUP(P127/Parametres!$B$7,0)+1,0)</f>
        <v>0</v>
      </c>
    </row>
    <row r="128" customFormat="false" ht="15" hidden="false" customHeight="false" outlineLevel="0" collapsed="false">
      <c r="A128" s="2" t="n">
        <v>46209</v>
      </c>
      <c r="B128" s="3" t="n">
        <f aca="false">SUMIFS(Equipes!$D$2:$D$60,Equipes!$A$2:$A$60,"LOT-01",Equipes!$B$2:$B$60,"&lt;="&amp;$A128,Equipes!$C$2:$C$60,"&gt;="&amp;$A128)</f>
        <v>0</v>
      </c>
      <c r="C128" s="3" t="n">
        <f aca="false">IF(B128&gt;0,ROUNDUP(B128/Parametres!$B$7,0)+1,0)</f>
        <v>0</v>
      </c>
      <c r="D128" s="3" t="n">
        <f aca="false">SUMIFS(Equipes!$D$2:$D$60,Equipes!$A$2:$A$60,"LOT-02",Equipes!$B$2:$B$60,"&lt;="&amp;$A128,Equipes!$C$2:$C$60,"&gt;="&amp;$A128)</f>
        <v>12</v>
      </c>
      <c r="E128" s="3" t="n">
        <f aca="false">IF(D128&gt;0,ROUNDUP(D128/Parametres!$B$7,0)+1,0)</f>
        <v>2</v>
      </c>
      <c r="F128" s="3" t="n">
        <f aca="false">SUMIFS(Equipes!$D$2:$D$60,Equipes!$A$2:$A$60,"LOT-03",Equipes!$B$2:$B$60,"&lt;="&amp;$A128,Equipes!$C$2:$C$60,"&gt;="&amp;$A128)</f>
        <v>0</v>
      </c>
      <c r="G128" s="3" t="n">
        <f aca="false">IF(F128&gt;0,ROUNDUP(F128/Parametres!$B$7,0)+1,0)</f>
        <v>0</v>
      </c>
      <c r="H128" s="3" t="n">
        <f aca="false">SUMIFS(Equipes!$D$2:$D$60,Equipes!$A$2:$A$60,"LOT-04",Equipes!$B$2:$B$60,"&lt;="&amp;$A128,Equipes!$C$2:$C$60,"&gt;="&amp;$A128)</f>
        <v>14</v>
      </c>
      <c r="I128" s="3" t="n">
        <f aca="false">IF(H128&gt;0,ROUNDUP(H128/Parametres!$B$7,0)+1,0)</f>
        <v>3</v>
      </c>
      <c r="J128" s="3" t="n">
        <f aca="false">SUMIFS(Equipes!$D$2:$D$60,Equipes!$A$2:$A$60,"LOT-05",Equipes!$B$2:$B$60,"&lt;="&amp;$A128,Equipes!$C$2:$C$60,"&gt;="&amp;$A128)</f>
        <v>0</v>
      </c>
      <c r="K128" s="3" t="n">
        <f aca="false">IF(J128&gt;0,ROUNDUP(J128/Parametres!$B$7,0)+1,0)</f>
        <v>0</v>
      </c>
      <c r="L128" s="3" t="n">
        <f aca="false">SUMIFS(Equipes!$D$2:$D$60,Equipes!$A$2:$A$60,"LOT-06",Equipes!$B$2:$B$60,"&lt;="&amp;$A128,Equipes!$C$2:$C$60,"&gt;="&amp;$A128)</f>
        <v>0</v>
      </c>
      <c r="M128" s="3" t="n">
        <f aca="false">IF(L128&gt;0,ROUNDUP(L128/Parametres!$B$7,0)+1,0)</f>
        <v>0</v>
      </c>
      <c r="N128" s="3" t="n">
        <f aca="false">SUMIFS(Equipes!$D$2:$D$60,Equipes!$A$2:$A$60,"LOT-07",Equipes!$B$2:$B$60,"&lt;="&amp;$A128,Equipes!$C$2:$C$60,"&gt;="&amp;$A128)</f>
        <v>0</v>
      </c>
      <c r="O128" s="3" t="n">
        <f aca="false">IF(N128&gt;0,ROUNDUP(N128/Parametres!$B$7,0)+1,0)</f>
        <v>0</v>
      </c>
      <c r="P128" s="3" t="n">
        <f aca="false">SUMIFS(Equipes!$D$2:$D$60,Equipes!$A$2:$A$60,"LOT-08",Equipes!$B$2:$B$60,"&lt;="&amp;$A128,Equipes!$C$2:$C$60,"&gt;="&amp;$A128)</f>
        <v>0</v>
      </c>
      <c r="Q128" s="3" t="n">
        <f aca="false">IF(P128&gt;0,ROUNDUP(P128/Parametres!$B$7,0)+1,0)</f>
        <v>0</v>
      </c>
    </row>
    <row r="129" customFormat="false" ht="15" hidden="false" customHeight="false" outlineLevel="0" collapsed="false">
      <c r="A129" s="2" t="n">
        <v>46210</v>
      </c>
      <c r="B129" s="3" t="n">
        <f aca="false">SUMIFS(Equipes!$D$2:$D$60,Equipes!$A$2:$A$60,"LOT-01",Equipes!$B$2:$B$60,"&lt;="&amp;$A129,Equipes!$C$2:$C$60,"&gt;="&amp;$A129)</f>
        <v>0</v>
      </c>
      <c r="C129" s="3" t="n">
        <f aca="false">IF(B129&gt;0,ROUNDUP(B129/Parametres!$B$7,0)+1,0)</f>
        <v>0</v>
      </c>
      <c r="D129" s="3" t="n">
        <f aca="false">SUMIFS(Equipes!$D$2:$D$60,Equipes!$A$2:$A$60,"LOT-02",Equipes!$B$2:$B$60,"&lt;="&amp;$A129,Equipes!$C$2:$C$60,"&gt;="&amp;$A129)</f>
        <v>12</v>
      </c>
      <c r="E129" s="3" t="n">
        <f aca="false">IF(D129&gt;0,ROUNDUP(D129/Parametres!$B$7,0)+1,0)</f>
        <v>2</v>
      </c>
      <c r="F129" s="3" t="n">
        <f aca="false">SUMIFS(Equipes!$D$2:$D$60,Equipes!$A$2:$A$60,"LOT-03",Equipes!$B$2:$B$60,"&lt;="&amp;$A129,Equipes!$C$2:$C$60,"&gt;="&amp;$A129)</f>
        <v>0</v>
      </c>
      <c r="G129" s="3" t="n">
        <f aca="false">IF(F129&gt;0,ROUNDUP(F129/Parametres!$B$7,0)+1,0)</f>
        <v>0</v>
      </c>
      <c r="H129" s="3" t="n">
        <f aca="false">SUMIFS(Equipes!$D$2:$D$60,Equipes!$A$2:$A$60,"LOT-04",Equipes!$B$2:$B$60,"&lt;="&amp;$A129,Equipes!$C$2:$C$60,"&gt;="&amp;$A129)</f>
        <v>14</v>
      </c>
      <c r="I129" s="3" t="n">
        <f aca="false">IF(H129&gt;0,ROUNDUP(H129/Parametres!$B$7,0)+1,0)</f>
        <v>3</v>
      </c>
      <c r="J129" s="3" t="n">
        <f aca="false">SUMIFS(Equipes!$D$2:$D$60,Equipes!$A$2:$A$60,"LOT-05",Equipes!$B$2:$B$60,"&lt;="&amp;$A129,Equipes!$C$2:$C$60,"&gt;="&amp;$A129)</f>
        <v>0</v>
      </c>
      <c r="K129" s="3" t="n">
        <f aca="false">IF(J129&gt;0,ROUNDUP(J129/Parametres!$B$7,0)+1,0)</f>
        <v>0</v>
      </c>
      <c r="L129" s="3" t="n">
        <f aca="false">SUMIFS(Equipes!$D$2:$D$60,Equipes!$A$2:$A$60,"LOT-06",Equipes!$B$2:$B$60,"&lt;="&amp;$A129,Equipes!$C$2:$C$60,"&gt;="&amp;$A129)</f>
        <v>0</v>
      </c>
      <c r="M129" s="3" t="n">
        <f aca="false">IF(L129&gt;0,ROUNDUP(L129/Parametres!$B$7,0)+1,0)</f>
        <v>0</v>
      </c>
      <c r="N129" s="3" t="n">
        <f aca="false">SUMIFS(Equipes!$D$2:$D$60,Equipes!$A$2:$A$60,"LOT-07",Equipes!$B$2:$B$60,"&lt;="&amp;$A129,Equipes!$C$2:$C$60,"&gt;="&amp;$A129)</f>
        <v>0</v>
      </c>
      <c r="O129" s="3" t="n">
        <f aca="false">IF(N129&gt;0,ROUNDUP(N129/Parametres!$B$7,0)+1,0)</f>
        <v>0</v>
      </c>
      <c r="P129" s="3" t="n">
        <f aca="false">SUMIFS(Equipes!$D$2:$D$60,Equipes!$A$2:$A$60,"LOT-08",Equipes!$B$2:$B$60,"&lt;="&amp;$A129,Equipes!$C$2:$C$60,"&gt;="&amp;$A129)</f>
        <v>0</v>
      </c>
      <c r="Q129" s="3" t="n">
        <f aca="false">IF(P129&gt;0,ROUNDUP(P129/Parametres!$B$7,0)+1,0)</f>
        <v>0</v>
      </c>
    </row>
    <row r="130" customFormat="false" ht="15" hidden="false" customHeight="false" outlineLevel="0" collapsed="false">
      <c r="A130" s="2" t="n">
        <v>46211</v>
      </c>
      <c r="B130" s="3" t="n">
        <f aca="false">SUMIFS(Equipes!$D$2:$D$60,Equipes!$A$2:$A$60,"LOT-01",Equipes!$B$2:$B$60,"&lt;="&amp;$A130,Equipes!$C$2:$C$60,"&gt;="&amp;$A130)</f>
        <v>0</v>
      </c>
      <c r="C130" s="3" t="n">
        <f aca="false">IF(B130&gt;0,ROUNDUP(B130/Parametres!$B$7,0)+1,0)</f>
        <v>0</v>
      </c>
      <c r="D130" s="3" t="n">
        <f aca="false">SUMIFS(Equipes!$D$2:$D$60,Equipes!$A$2:$A$60,"LOT-02",Equipes!$B$2:$B$60,"&lt;="&amp;$A130,Equipes!$C$2:$C$60,"&gt;="&amp;$A130)</f>
        <v>12</v>
      </c>
      <c r="E130" s="3" t="n">
        <f aca="false">IF(D130&gt;0,ROUNDUP(D130/Parametres!$B$7,0)+1,0)</f>
        <v>2</v>
      </c>
      <c r="F130" s="3" t="n">
        <f aca="false">SUMIFS(Equipes!$D$2:$D$60,Equipes!$A$2:$A$60,"LOT-03",Equipes!$B$2:$B$60,"&lt;="&amp;$A130,Equipes!$C$2:$C$60,"&gt;="&amp;$A130)</f>
        <v>0</v>
      </c>
      <c r="G130" s="3" t="n">
        <f aca="false">IF(F130&gt;0,ROUNDUP(F130/Parametres!$B$7,0)+1,0)</f>
        <v>0</v>
      </c>
      <c r="H130" s="3" t="n">
        <f aca="false">SUMIFS(Equipes!$D$2:$D$60,Equipes!$A$2:$A$60,"LOT-04",Equipes!$B$2:$B$60,"&lt;="&amp;$A130,Equipes!$C$2:$C$60,"&gt;="&amp;$A130)</f>
        <v>14</v>
      </c>
      <c r="I130" s="3" t="n">
        <f aca="false">IF(H130&gt;0,ROUNDUP(H130/Parametres!$B$7,0)+1,0)</f>
        <v>3</v>
      </c>
      <c r="J130" s="3" t="n">
        <f aca="false">SUMIFS(Equipes!$D$2:$D$60,Equipes!$A$2:$A$60,"LOT-05",Equipes!$B$2:$B$60,"&lt;="&amp;$A130,Equipes!$C$2:$C$60,"&gt;="&amp;$A130)</f>
        <v>0</v>
      </c>
      <c r="K130" s="3" t="n">
        <f aca="false">IF(J130&gt;0,ROUNDUP(J130/Parametres!$B$7,0)+1,0)</f>
        <v>0</v>
      </c>
      <c r="L130" s="3" t="n">
        <f aca="false">SUMIFS(Equipes!$D$2:$D$60,Equipes!$A$2:$A$60,"LOT-06",Equipes!$B$2:$B$60,"&lt;="&amp;$A130,Equipes!$C$2:$C$60,"&gt;="&amp;$A130)</f>
        <v>0</v>
      </c>
      <c r="M130" s="3" t="n">
        <f aca="false">IF(L130&gt;0,ROUNDUP(L130/Parametres!$B$7,0)+1,0)</f>
        <v>0</v>
      </c>
      <c r="N130" s="3" t="n">
        <f aca="false">SUMIFS(Equipes!$D$2:$D$60,Equipes!$A$2:$A$60,"LOT-07",Equipes!$B$2:$B$60,"&lt;="&amp;$A130,Equipes!$C$2:$C$60,"&gt;="&amp;$A130)</f>
        <v>0</v>
      </c>
      <c r="O130" s="3" t="n">
        <f aca="false">IF(N130&gt;0,ROUNDUP(N130/Parametres!$B$7,0)+1,0)</f>
        <v>0</v>
      </c>
      <c r="P130" s="3" t="n">
        <f aca="false">SUMIFS(Equipes!$D$2:$D$60,Equipes!$A$2:$A$60,"LOT-08",Equipes!$B$2:$B$60,"&lt;="&amp;$A130,Equipes!$C$2:$C$60,"&gt;="&amp;$A130)</f>
        <v>0</v>
      </c>
      <c r="Q130" s="3" t="n">
        <f aca="false">IF(P130&gt;0,ROUNDUP(P130/Parametres!$B$7,0)+1,0)</f>
        <v>0</v>
      </c>
    </row>
    <row r="131" customFormat="false" ht="15" hidden="false" customHeight="false" outlineLevel="0" collapsed="false">
      <c r="A131" s="2" t="n">
        <v>46212</v>
      </c>
      <c r="B131" s="3" t="n">
        <f aca="false">SUMIFS(Equipes!$D$2:$D$60,Equipes!$A$2:$A$60,"LOT-01",Equipes!$B$2:$B$60,"&lt;="&amp;$A131,Equipes!$C$2:$C$60,"&gt;="&amp;$A131)</f>
        <v>0</v>
      </c>
      <c r="C131" s="3" t="n">
        <f aca="false">IF(B131&gt;0,ROUNDUP(B131/Parametres!$B$7,0)+1,0)</f>
        <v>0</v>
      </c>
      <c r="D131" s="3" t="n">
        <f aca="false">SUMIFS(Equipes!$D$2:$D$60,Equipes!$A$2:$A$60,"LOT-02",Equipes!$B$2:$B$60,"&lt;="&amp;$A131,Equipes!$C$2:$C$60,"&gt;="&amp;$A131)</f>
        <v>12</v>
      </c>
      <c r="E131" s="3" t="n">
        <f aca="false">IF(D131&gt;0,ROUNDUP(D131/Parametres!$B$7,0)+1,0)</f>
        <v>2</v>
      </c>
      <c r="F131" s="3" t="n">
        <f aca="false">SUMIFS(Equipes!$D$2:$D$60,Equipes!$A$2:$A$60,"LOT-03",Equipes!$B$2:$B$60,"&lt;="&amp;$A131,Equipes!$C$2:$C$60,"&gt;="&amp;$A131)</f>
        <v>0</v>
      </c>
      <c r="G131" s="3" t="n">
        <f aca="false">IF(F131&gt;0,ROUNDUP(F131/Parametres!$B$7,0)+1,0)</f>
        <v>0</v>
      </c>
      <c r="H131" s="3" t="n">
        <f aca="false">SUMIFS(Equipes!$D$2:$D$60,Equipes!$A$2:$A$60,"LOT-04",Equipes!$B$2:$B$60,"&lt;="&amp;$A131,Equipes!$C$2:$C$60,"&gt;="&amp;$A131)</f>
        <v>14</v>
      </c>
      <c r="I131" s="3" t="n">
        <f aca="false">IF(H131&gt;0,ROUNDUP(H131/Parametres!$B$7,0)+1,0)</f>
        <v>3</v>
      </c>
      <c r="J131" s="3" t="n">
        <f aca="false">SUMIFS(Equipes!$D$2:$D$60,Equipes!$A$2:$A$60,"LOT-05",Equipes!$B$2:$B$60,"&lt;="&amp;$A131,Equipes!$C$2:$C$60,"&gt;="&amp;$A131)</f>
        <v>0</v>
      </c>
      <c r="K131" s="3" t="n">
        <f aca="false">IF(J131&gt;0,ROUNDUP(J131/Parametres!$B$7,0)+1,0)</f>
        <v>0</v>
      </c>
      <c r="L131" s="3" t="n">
        <f aca="false">SUMIFS(Equipes!$D$2:$D$60,Equipes!$A$2:$A$60,"LOT-06",Equipes!$B$2:$B$60,"&lt;="&amp;$A131,Equipes!$C$2:$C$60,"&gt;="&amp;$A131)</f>
        <v>0</v>
      </c>
      <c r="M131" s="3" t="n">
        <f aca="false">IF(L131&gt;0,ROUNDUP(L131/Parametres!$B$7,0)+1,0)</f>
        <v>0</v>
      </c>
      <c r="N131" s="3" t="n">
        <f aca="false">SUMIFS(Equipes!$D$2:$D$60,Equipes!$A$2:$A$60,"LOT-07",Equipes!$B$2:$B$60,"&lt;="&amp;$A131,Equipes!$C$2:$C$60,"&gt;="&amp;$A131)</f>
        <v>0</v>
      </c>
      <c r="O131" s="3" t="n">
        <f aca="false">IF(N131&gt;0,ROUNDUP(N131/Parametres!$B$7,0)+1,0)</f>
        <v>0</v>
      </c>
      <c r="P131" s="3" t="n">
        <f aca="false">SUMIFS(Equipes!$D$2:$D$60,Equipes!$A$2:$A$60,"LOT-08",Equipes!$B$2:$B$60,"&lt;="&amp;$A131,Equipes!$C$2:$C$60,"&gt;="&amp;$A131)</f>
        <v>0</v>
      </c>
      <c r="Q131" s="3" t="n">
        <f aca="false">IF(P131&gt;0,ROUNDUP(P131/Parametres!$B$7,0)+1,0)</f>
        <v>0</v>
      </c>
    </row>
    <row r="132" customFormat="false" ht="15" hidden="false" customHeight="false" outlineLevel="0" collapsed="false">
      <c r="A132" s="2" t="n">
        <v>46213</v>
      </c>
      <c r="B132" s="3" t="n">
        <f aca="false">SUMIFS(Equipes!$D$2:$D$60,Equipes!$A$2:$A$60,"LOT-01",Equipes!$B$2:$B$60,"&lt;="&amp;$A132,Equipes!$C$2:$C$60,"&gt;="&amp;$A132)</f>
        <v>0</v>
      </c>
      <c r="C132" s="3" t="n">
        <f aca="false">IF(B132&gt;0,ROUNDUP(B132/Parametres!$B$7,0)+1,0)</f>
        <v>0</v>
      </c>
      <c r="D132" s="3" t="n">
        <f aca="false">SUMIFS(Equipes!$D$2:$D$60,Equipes!$A$2:$A$60,"LOT-02",Equipes!$B$2:$B$60,"&lt;="&amp;$A132,Equipes!$C$2:$C$60,"&gt;="&amp;$A132)</f>
        <v>6</v>
      </c>
      <c r="E132" s="3" t="n">
        <f aca="false">IF(D132&gt;0,ROUNDUP(D132/Parametres!$B$7,0)+1,0)</f>
        <v>2</v>
      </c>
      <c r="F132" s="3" t="n">
        <f aca="false">SUMIFS(Equipes!$D$2:$D$60,Equipes!$A$2:$A$60,"LOT-03",Equipes!$B$2:$B$60,"&lt;="&amp;$A132,Equipes!$C$2:$C$60,"&gt;="&amp;$A132)</f>
        <v>0</v>
      </c>
      <c r="G132" s="3" t="n">
        <f aca="false">IF(F132&gt;0,ROUNDUP(F132/Parametres!$B$7,0)+1,0)</f>
        <v>0</v>
      </c>
      <c r="H132" s="3" t="n">
        <f aca="false">SUMIFS(Equipes!$D$2:$D$60,Equipes!$A$2:$A$60,"LOT-04",Equipes!$B$2:$B$60,"&lt;="&amp;$A132,Equipes!$C$2:$C$60,"&gt;="&amp;$A132)</f>
        <v>14</v>
      </c>
      <c r="I132" s="3" t="n">
        <f aca="false">IF(H132&gt;0,ROUNDUP(H132/Parametres!$B$7,0)+1,0)</f>
        <v>3</v>
      </c>
      <c r="J132" s="3" t="n">
        <f aca="false">SUMIFS(Equipes!$D$2:$D$60,Equipes!$A$2:$A$60,"LOT-05",Equipes!$B$2:$B$60,"&lt;="&amp;$A132,Equipes!$C$2:$C$60,"&gt;="&amp;$A132)</f>
        <v>0</v>
      </c>
      <c r="K132" s="3" t="n">
        <f aca="false">IF(J132&gt;0,ROUNDUP(J132/Parametres!$B$7,0)+1,0)</f>
        <v>0</v>
      </c>
      <c r="L132" s="3" t="n">
        <f aca="false">SUMIFS(Equipes!$D$2:$D$60,Equipes!$A$2:$A$60,"LOT-06",Equipes!$B$2:$B$60,"&lt;="&amp;$A132,Equipes!$C$2:$C$60,"&gt;="&amp;$A132)</f>
        <v>0</v>
      </c>
      <c r="M132" s="3" t="n">
        <f aca="false">IF(L132&gt;0,ROUNDUP(L132/Parametres!$B$7,0)+1,0)</f>
        <v>0</v>
      </c>
      <c r="N132" s="3" t="n">
        <f aca="false">SUMIFS(Equipes!$D$2:$D$60,Equipes!$A$2:$A$60,"LOT-07",Equipes!$B$2:$B$60,"&lt;="&amp;$A132,Equipes!$C$2:$C$60,"&gt;="&amp;$A132)</f>
        <v>0</v>
      </c>
      <c r="O132" s="3" t="n">
        <f aca="false">IF(N132&gt;0,ROUNDUP(N132/Parametres!$B$7,0)+1,0)</f>
        <v>0</v>
      </c>
      <c r="P132" s="3" t="n">
        <f aca="false">SUMIFS(Equipes!$D$2:$D$60,Equipes!$A$2:$A$60,"LOT-08",Equipes!$B$2:$B$60,"&lt;="&amp;$A132,Equipes!$C$2:$C$60,"&gt;="&amp;$A132)</f>
        <v>0</v>
      </c>
      <c r="Q132" s="3" t="n">
        <f aca="false">IF(P132&gt;0,ROUNDUP(P132/Parametres!$B$7,0)+1,0)</f>
        <v>0</v>
      </c>
    </row>
    <row r="133" customFormat="false" ht="15" hidden="false" customHeight="false" outlineLevel="0" collapsed="false">
      <c r="A133" s="2" t="n">
        <v>46214</v>
      </c>
      <c r="B133" s="3" t="n">
        <f aca="false">SUMIFS(Equipes!$D$2:$D$60,Equipes!$A$2:$A$60,"LOT-01",Equipes!$B$2:$B$60,"&lt;="&amp;$A133,Equipes!$C$2:$C$60,"&gt;="&amp;$A133)</f>
        <v>0</v>
      </c>
      <c r="C133" s="3" t="n">
        <f aca="false">IF(B133&gt;0,ROUNDUP(B133/Parametres!$B$7,0)+1,0)</f>
        <v>0</v>
      </c>
      <c r="D133" s="3" t="n">
        <f aca="false">SUMIFS(Equipes!$D$2:$D$60,Equipes!$A$2:$A$60,"LOT-02",Equipes!$B$2:$B$60,"&lt;="&amp;$A133,Equipes!$C$2:$C$60,"&gt;="&amp;$A133)</f>
        <v>6</v>
      </c>
      <c r="E133" s="3" t="n">
        <f aca="false">IF(D133&gt;0,ROUNDUP(D133/Parametres!$B$7,0)+1,0)</f>
        <v>2</v>
      </c>
      <c r="F133" s="3" t="n">
        <f aca="false">SUMIFS(Equipes!$D$2:$D$60,Equipes!$A$2:$A$60,"LOT-03",Equipes!$B$2:$B$60,"&lt;="&amp;$A133,Equipes!$C$2:$C$60,"&gt;="&amp;$A133)</f>
        <v>0</v>
      </c>
      <c r="G133" s="3" t="n">
        <f aca="false">IF(F133&gt;0,ROUNDUP(F133/Parametres!$B$7,0)+1,0)</f>
        <v>0</v>
      </c>
      <c r="H133" s="3" t="n">
        <f aca="false">SUMIFS(Equipes!$D$2:$D$60,Equipes!$A$2:$A$60,"LOT-04",Equipes!$B$2:$B$60,"&lt;="&amp;$A133,Equipes!$C$2:$C$60,"&gt;="&amp;$A133)</f>
        <v>14</v>
      </c>
      <c r="I133" s="3" t="n">
        <f aca="false">IF(H133&gt;0,ROUNDUP(H133/Parametres!$B$7,0)+1,0)</f>
        <v>3</v>
      </c>
      <c r="J133" s="3" t="n">
        <f aca="false">SUMIFS(Equipes!$D$2:$D$60,Equipes!$A$2:$A$60,"LOT-05",Equipes!$B$2:$B$60,"&lt;="&amp;$A133,Equipes!$C$2:$C$60,"&gt;="&amp;$A133)</f>
        <v>0</v>
      </c>
      <c r="K133" s="3" t="n">
        <f aca="false">IF(J133&gt;0,ROUNDUP(J133/Parametres!$B$7,0)+1,0)</f>
        <v>0</v>
      </c>
      <c r="L133" s="3" t="n">
        <f aca="false">SUMIFS(Equipes!$D$2:$D$60,Equipes!$A$2:$A$60,"LOT-06",Equipes!$B$2:$B$60,"&lt;="&amp;$A133,Equipes!$C$2:$C$60,"&gt;="&amp;$A133)</f>
        <v>0</v>
      </c>
      <c r="M133" s="3" t="n">
        <f aca="false">IF(L133&gt;0,ROUNDUP(L133/Parametres!$B$7,0)+1,0)</f>
        <v>0</v>
      </c>
      <c r="N133" s="3" t="n">
        <f aca="false">SUMIFS(Equipes!$D$2:$D$60,Equipes!$A$2:$A$60,"LOT-07",Equipes!$B$2:$B$60,"&lt;="&amp;$A133,Equipes!$C$2:$C$60,"&gt;="&amp;$A133)</f>
        <v>0</v>
      </c>
      <c r="O133" s="3" t="n">
        <f aca="false">IF(N133&gt;0,ROUNDUP(N133/Parametres!$B$7,0)+1,0)</f>
        <v>0</v>
      </c>
      <c r="P133" s="3" t="n">
        <f aca="false">SUMIFS(Equipes!$D$2:$D$60,Equipes!$A$2:$A$60,"LOT-08",Equipes!$B$2:$B$60,"&lt;="&amp;$A133,Equipes!$C$2:$C$60,"&gt;="&amp;$A133)</f>
        <v>0</v>
      </c>
      <c r="Q133" s="3" t="n">
        <f aca="false">IF(P133&gt;0,ROUNDUP(P133/Parametres!$B$7,0)+1,0)</f>
        <v>0</v>
      </c>
    </row>
    <row r="134" customFormat="false" ht="15" hidden="false" customHeight="false" outlineLevel="0" collapsed="false">
      <c r="A134" s="2" t="n">
        <v>46215</v>
      </c>
      <c r="B134" s="3" t="n">
        <f aca="false">SUMIFS(Equipes!$D$2:$D$60,Equipes!$A$2:$A$60,"LOT-01",Equipes!$B$2:$B$60,"&lt;="&amp;$A134,Equipes!$C$2:$C$60,"&gt;="&amp;$A134)</f>
        <v>0</v>
      </c>
      <c r="C134" s="3" t="n">
        <f aca="false">IF(B134&gt;0,ROUNDUP(B134/Parametres!$B$7,0)+1,0)</f>
        <v>0</v>
      </c>
      <c r="D134" s="3" t="n">
        <f aca="false">SUMIFS(Equipes!$D$2:$D$60,Equipes!$A$2:$A$60,"LOT-02",Equipes!$B$2:$B$60,"&lt;="&amp;$A134,Equipes!$C$2:$C$60,"&gt;="&amp;$A134)</f>
        <v>6</v>
      </c>
      <c r="E134" s="3" t="n">
        <f aca="false">IF(D134&gt;0,ROUNDUP(D134/Parametres!$B$7,0)+1,0)</f>
        <v>2</v>
      </c>
      <c r="F134" s="3" t="n">
        <f aca="false">SUMIFS(Equipes!$D$2:$D$60,Equipes!$A$2:$A$60,"LOT-03",Equipes!$B$2:$B$60,"&lt;="&amp;$A134,Equipes!$C$2:$C$60,"&gt;="&amp;$A134)</f>
        <v>0</v>
      </c>
      <c r="G134" s="3" t="n">
        <f aca="false">IF(F134&gt;0,ROUNDUP(F134/Parametres!$B$7,0)+1,0)</f>
        <v>0</v>
      </c>
      <c r="H134" s="3" t="n">
        <f aca="false">SUMIFS(Equipes!$D$2:$D$60,Equipes!$A$2:$A$60,"LOT-04",Equipes!$B$2:$B$60,"&lt;="&amp;$A134,Equipes!$C$2:$C$60,"&gt;="&amp;$A134)</f>
        <v>14</v>
      </c>
      <c r="I134" s="3" t="n">
        <f aca="false">IF(H134&gt;0,ROUNDUP(H134/Parametres!$B$7,0)+1,0)</f>
        <v>3</v>
      </c>
      <c r="J134" s="3" t="n">
        <f aca="false">SUMIFS(Equipes!$D$2:$D$60,Equipes!$A$2:$A$60,"LOT-05",Equipes!$B$2:$B$60,"&lt;="&amp;$A134,Equipes!$C$2:$C$60,"&gt;="&amp;$A134)</f>
        <v>0</v>
      </c>
      <c r="K134" s="3" t="n">
        <f aca="false">IF(J134&gt;0,ROUNDUP(J134/Parametres!$B$7,0)+1,0)</f>
        <v>0</v>
      </c>
      <c r="L134" s="3" t="n">
        <f aca="false">SUMIFS(Equipes!$D$2:$D$60,Equipes!$A$2:$A$60,"LOT-06",Equipes!$B$2:$B$60,"&lt;="&amp;$A134,Equipes!$C$2:$C$60,"&gt;="&amp;$A134)</f>
        <v>0</v>
      </c>
      <c r="M134" s="3" t="n">
        <f aca="false">IF(L134&gt;0,ROUNDUP(L134/Parametres!$B$7,0)+1,0)</f>
        <v>0</v>
      </c>
      <c r="N134" s="3" t="n">
        <f aca="false">SUMIFS(Equipes!$D$2:$D$60,Equipes!$A$2:$A$60,"LOT-07",Equipes!$B$2:$B$60,"&lt;="&amp;$A134,Equipes!$C$2:$C$60,"&gt;="&amp;$A134)</f>
        <v>0</v>
      </c>
      <c r="O134" s="3" t="n">
        <f aca="false">IF(N134&gt;0,ROUNDUP(N134/Parametres!$B$7,0)+1,0)</f>
        <v>0</v>
      </c>
      <c r="P134" s="3" t="n">
        <f aca="false">SUMIFS(Equipes!$D$2:$D$60,Equipes!$A$2:$A$60,"LOT-08",Equipes!$B$2:$B$60,"&lt;="&amp;$A134,Equipes!$C$2:$C$60,"&gt;="&amp;$A134)</f>
        <v>0</v>
      </c>
      <c r="Q134" s="3" t="n">
        <f aca="false">IF(P134&gt;0,ROUNDUP(P134/Parametres!$B$7,0)+1,0)</f>
        <v>0</v>
      </c>
    </row>
    <row r="135" customFormat="false" ht="15" hidden="false" customHeight="false" outlineLevel="0" collapsed="false">
      <c r="A135" s="2" t="n">
        <v>46216</v>
      </c>
      <c r="B135" s="3" t="n">
        <f aca="false">SUMIFS(Equipes!$D$2:$D$60,Equipes!$A$2:$A$60,"LOT-01",Equipes!$B$2:$B$60,"&lt;="&amp;$A135,Equipes!$C$2:$C$60,"&gt;="&amp;$A135)</f>
        <v>0</v>
      </c>
      <c r="C135" s="3" t="n">
        <f aca="false">IF(B135&gt;0,ROUNDUP(B135/Parametres!$B$7,0)+1,0)</f>
        <v>0</v>
      </c>
      <c r="D135" s="3" t="n">
        <f aca="false">SUMIFS(Equipes!$D$2:$D$60,Equipes!$A$2:$A$60,"LOT-02",Equipes!$B$2:$B$60,"&lt;="&amp;$A135,Equipes!$C$2:$C$60,"&gt;="&amp;$A135)</f>
        <v>6</v>
      </c>
      <c r="E135" s="3" t="n">
        <f aca="false">IF(D135&gt;0,ROUNDUP(D135/Parametres!$B$7,0)+1,0)</f>
        <v>2</v>
      </c>
      <c r="F135" s="3" t="n">
        <f aca="false">SUMIFS(Equipes!$D$2:$D$60,Equipes!$A$2:$A$60,"LOT-03",Equipes!$B$2:$B$60,"&lt;="&amp;$A135,Equipes!$C$2:$C$60,"&gt;="&amp;$A135)</f>
        <v>0</v>
      </c>
      <c r="G135" s="3" t="n">
        <f aca="false">IF(F135&gt;0,ROUNDUP(F135/Parametres!$B$7,0)+1,0)</f>
        <v>0</v>
      </c>
      <c r="H135" s="3" t="n">
        <f aca="false">SUMIFS(Equipes!$D$2:$D$60,Equipes!$A$2:$A$60,"LOT-04",Equipes!$B$2:$B$60,"&lt;="&amp;$A135,Equipes!$C$2:$C$60,"&gt;="&amp;$A135)</f>
        <v>14</v>
      </c>
      <c r="I135" s="3" t="n">
        <f aca="false">IF(H135&gt;0,ROUNDUP(H135/Parametres!$B$7,0)+1,0)</f>
        <v>3</v>
      </c>
      <c r="J135" s="3" t="n">
        <f aca="false">SUMIFS(Equipes!$D$2:$D$60,Equipes!$A$2:$A$60,"LOT-05",Equipes!$B$2:$B$60,"&lt;="&amp;$A135,Equipes!$C$2:$C$60,"&gt;="&amp;$A135)</f>
        <v>0</v>
      </c>
      <c r="K135" s="3" t="n">
        <f aca="false">IF(J135&gt;0,ROUNDUP(J135/Parametres!$B$7,0)+1,0)</f>
        <v>0</v>
      </c>
      <c r="L135" s="3" t="n">
        <f aca="false">SUMIFS(Equipes!$D$2:$D$60,Equipes!$A$2:$A$60,"LOT-06",Equipes!$B$2:$B$60,"&lt;="&amp;$A135,Equipes!$C$2:$C$60,"&gt;="&amp;$A135)</f>
        <v>0</v>
      </c>
      <c r="M135" s="3" t="n">
        <f aca="false">IF(L135&gt;0,ROUNDUP(L135/Parametres!$B$7,0)+1,0)</f>
        <v>0</v>
      </c>
      <c r="N135" s="3" t="n">
        <f aca="false">SUMIFS(Equipes!$D$2:$D$60,Equipes!$A$2:$A$60,"LOT-07",Equipes!$B$2:$B$60,"&lt;="&amp;$A135,Equipes!$C$2:$C$60,"&gt;="&amp;$A135)</f>
        <v>0</v>
      </c>
      <c r="O135" s="3" t="n">
        <f aca="false">IF(N135&gt;0,ROUNDUP(N135/Parametres!$B$7,0)+1,0)</f>
        <v>0</v>
      </c>
      <c r="P135" s="3" t="n">
        <f aca="false">SUMIFS(Equipes!$D$2:$D$60,Equipes!$A$2:$A$60,"LOT-08",Equipes!$B$2:$B$60,"&lt;="&amp;$A135,Equipes!$C$2:$C$60,"&gt;="&amp;$A135)</f>
        <v>0</v>
      </c>
      <c r="Q135" s="3" t="n">
        <f aca="false">IF(P135&gt;0,ROUNDUP(P135/Parametres!$B$7,0)+1,0)</f>
        <v>0</v>
      </c>
    </row>
    <row r="136" customFormat="false" ht="15" hidden="false" customHeight="false" outlineLevel="0" collapsed="false">
      <c r="A136" s="2" t="n">
        <v>46217</v>
      </c>
      <c r="B136" s="3" t="n">
        <f aca="false">SUMIFS(Equipes!$D$2:$D$60,Equipes!$A$2:$A$60,"LOT-01",Equipes!$B$2:$B$60,"&lt;="&amp;$A136,Equipes!$C$2:$C$60,"&gt;="&amp;$A136)</f>
        <v>0</v>
      </c>
      <c r="C136" s="3" t="n">
        <f aca="false">IF(B136&gt;0,ROUNDUP(B136/Parametres!$B$7,0)+1,0)</f>
        <v>0</v>
      </c>
      <c r="D136" s="3" t="n">
        <f aca="false">SUMIFS(Equipes!$D$2:$D$60,Equipes!$A$2:$A$60,"LOT-02",Equipes!$B$2:$B$60,"&lt;="&amp;$A136,Equipes!$C$2:$C$60,"&gt;="&amp;$A136)</f>
        <v>6</v>
      </c>
      <c r="E136" s="3" t="n">
        <f aca="false">IF(D136&gt;0,ROUNDUP(D136/Parametres!$B$7,0)+1,0)</f>
        <v>2</v>
      </c>
      <c r="F136" s="3" t="n">
        <f aca="false">SUMIFS(Equipes!$D$2:$D$60,Equipes!$A$2:$A$60,"LOT-03",Equipes!$B$2:$B$60,"&lt;="&amp;$A136,Equipes!$C$2:$C$60,"&gt;="&amp;$A136)</f>
        <v>0</v>
      </c>
      <c r="G136" s="3" t="n">
        <f aca="false">IF(F136&gt;0,ROUNDUP(F136/Parametres!$B$7,0)+1,0)</f>
        <v>0</v>
      </c>
      <c r="H136" s="3" t="n">
        <f aca="false">SUMIFS(Equipes!$D$2:$D$60,Equipes!$A$2:$A$60,"LOT-04",Equipes!$B$2:$B$60,"&lt;="&amp;$A136,Equipes!$C$2:$C$60,"&gt;="&amp;$A136)</f>
        <v>14</v>
      </c>
      <c r="I136" s="3" t="n">
        <f aca="false">IF(H136&gt;0,ROUNDUP(H136/Parametres!$B$7,0)+1,0)</f>
        <v>3</v>
      </c>
      <c r="J136" s="3" t="n">
        <f aca="false">SUMIFS(Equipes!$D$2:$D$60,Equipes!$A$2:$A$60,"LOT-05",Equipes!$B$2:$B$60,"&lt;="&amp;$A136,Equipes!$C$2:$C$60,"&gt;="&amp;$A136)</f>
        <v>0</v>
      </c>
      <c r="K136" s="3" t="n">
        <f aca="false">IF(J136&gt;0,ROUNDUP(J136/Parametres!$B$7,0)+1,0)</f>
        <v>0</v>
      </c>
      <c r="L136" s="3" t="n">
        <f aca="false">SUMIFS(Equipes!$D$2:$D$60,Equipes!$A$2:$A$60,"LOT-06",Equipes!$B$2:$B$60,"&lt;="&amp;$A136,Equipes!$C$2:$C$60,"&gt;="&amp;$A136)</f>
        <v>0</v>
      </c>
      <c r="M136" s="3" t="n">
        <f aca="false">IF(L136&gt;0,ROUNDUP(L136/Parametres!$B$7,0)+1,0)</f>
        <v>0</v>
      </c>
      <c r="N136" s="3" t="n">
        <f aca="false">SUMIFS(Equipes!$D$2:$D$60,Equipes!$A$2:$A$60,"LOT-07",Equipes!$B$2:$B$60,"&lt;="&amp;$A136,Equipes!$C$2:$C$60,"&gt;="&amp;$A136)</f>
        <v>0</v>
      </c>
      <c r="O136" s="3" t="n">
        <f aca="false">IF(N136&gt;0,ROUNDUP(N136/Parametres!$B$7,0)+1,0)</f>
        <v>0</v>
      </c>
      <c r="P136" s="3" t="n">
        <f aca="false">SUMIFS(Equipes!$D$2:$D$60,Equipes!$A$2:$A$60,"LOT-08",Equipes!$B$2:$B$60,"&lt;="&amp;$A136,Equipes!$C$2:$C$60,"&gt;="&amp;$A136)</f>
        <v>0</v>
      </c>
      <c r="Q136" s="3" t="n">
        <f aca="false">IF(P136&gt;0,ROUNDUP(P136/Parametres!$B$7,0)+1,0)</f>
        <v>0</v>
      </c>
    </row>
    <row r="137" customFormat="false" ht="15" hidden="false" customHeight="false" outlineLevel="0" collapsed="false">
      <c r="A137" s="2" t="n">
        <v>46218</v>
      </c>
      <c r="B137" s="3" t="n">
        <f aca="false">SUMIFS(Equipes!$D$2:$D$60,Equipes!$A$2:$A$60,"LOT-01",Equipes!$B$2:$B$60,"&lt;="&amp;$A137,Equipes!$C$2:$C$60,"&gt;="&amp;$A137)</f>
        <v>0</v>
      </c>
      <c r="C137" s="3" t="n">
        <f aca="false">IF(B137&gt;0,ROUNDUP(B137/Parametres!$B$7,0)+1,0)</f>
        <v>0</v>
      </c>
      <c r="D137" s="3" t="n">
        <f aca="false">SUMIFS(Equipes!$D$2:$D$60,Equipes!$A$2:$A$60,"LOT-02",Equipes!$B$2:$B$60,"&lt;="&amp;$A137,Equipes!$C$2:$C$60,"&gt;="&amp;$A137)</f>
        <v>6</v>
      </c>
      <c r="E137" s="3" t="n">
        <f aca="false">IF(D137&gt;0,ROUNDUP(D137/Parametres!$B$7,0)+1,0)</f>
        <v>2</v>
      </c>
      <c r="F137" s="3" t="n">
        <f aca="false">SUMIFS(Equipes!$D$2:$D$60,Equipes!$A$2:$A$60,"LOT-03",Equipes!$B$2:$B$60,"&lt;="&amp;$A137,Equipes!$C$2:$C$60,"&gt;="&amp;$A137)</f>
        <v>0</v>
      </c>
      <c r="G137" s="3" t="n">
        <f aca="false">IF(F137&gt;0,ROUNDUP(F137/Parametres!$B$7,0)+1,0)</f>
        <v>0</v>
      </c>
      <c r="H137" s="3" t="n">
        <f aca="false">SUMIFS(Equipes!$D$2:$D$60,Equipes!$A$2:$A$60,"LOT-04",Equipes!$B$2:$B$60,"&lt;="&amp;$A137,Equipes!$C$2:$C$60,"&gt;="&amp;$A137)</f>
        <v>14</v>
      </c>
      <c r="I137" s="3" t="n">
        <f aca="false">IF(H137&gt;0,ROUNDUP(H137/Parametres!$B$7,0)+1,0)</f>
        <v>3</v>
      </c>
      <c r="J137" s="3" t="n">
        <f aca="false">SUMIFS(Equipes!$D$2:$D$60,Equipes!$A$2:$A$60,"LOT-05",Equipes!$B$2:$B$60,"&lt;="&amp;$A137,Equipes!$C$2:$C$60,"&gt;="&amp;$A137)</f>
        <v>0</v>
      </c>
      <c r="K137" s="3" t="n">
        <f aca="false">IF(J137&gt;0,ROUNDUP(J137/Parametres!$B$7,0)+1,0)</f>
        <v>0</v>
      </c>
      <c r="L137" s="3" t="n">
        <f aca="false">SUMIFS(Equipes!$D$2:$D$60,Equipes!$A$2:$A$60,"LOT-06",Equipes!$B$2:$B$60,"&lt;="&amp;$A137,Equipes!$C$2:$C$60,"&gt;="&amp;$A137)</f>
        <v>0</v>
      </c>
      <c r="M137" s="3" t="n">
        <f aca="false">IF(L137&gt;0,ROUNDUP(L137/Parametres!$B$7,0)+1,0)</f>
        <v>0</v>
      </c>
      <c r="N137" s="3" t="n">
        <f aca="false">SUMIFS(Equipes!$D$2:$D$60,Equipes!$A$2:$A$60,"LOT-07",Equipes!$B$2:$B$60,"&lt;="&amp;$A137,Equipes!$C$2:$C$60,"&gt;="&amp;$A137)</f>
        <v>0</v>
      </c>
      <c r="O137" s="3" t="n">
        <f aca="false">IF(N137&gt;0,ROUNDUP(N137/Parametres!$B$7,0)+1,0)</f>
        <v>0</v>
      </c>
      <c r="P137" s="3" t="n">
        <f aca="false">SUMIFS(Equipes!$D$2:$D$60,Equipes!$A$2:$A$60,"LOT-08",Equipes!$B$2:$B$60,"&lt;="&amp;$A137,Equipes!$C$2:$C$60,"&gt;="&amp;$A137)</f>
        <v>0</v>
      </c>
      <c r="Q137" s="3" t="n">
        <f aca="false">IF(P137&gt;0,ROUNDUP(P137/Parametres!$B$7,0)+1,0)</f>
        <v>0</v>
      </c>
    </row>
    <row r="138" customFormat="false" ht="15" hidden="false" customHeight="false" outlineLevel="0" collapsed="false">
      <c r="A138" s="2" t="n">
        <v>46219</v>
      </c>
      <c r="B138" s="3" t="n">
        <f aca="false">SUMIFS(Equipes!$D$2:$D$60,Equipes!$A$2:$A$60,"LOT-01",Equipes!$B$2:$B$60,"&lt;="&amp;$A138,Equipes!$C$2:$C$60,"&gt;="&amp;$A138)</f>
        <v>0</v>
      </c>
      <c r="C138" s="3" t="n">
        <f aca="false">IF(B138&gt;0,ROUNDUP(B138/Parametres!$B$7,0)+1,0)</f>
        <v>0</v>
      </c>
      <c r="D138" s="3" t="n">
        <f aca="false">SUMIFS(Equipes!$D$2:$D$60,Equipes!$A$2:$A$60,"LOT-02",Equipes!$B$2:$B$60,"&lt;="&amp;$A138,Equipes!$C$2:$C$60,"&gt;="&amp;$A138)</f>
        <v>6</v>
      </c>
      <c r="E138" s="3" t="n">
        <f aca="false">IF(D138&gt;0,ROUNDUP(D138/Parametres!$B$7,0)+1,0)</f>
        <v>2</v>
      </c>
      <c r="F138" s="3" t="n">
        <f aca="false">SUMIFS(Equipes!$D$2:$D$60,Equipes!$A$2:$A$60,"LOT-03",Equipes!$B$2:$B$60,"&lt;="&amp;$A138,Equipes!$C$2:$C$60,"&gt;="&amp;$A138)</f>
        <v>0</v>
      </c>
      <c r="G138" s="3" t="n">
        <f aca="false">IF(F138&gt;0,ROUNDUP(F138/Parametres!$B$7,0)+1,0)</f>
        <v>0</v>
      </c>
      <c r="H138" s="3" t="n">
        <f aca="false">SUMIFS(Equipes!$D$2:$D$60,Equipes!$A$2:$A$60,"LOT-04",Equipes!$B$2:$B$60,"&lt;="&amp;$A138,Equipes!$C$2:$C$60,"&gt;="&amp;$A138)</f>
        <v>14</v>
      </c>
      <c r="I138" s="3" t="n">
        <f aca="false">IF(H138&gt;0,ROUNDUP(H138/Parametres!$B$7,0)+1,0)</f>
        <v>3</v>
      </c>
      <c r="J138" s="3" t="n">
        <f aca="false">SUMIFS(Equipes!$D$2:$D$60,Equipes!$A$2:$A$60,"LOT-05",Equipes!$B$2:$B$60,"&lt;="&amp;$A138,Equipes!$C$2:$C$60,"&gt;="&amp;$A138)</f>
        <v>0</v>
      </c>
      <c r="K138" s="3" t="n">
        <f aca="false">IF(J138&gt;0,ROUNDUP(J138/Parametres!$B$7,0)+1,0)</f>
        <v>0</v>
      </c>
      <c r="L138" s="3" t="n">
        <f aca="false">SUMIFS(Equipes!$D$2:$D$60,Equipes!$A$2:$A$60,"LOT-06",Equipes!$B$2:$B$60,"&lt;="&amp;$A138,Equipes!$C$2:$C$60,"&gt;="&amp;$A138)</f>
        <v>0</v>
      </c>
      <c r="M138" s="3" t="n">
        <f aca="false">IF(L138&gt;0,ROUNDUP(L138/Parametres!$B$7,0)+1,0)</f>
        <v>0</v>
      </c>
      <c r="N138" s="3" t="n">
        <f aca="false">SUMIFS(Equipes!$D$2:$D$60,Equipes!$A$2:$A$60,"LOT-07",Equipes!$B$2:$B$60,"&lt;="&amp;$A138,Equipes!$C$2:$C$60,"&gt;="&amp;$A138)</f>
        <v>0</v>
      </c>
      <c r="O138" s="3" t="n">
        <f aca="false">IF(N138&gt;0,ROUNDUP(N138/Parametres!$B$7,0)+1,0)</f>
        <v>0</v>
      </c>
      <c r="P138" s="3" t="n">
        <f aca="false">SUMIFS(Equipes!$D$2:$D$60,Equipes!$A$2:$A$60,"LOT-08",Equipes!$B$2:$B$60,"&lt;="&amp;$A138,Equipes!$C$2:$C$60,"&gt;="&amp;$A138)</f>
        <v>0</v>
      </c>
      <c r="Q138" s="3" t="n">
        <f aca="false">IF(P138&gt;0,ROUNDUP(P138/Parametres!$B$7,0)+1,0)</f>
        <v>0</v>
      </c>
    </row>
    <row r="139" customFormat="false" ht="15" hidden="false" customHeight="false" outlineLevel="0" collapsed="false">
      <c r="A139" s="2" t="n">
        <v>46220</v>
      </c>
      <c r="B139" s="3" t="n">
        <f aca="false">SUMIFS(Equipes!$D$2:$D$60,Equipes!$A$2:$A$60,"LOT-01",Equipes!$B$2:$B$60,"&lt;="&amp;$A139,Equipes!$C$2:$C$60,"&gt;="&amp;$A139)</f>
        <v>0</v>
      </c>
      <c r="C139" s="3" t="n">
        <f aca="false">IF(B139&gt;0,ROUNDUP(B139/Parametres!$B$7,0)+1,0)</f>
        <v>0</v>
      </c>
      <c r="D139" s="3" t="n">
        <f aca="false">SUMIFS(Equipes!$D$2:$D$60,Equipes!$A$2:$A$60,"LOT-02",Equipes!$B$2:$B$60,"&lt;="&amp;$A139,Equipes!$C$2:$C$60,"&gt;="&amp;$A139)</f>
        <v>6</v>
      </c>
      <c r="E139" s="3" t="n">
        <f aca="false">IF(D139&gt;0,ROUNDUP(D139/Parametres!$B$7,0)+1,0)</f>
        <v>2</v>
      </c>
      <c r="F139" s="3" t="n">
        <f aca="false">SUMIFS(Equipes!$D$2:$D$60,Equipes!$A$2:$A$60,"LOT-03",Equipes!$B$2:$B$60,"&lt;="&amp;$A139,Equipes!$C$2:$C$60,"&gt;="&amp;$A139)</f>
        <v>0</v>
      </c>
      <c r="G139" s="3" t="n">
        <f aca="false">IF(F139&gt;0,ROUNDUP(F139/Parametres!$B$7,0)+1,0)</f>
        <v>0</v>
      </c>
      <c r="H139" s="3" t="n">
        <f aca="false">SUMIFS(Equipes!$D$2:$D$60,Equipes!$A$2:$A$60,"LOT-04",Equipes!$B$2:$B$60,"&lt;="&amp;$A139,Equipes!$C$2:$C$60,"&gt;="&amp;$A139)</f>
        <v>14</v>
      </c>
      <c r="I139" s="3" t="n">
        <f aca="false">IF(H139&gt;0,ROUNDUP(H139/Parametres!$B$7,0)+1,0)</f>
        <v>3</v>
      </c>
      <c r="J139" s="3" t="n">
        <f aca="false">SUMIFS(Equipes!$D$2:$D$60,Equipes!$A$2:$A$60,"LOT-05",Equipes!$B$2:$B$60,"&lt;="&amp;$A139,Equipes!$C$2:$C$60,"&gt;="&amp;$A139)</f>
        <v>0</v>
      </c>
      <c r="K139" s="3" t="n">
        <f aca="false">IF(J139&gt;0,ROUNDUP(J139/Parametres!$B$7,0)+1,0)</f>
        <v>0</v>
      </c>
      <c r="L139" s="3" t="n">
        <f aca="false">SUMIFS(Equipes!$D$2:$D$60,Equipes!$A$2:$A$60,"LOT-06",Equipes!$B$2:$B$60,"&lt;="&amp;$A139,Equipes!$C$2:$C$60,"&gt;="&amp;$A139)</f>
        <v>0</v>
      </c>
      <c r="M139" s="3" t="n">
        <f aca="false">IF(L139&gt;0,ROUNDUP(L139/Parametres!$B$7,0)+1,0)</f>
        <v>0</v>
      </c>
      <c r="N139" s="3" t="n">
        <f aca="false">SUMIFS(Equipes!$D$2:$D$60,Equipes!$A$2:$A$60,"LOT-07",Equipes!$B$2:$B$60,"&lt;="&amp;$A139,Equipes!$C$2:$C$60,"&gt;="&amp;$A139)</f>
        <v>0</v>
      </c>
      <c r="O139" s="3" t="n">
        <f aca="false">IF(N139&gt;0,ROUNDUP(N139/Parametres!$B$7,0)+1,0)</f>
        <v>0</v>
      </c>
      <c r="P139" s="3" t="n">
        <f aca="false">SUMIFS(Equipes!$D$2:$D$60,Equipes!$A$2:$A$60,"LOT-08",Equipes!$B$2:$B$60,"&lt;="&amp;$A139,Equipes!$C$2:$C$60,"&gt;="&amp;$A139)</f>
        <v>0</v>
      </c>
      <c r="Q139" s="3" t="n">
        <f aca="false">IF(P139&gt;0,ROUNDUP(P139/Parametres!$B$7,0)+1,0)</f>
        <v>0</v>
      </c>
    </row>
    <row r="140" customFormat="false" ht="15" hidden="false" customHeight="false" outlineLevel="0" collapsed="false">
      <c r="A140" s="2" t="n">
        <v>46221</v>
      </c>
      <c r="B140" s="3" t="n">
        <f aca="false">SUMIFS(Equipes!$D$2:$D$60,Equipes!$A$2:$A$60,"LOT-01",Equipes!$B$2:$B$60,"&lt;="&amp;$A140,Equipes!$C$2:$C$60,"&gt;="&amp;$A140)</f>
        <v>0</v>
      </c>
      <c r="C140" s="3" t="n">
        <f aca="false">IF(B140&gt;0,ROUNDUP(B140/Parametres!$B$7,0)+1,0)</f>
        <v>0</v>
      </c>
      <c r="D140" s="3" t="n">
        <f aca="false">SUMIFS(Equipes!$D$2:$D$60,Equipes!$A$2:$A$60,"LOT-02",Equipes!$B$2:$B$60,"&lt;="&amp;$A140,Equipes!$C$2:$C$60,"&gt;="&amp;$A140)</f>
        <v>6</v>
      </c>
      <c r="E140" s="3" t="n">
        <f aca="false">IF(D140&gt;0,ROUNDUP(D140/Parametres!$B$7,0)+1,0)</f>
        <v>2</v>
      </c>
      <c r="F140" s="3" t="n">
        <f aca="false">SUMIFS(Equipes!$D$2:$D$60,Equipes!$A$2:$A$60,"LOT-03",Equipes!$B$2:$B$60,"&lt;="&amp;$A140,Equipes!$C$2:$C$60,"&gt;="&amp;$A140)</f>
        <v>0</v>
      </c>
      <c r="G140" s="3" t="n">
        <f aca="false">IF(F140&gt;0,ROUNDUP(F140/Parametres!$B$7,0)+1,0)</f>
        <v>0</v>
      </c>
      <c r="H140" s="3" t="n">
        <f aca="false">SUMIFS(Equipes!$D$2:$D$60,Equipes!$A$2:$A$60,"LOT-04",Equipes!$B$2:$B$60,"&lt;="&amp;$A140,Equipes!$C$2:$C$60,"&gt;="&amp;$A140)</f>
        <v>28</v>
      </c>
      <c r="I140" s="3" t="n">
        <f aca="false">IF(H140&gt;0,ROUNDUP(H140/Parametres!$B$7,0)+1,0)</f>
        <v>4</v>
      </c>
      <c r="J140" s="3" t="n">
        <f aca="false">SUMIFS(Equipes!$D$2:$D$60,Equipes!$A$2:$A$60,"LOT-05",Equipes!$B$2:$B$60,"&lt;="&amp;$A140,Equipes!$C$2:$C$60,"&gt;="&amp;$A140)</f>
        <v>0</v>
      </c>
      <c r="K140" s="3" t="n">
        <f aca="false">IF(J140&gt;0,ROUNDUP(J140/Parametres!$B$7,0)+1,0)</f>
        <v>0</v>
      </c>
      <c r="L140" s="3" t="n">
        <f aca="false">SUMIFS(Equipes!$D$2:$D$60,Equipes!$A$2:$A$60,"LOT-06",Equipes!$B$2:$B$60,"&lt;="&amp;$A140,Equipes!$C$2:$C$60,"&gt;="&amp;$A140)</f>
        <v>0</v>
      </c>
      <c r="M140" s="3" t="n">
        <f aca="false">IF(L140&gt;0,ROUNDUP(L140/Parametres!$B$7,0)+1,0)</f>
        <v>0</v>
      </c>
      <c r="N140" s="3" t="n">
        <f aca="false">SUMIFS(Equipes!$D$2:$D$60,Equipes!$A$2:$A$60,"LOT-07",Equipes!$B$2:$B$60,"&lt;="&amp;$A140,Equipes!$C$2:$C$60,"&gt;="&amp;$A140)</f>
        <v>0</v>
      </c>
      <c r="O140" s="3" t="n">
        <f aca="false">IF(N140&gt;0,ROUNDUP(N140/Parametres!$B$7,0)+1,0)</f>
        <v>0</v>
      </c>
      <c r="P140" s="3" t="n">
        <f aca="false">SUMIFS(Equipes!$D$2:$D$60,Equipes!$A$2:$A$60,"LOT-08",Equipes!$B$2:$B$60,"&lt;="&amp;$A140,Equipes!$C$2:$C$60,"&gt;="&amp;$A140)</f>
        <v>0</v>
      </c>
      <c r="Q140" s="3" t="n">
        <f aca="false">IF(P140&gt;0,ROUNDUP(P140/Parametres!$B$7,0)+1,0)</f>
        <v>0</v>
      </c>
    </row>
    <row r="141" customFormat="false" ht="15" hidden="false" customHeight="false" outlineLevel="0" collapsed="false">
      <c r="A141" s="2" t="n">
        <v>46222</v>
      </c>
      <c r="B141" s="3" t="n">
        <f aca="false">SUMIFS(Equipes!$D$2:$D$60,Equipes!$A$2:$A$60,"LOT-01",Equipes!$B$2:$B$60,"&lt;="&amp;$A141,Equipes!$C$2:$C$60,"&gt;="&amp;$A141)</f>
        <v>0</v>
      </c>
      <c r="C141" s="3" t="n">
        <f aca="false">IF(B141&gt;0,ROUNDUP(B141/Parametres!$B$7,0)+1,0)</f>
        <v>0</v>
      </c>
      <c r="D141" s="3" t="n">
        <f aca="false">SUMIFS(Equipes!$D$2:$D$60,Equipes!$A$2:$A$60,"LOT-02",Equipes!$B$2:$B$60,"&lt;="&amp;$A141,Equipes!$C$2:$C$60,"&gt;="&amp;$A141)</f>
        <v>6</v>
      </c>
      <c r="E141" s="3" t="n">
        <f aca="false">IF(D141&gt;0,ROUNDUP(D141/Parametres!$B$7,0)+1,0)</f>
        <v>2</v>
      </c>
      <c r="F141" s="3" t="n">
        <f aca="false">SUMIFS(Equipes!$D$2:$D$60,Equipes!$A$2:$A$60,"LOT-03",Equipes!$B$2:$B$60,"&lt;="&amp;$A141,Equipes!$C$2:$C$60,"&gt;="&amp;$A141)</f>
        <v>0</v>
      </c>
      <c r="G141" s="3" t="n">
        <f aca="false">IF(F141&gt;0,ROUNDUP(F141/Parametres!$B$7,0)+1,0)</f>
        <v>0</v>
      </c>
      <c r="H141" s="3" t="n">
        <f aca="false">SUMIFS(Equipes!$D$2:$D$60,Equipes!$A$2:$A$60,"LOT-04",Equipes!$B$2:$B$60,"&lt;="&amp;$A141,Equipes!$C$2:$C$60,"&gt;="&amp;$A141)</f>
        <v>28</v>
      </c>
      <c r="I141" s="3" t="n">
        <f aca="false">IF(H141&gt;0,ROUNDUP(H141/Parametres!$B$7,0)+1,0)</f>
        <v>4</v>
      </c>
      <c r="J141" s="3" t="n">
        <f aca="false">SUMIFS(Equipes!$D$2:$D$60,Equipes!$A$2:$A$60,"LOT-05",Equipes!$B$2:$B$60,"&lt;="&amp;$A141,Equipes!$C$2:$C$60,"&gt;="&amp;$A141)</f>
        <v>0</v>
      </c>
      <c r="K141" s="3" t="n">
        <f aca="false">IF(J141&gt;0,ROUNDUP(J141/Parametres!$B$7,0)+1,0)</f>
        <v>0</v>
      </c>
      <c r="L141" s="3" t="n">
        <f aca="false">SUMIFS(Equipes!$D$2:$D$60,Equipes!$A$2:$A$60,"LOT-06",Equipes!$B$2:$B$60,"&lt;="&amp;$A141,Equipes!$C$2:$C$60,"&gt;="&amp;$A141)</f>
        <v>0</v>
      </c>
      <c r="M141" s="3" t="n">
        <f aca="false">IF(L141&gt;0,ROUNDUP(L141/Parametres!$B$7,0)+1,0)</f>
        <v>0</v>
      </c>
      <c r="N141" s="3" t="n">
        <f aca="false">SUMIFS(Equipes!$D$2:$D$60,Equipes!$A$2:$A$60,"LOT-07",Equipes!$B$2:$B$60,"&lt;="&amp;$A141,Equipes!$C$2:$C$60,"&gt;="&amp;$A141)</f>
        <v>0</v>
      </c>
      <c r="O141" s="3" t="n">
        <f aca="false">IF(N141&gt;0,ROUNDUP(N141/Parametres!$B$7,0)+1,0)</f>
        <v>0</v>
      </c>
      <c r="P141" s="3" t="n">
        <f aca="false">SUMIFS(Equipes!$D$2:$D$60,Equipes!$A$2:$A$60,"LOT-08",Equipes!$B$2:$B$60,"&lt;="&amp;$A141,Equipes!$C$2:$C$60,"&gt;="&amp;$A141)</f>
        <v>0</v>
      </c>
      <c r="Q141" s="3" t="n">
        <f aca="false">IF(P141&gt;0,ROUNDUP(P141/Parametres!$B$7,0)+1,0)</f>
        <v>0</v>
      </c>
    </row>
    <row r="142" customFormat="false" ht="15" hidden="false" customHeight="false" outlineLevel="0" collapsed="false">
      <c r="A142" s="2" t="n">
        <v>46223</v>
      </c>
      <c r="B142" s="3" t="n">
        <f aca="false">SUMIFS(Equipes!$D$2:$D$60,Equipes!$A$2:$A$60,"LOT-01",Equipes!$B$2:$B$60,"&lt;="&amp;$A142,Equipes!$C$2:$C$60,"&gt;="&amp;$A142)</f>
        <v>0</v>
      </c>
      <c r="C142" s="3" t="n">
        <f aca="false">IF(B142&gt;0,ROUNDUP(B142/Parametres!$B$7,0)+1,0)</f>
        <v>0</v>
      </c>
      <c r="D142" s="3" t="n">
        <f aca="false">SUMIFS(Equipes!$D$2:$D$60,Equipes!$A$2:$A$60,"LOT-02",Equipes!$B$2:$B$60,"&lt;="&amp;$A142,Equipes!$C$2:$C$60,"&gt;="&amp;$A142)</f>
        <v>6</v>
      </c>
      <c r="E142" s="3" t="n">
        <f aca="false">IF(D142&gt;0,ROUNDUP(D142/Parametres!$B$7,0)+1,0)</f>
        <v>2</v>
      </c>
      <c r="F142" s="3" t="n">
        <f aca="false">SUMIFS(Equipes!$D$2:$D$60,Equipes!$A$2:$A$60,"LOT-03",Equipes!$B$2:$B$60,"&lt;="&amp;$A142,Equipes!$C$2:$C$60,"&gt;="&amp;$A142)</f>
        <v>0</v>
      </c>
      <c r="G142" s="3" t="n">
        <f aca="false">IF(F142&gt;0,ROUNDUP(F142/Parametres!$B$7,0)+1,0)</f>
        <v>0</v>
      </c>
      <c r="H142" s="3" t="n">
        <f aca="false">SUMIFS(Equipes!$D$2:$D$60,Equipes!$A$2:$A$60,"LOT-04",Equipes!$B$2:$B$60,"&lt;="&amp;$A142,Equipes!$C$2:$C$60,"&gt;="&amp;$A142)</f>
        <v>28</v>
      </c>
      <c r="I142" s="3" t="n">
        <f aca="false">IF(H142&gt;0,ROUNDUP(H142/Parametres!$B$7,0)+1,0)</f>
        <v>4</v>
      </c>
      <c r="J142" s="3" t="n">
        <f aca="false">SUMIFS(Equipes!$D$2:$D$60,Equipes!$A$2:$A$60,"LOT-05",Equipes!$B$2:$B$60,"&lt;="&amp;$A142,Equipes!$C$2:$C$60,"&gt;="&amp;$A142)</f>
        <v>0</v>
      </c>
      <c r="K142" s="3" t="n">
        <f aca="false">IF(J142&gt;0,ROUNDUP(J142/Parametres!$B$7,0)+1,0)</f>
        <v>0</v>
      </c>
      <c r="L142" s="3" t="n">
        <f aca="false">SUMIFS(Equipes!$D$2:$D$60,Equipes!$A$2:$A$60,"LOT-06",Equipes!$B$2:$B$60,"&lt;="&amp;$A142,Equipes!$C$2:$C$60,"&gt;="&amp;$A142)</f>
        <v>0</v>
      </c>
      <c r="M142" s="3" t="n">
        <f aca="false">IF(L142&gt;0,ROUNDUP(L142/Parametres!$B$7,0)+1,0)</f>
        <v>0</v>
      </c>
      <c r="N142" s="3" t="n">
        <f aca="false">SUMIFS(Equipes!$D$2:$D$60,Equipes!$A$2:$A$60,"LOT-07",Equipes!$B$2:$B$60,"&lt;="&amp;$A142,Equipes!$C$2:$C$60,"&gt;="&amp;$A142)</f>
        <v>0</v>
      </c>
      <c r="O142" s="3" t="n">
        <f aca="false">IF(N142&gt;0,ROUNDUP(N142/Parametres!$B$7,0)+1,0)</f>
        <v>0</v>
      </c>
      <c r="P142" s="3" t="n">
        <f aca="false">SUMIFS(Equipes!$D$2:$D$60,Equipes!$A$2:$A$60,"LOT-08",Equipes!$B$2:$B$60,"&lt;="&amp;$A142,Equipes!$C$2:$C$60,"&gt;="&amp;$A142)</f>
        <v>0</v>
      </c>
      <c r="Q142" s="3" t="n">
        <f aca="false">IF(P142&gt;0,ROUNDUP(P142/Parametres!$B$7,0)+1,0)</f>
        <v>0</v>
      </c>
    </row>
    <row r="143" customFormat="false" ht="15" hidden="false" customHeight="false" outlineLevel="0" collapsed="false">
      <c r="A143" s="2" t="n">
        <v>46224</v>
      </c>
      <c r="B143" s="3" t="n">
        <f aca="false">SUMIFS(Equipes!$D$2:$D$60,Equipes!$A$2:$A$60,"LOT-01",Equipes!$B$2:$B$60,"&lt;="&amp;$A143,Equipes!$C$2:$C$60,"&gt;="&amp;$A143)</f>
        <v>0</v>
      </c>
      <c r="C143" s="3" t="n">
        <f aca="false">IF(B143&gt;0,ROUNDUP(B143/Parametres!$B$7,0)+1,0)</f>
        <v>0</v>
      </c>
      <c r="D143" s="3" t="n">
        <f aca="false">SUMIFS(Equipes!$D$2:$D$60,Equipes!$A$2:$A$60,"LOT-02",Equipes!$B$2:$B$60,"&lt;="&amp;$A143,Equipes!$C$2:$C$60,"&gt;="&amp;$A143)</f>
        <v>6</v>
      </c>
      <c r="E143" s="3" t="n">
        <f aca="false">IF(D143&gt;0,ROUNDUP(D143/Parametres!$B$7,0)+1,0)</f>
        <v>2</v>
      </c>
      <c r="F143" s="3" t="n">
        <f aca="false">SUMIFS(Equipes!$D$2:$D$60,Equipes!$A$2:$A$60,"LOT-03",Equipes!$B$2:$B$60,"&lt;="&amp;$A143,Equipes!$C$2:$C$60,"&gt;="&amp;$A143)</f>
        <v>0</v>
      </c>
      <c r="G143" s="3" t="n">
        <f aca="false">IF(F143&gt;0,ROUNDUP(F143/Parametres!$B$7,0)+1,0)</f>
        <v>0</v>
      </c>
      <c r="H143" s="3" t="n">
        <f aca="false">SUMIFS(Equipes!$D$2:$D$60,Equipes!$A$2:$A$60,"LOT-04",Equipes!$B$2:$B$60,"&lt;="&amp;$A143,Equipes!$C$2:$C$60,"&gt;="&amp;$A143)</f>
        <v>28</v>
      </c>
      <c r="I143" s="3" t="n">
        <f aca="false">IF(H143&gt;0,ROUNDUP(H143/Parametres!$B$7,0)+1,0)</f>
        <v>4</v>
      </c>
      <c r="J143" s="3" t="n">
        <f aca="false">SUMIFS(Equipes!$D$2:$D$60,Equipes!$A$2:$A$60,"LOT-05",Equipes!$B$2:$B$60,"&lt;="&amp;$A143,Equipes!$C$2:$C$60,"&gt;="&amp;$A143)</f>
        <v>0</v>
      </c>
      <c r="K143" s="3" t="n">
        <f aca="false">IF(J143&gt;0,ROUNDUP(J143/Parametres!$B$7,0)+1,0)</f>
        <v>0</v>
      </c>
      <c r="L143" s="3" t="n">
        <f aca="false">SUMIFS(Equipes!$D$2:$D$60,Equipes!$A$2:$A$60,"LOT-06",Equipes!$B$2:$B$60,"&lt;="&amp;$A143,Equipes!$C$2:$C$60,"&gt;="&amp;$A143)</f>
        <v>0</v>
      </c>
      <c r="M143" s="3" t="n">
        <f aca="false">IF(L143&gt;0,ROUNDUP(L143/Parametres!$B$7,0)+1,0)</f>
        <v>0</v>
      </c>
      <c r="N143" s="3" t="n">
        <f aca="false">SUMIFS(Equipes!$D$2:$D$60,Equipes!$A$2:$A$60,"LOT-07",Equipes!$B$2:$B$60,"&lt;="&amp;$A143,Equipes!$C$2:$C$60,"&gt;="&amp;$A143)</f>
        <v>0</v>
      </c>
      <c r="O143" s="3" t="n">
        <f aca="false">IF(N143&gt;0,ROUNDUP(N143/Parametres!$B$7,0)+1,0)</f>
        <v>0</v>
      </c>
      <c r="P143" s="3" t="n">
        <f aca="false">SUMIFS(Equipes!$D$2:$D$60,Equipes!$A$2:$A$60,"LOT-08",Equipes!$B$2:$B$60,"&lt;="&amp;$A143,Equipes!$C$2:$C$60,"&gt;="&amp;$A143)</f>
        <v>0</v>
      </c>
      <c r="Q143" s="3" t="n">
        <f aca="false">IF(P143&gt;0,ROUNDUP(P143/Parametres!$B$7,0)+1,0)</f>
        <v>0</v>
      </c>
    </row>
    <row r="144" customFormat="false" ht="15" hidden="false" customHeight="false" outlineLevel="0" collapsed="false">
      <c r="A144" s="2" t="n">
        <v>46225</v>
      </c>
      <c r="B144" s="3" t="n">
        <f aca="false">SUMIFS(Equipes!$D$2:$D$60,Equipes!$A$2:$A$60,"LOT-01",Equipes!$B$2:$B$60,"&lt;="&amp;$A144,Equipes!$C$2:$C$60,"&gt;="&amp;$A144)</f>
        <v>0</v>
      </c>
      <c r="C144" s="3" t="n">
        <f aca="false">IF(B144&gt;0,ROUNDUP(B144/Parametres!$B$7,0)+1,0)</f>
        <v>0</v>
      </c>
      <c r="D144" s="3" t="n">
        <f aca="false">SUMIFS(Equipes!$D$2:$D$60,Equipes!$A$2:$A$60,"LOT-02",Equipes!$B$2:$B$60,"&lt;="&amp;$A144,Equipes!$C$2:$C$60,"&gt;="&amp;$A144)</f>
        <v>6</v>
      </c>
      <c r="E144" s="3" t="n">
        <f aca="false">IF(D144&gt;0,ROUNDUP(D144/Parametres!$B$7,0)+1,0)</f>
        <v>2</v>
      </c>
      <c r="F144" s="3" t="n">
        <f aca="false">SUMIFS(Equipes!$D$2:$D$60,Equipes!$A$2:$A$60,"LOT-03",Equipes!$B$2:$B$60,"&lt;="&amp;$A144,Equipes!$C$2:$C$60,"&gt;="&amp;$A144)</f>
        <v>0</v>
      </c>
      <c r="G144" s="3" t="n">
        <f aca="false">IF(F144&gt;0,ROUNDUP(F144/Parametres!$B$7,0)+1,0)</f>
        <v>0</v>
      </c>
      <c r="H144" s="3" t="n">
        <f aca="false">SUMIFS(Equipes!$D$2:$D$60,Equipes!$A$2:$A$60,"LOT-04",Equipes!$B$2:$B$60,"&lt;="&amp;$A144,Equipes!$C$2:$C$60,"&gt;="&amp;$A144)</f>
        <v>28</v>
      </c>
      <c r="I144" s="3" t="n">
        <f aca="false">IF(H144&gt;0,ROUNDUP(H144/Parametres!$B$7,0)+1,0)</f>
        <v>4</v>
      </c>
      <c r="J144" s="3" t="n">
        <f aca="false">SUMIFS(Equipes!$D$2:$D$60,Equipes!$A$2:$A$60,"LOT-05",Equipes!$B$2:$B$60,"&lt;="&amp;$A144,Equipes!$C$2:$C$60,"&gt;="&amp;$A144)</f>
        <v>0</v>
      </c>
      <c r="K144" s="3" t="n">
        <f aca="false">IF(J144&gt;0,ROUNDUP(J144/Parametres!$B$7,0)+1,0)</f>
        <v>0</v>
      </c>
      <c r="L144" s="3" t="n">
        <f aca="false">SUMIFS(Equipes!$D$2:$D$60,Equipes!$A$2:$A$60,"LOT-06",Equipes!$B$2:$B$60,"&lt;="&amp;$A144,Equipes!$C$2:$C$60,"&gt;="&amp;$A144)</f>
        <v>0</v>
      </c>
      <c r="M144" s="3" t="n">
        <f aca="false">IF(L144&gt;0,ROUNDUP(L144/Parametres!$B$7,0)+1,0)</f>
        <v>0</v>
      </c>
      <c r="N144" s="3" t="n">
        <f aca="false">SUMIFS(Equipes!$D$2:$D$60,Equipes!$A$2:$A$60,"LOT-07",Equipes!$B$2:$B$60,"&lt;="&amp;$A144,Equipes!$C$2:$C$60,"&gt;="&amp;$A144)</f>
        <v>0</v>
      </c>
      <c r="O144" s="3" t="n">
        <f aca="false">IF(N144&gt;0,ROUNDUP(N144/Parametres!$B$7,0)+1,0)</f>
        <v>0</v>
      </c>
      <c r="P144" s="3" t="n">
        <f aca="false">SUMIFS(Equipes!$D$2:$D$60,Equipes!$A$2:$A$60,"LOT-08",Equipes!$B$2:$B$60,"&lt;="&amp;$A144,Equipes!$C$2:$C$60,"&gt;="&amp;$A144)</f>
        <v>0</v>
      </c>
      <c r="Q144" s="3" t="n">
        <f aca="false">IF(P144&gt;0,ROUNDUP(P144/Parametres!$B$7,0)+1,0)</f>
        <v>0</v>
      </c>
    </row>
    <row r="145" customFormat="false" ht="15" hidden="false" customHeight="false" outlineLevel="0" collapsed="false">
      <c r="A145" s="2" t="n">
        <v>46226</v>
      </c>
      <c r="B145" s="3" t="n">
        <f aca="false">SUMIFS(Equipes!$D$2:$D$60,Equipes!$A$2:$A$60,"LOT-01",Equipes!$B$2:$B$60,"&lt;="&amp;$A145,Equipes!$C$2:$C$60,"&gt;="&amp;$A145)</f>
        <v>0</v>
      </c>
      <c r="C145" s="3" t="n">
        <f aca="false">IF(B145&gt;0,ROUNDUP(B145/Parametres!$B$7,0)+1,0)</f>
        <v>0</v>
      </c>
      <c r="D145" s="3" t="n">
        <f aca="false">SUMIFS(Equipes!$D$2:$D$60,Equipes!$A$2:$A$60,"LOT-02",Equipes!$B$2:$B$60,"&lt;="&amp;$A145,Equipes!$C$2:$C$60,"&gt;="&amp;$A145)</f>
        <v>6</v>
      </c>
      <c r="E145" s="3" t="n">
        <f aca="false">IF(D145&gt;0,ROUNDUP(D145/Parametres!$B$7,0)+1,0)</f>
        <v>2</v>
      </c>
      <c r="F145" s="3" t="n">
        <f aca="false">SUMIFS(Equipes!$D$2:$D$60,Equipes!$A$2:$A$60,"LOT-03",Equipes!$B$2:$B$60,"&lt;="&amp;$A145,Equipes!$C$2:$C$60,"&gt;="&amp;$A145)</f>
        <v>0</v>
      </c>
      <c r="G145" s="3" t="n">
        <f aca="false">IF(F145&gt;0,ROUNDUP(F145/Parametres!$B$7,0)+1,0)</f>
        <v>0</v>
      </c>
      <c r="H145" s="3" t="n">
        <f aca="false">SUMIFS(Equipes!$D$2:$D$60,Equipes!$A$2:$A$60,"LOT-04",Equipes!$B$2:$B$60,"&lt;="&amp;$A145,Equipes!$C$2:$C$60,"&gt;="&amp;$A145)</f>
        <v>28</v>
      </c>
      <c r="I145" s="3" t="n">
        <f aca="false">IF(H145&gt;0,ROUNDUP(H145/Parametres!$B$7,0)+1,0)</f>
        <v>4</v>
      </c>
      <c r="J145" s="3" t="n">
        <f aca="false">SUMIFS(Equipes!$D$2:$D$60,Equipes!$A$2:$A$60,"LOT-05",Equipes!$B$2:$B$60,"&lt;="&amp;$A145,Equipes!$C$2:$C$60,"&gt;="&amp;$A145)</f>
        <v>0</v>
      </c>
      <c r="K145" s="3" t="n">
        <f aca="false">IF(J145&gt;0,ROUNDUP(J145/Parametres!$B$7,0)+1,0)</f>
        <v>0</v>
      </c>
      <c r="L145" s="3" t="n">
        <f aca="false">SUMIFS(Equipes!$D$2:$D$60,Equipes!$A$2:$A$60,"LOT-06",Equipes!$B$2:$B$60,"&lt;="&amp;$A145,Equipes!$C$2:$C$60,"&gt;="&amp;$A145)</f>
        <v>0</v>
      </c>
      <c r="M145" s="3" t="n">
        <f aca="false">IF(L145&gt;0,ROUNDUP(L145/Parametres!$B$7,0)+1,0)</f>
        <v>0</v>
      </c>
      <c r="N145" s="3" t="n">
        <f aca="false">SUMIFS(Equipes!$D$2:$D$60,Equipes!$A$2:$A$60,"LOT-07",Equipes!$B$2:$B$60,"&lt;="&amp;$A145,Equipes!$C$2:$C$60,"&gt;="&amp;$A145)</f>
        <v>0</v>
      </c>
      <c r="O145" s="3" t="n">
        <f aca="false">IF(N145&gt;0,ROUNDUP(N145/Parametres!$B$7,0)+1,0)</f>
        <v>0</v>
      </c>
      <c r="P145" s="3" t="n">
        <f aca="false">SUMIFS(Equipes!$D$2:$D$60,Equipes!$A$2:$A$60,"LOT-08",Equipes!$B$2:$B$60,"&lt;="&amp;$A145,Equipes!$C$2:$C$60,"&gt;="&amp;$A145)</f>
        <v>0</v>
      </c>
      <c r="Q145" s="3" t="n">
        <f aca="false">IF(P145&gt;0,ROUNDUP(P145/Parametres!$B$7,0)+1,0)</f>
        <v>0</v>
      </c>
    </row>
    <row r="146" customFormat="false" ht="15" hidden="false" customHeight="false" outlineLevel="0" collapsed="false">
      <c r="A146" s="2" t="n">
        <v>46227</v>
      </c>
      <c r="B146" s="3" t="n">
        <f aca="false">SUMIFS(Equipes!$D$2:$D$60,Equipes!$A$2:$A$60,"LOT-01",Equipes!$B$2:$B$60,"&lt;="&amp;$A146,Equipes!$C$2:$C$60,"&gt;="&amp;$A146)</f>
        <v>0</v>
      </c>
      <c r="C146" s="3" t="n">
        <f aca="false">IF(B146&gt;0,ROUNDUP(B146/Parametres!$B$7,0)+1,0)</f>
        <v>0</v>
      </c>
      <c r="D146" s="3" t="n">
        <f aca="false">SUMIFS(Equipes!$D$2:$D$60,Equipes!$A$2:$A$60,"LOT-02",Equipes!$B$2:$B$60,"&lt;="&amp;$A146,Equipes!$C$2:$C$60,"&gt;="&amp;$A146)</f>
        <v>6</v>
      </c>
      <c r="E146" s="3" t="n">
        <f aca="false">IF(D146&gt;0,ROUNDUP(D146/Parametres!$B$7,0)+1,0)</f>
        <v>2</v>
      </c>
      <c r="F146" s="3" t="n">
        <f aca="false">SUMIFS(Equipes!$D$2:$D$60,Equipes!$A$2:$A$60,"LOT-03",Equipes!$B$2:$B$60,"&lt;="&amp;$A146,Equipes!$C$2:$C$60,"&gt;="&amp;$A146)</f>
        <v>0</v>
      </c>
      <c r="G146" s="3" t="n">
        <f aca="false">IF(F146&gt;0,ROUNDUP(F146/Parametres!$B$7,0)+1,0)</f>
        <v>0</v>
      </c>
      <c r="H146" s="3" t="n">
        <f aca="false">SUMIFS(Equipes!$D$2:$D$60,Equipes!$A$2:$A$60,"LOT-04",Equipes!$B$2:$B$60,"&lt;="&amp;$A146,Equipes!$C$2:$C$60,"&gt;="&amp;$A146)</f>
        <v>28</v>
      </c>
      <c r="I146" s="3" t="n">
        <f aca="false">IF(H146&gt;0,ROUNDUP(H146/Parametres!$B$7,0)+1,0)</f>
        <v>4</v>
      </c>
      <c r="J146" s="3" t="n">
        <f aca="false">SUMIFS(Equipes!$D$2:$D$60,Equipes!$A$2:$A$60,"LOT-05",Equipes!$B$2:$B$60,"&lt;="&amp;$A146,Equipes!$C$2:$C$60,"&gt;="&amp;$A146)</f>
        <v>0</v>
      </c>
      <c r="K146" s="3" t="n">
        <f aca="false">IF(J146&gt;0,ROUNDUP(J146/Parametres!$B$7,0)+1,0)</f>
        <v>0</v>
      </c>
      <c r="L146" s="3" t="n">
        <f aca="false">SUMIFS(Equipes!$D$2:$D$60,Equipes!$A$2:$A$60,"LOT-06",Equipes!$B$2:$B$60,"&lt;="&amp;$A146,Equipes!$C$2:$C$60,"&gt;="&amp;$A146)</f>
        <v>0</v>
      </c>
      <c r="M146" s="3" t="n">
        <f aca="false">IF(L146&gt;0,ROUNDUP(L146/Parametres!$B$7,0)+1,0)</f>
        <v>0</v>
      </c>
      <c r="N146" s="3" t="n">
        <f aca="false">SUMIFS(Equipes!$D$2:$D$60,Equipes!$A$2:$A$60,"LOT-07",Equipes!$B$2:$B$60,"&lt;="&amp;$A146,Equipes!$C$2:$C$60,"&gt;="&amp;$A146)</f>
        <v>0</v>
      </c>
      <c r="O146" s="3" t="n">
        <f aca="false">IF(N146&gt;0,ROUNDUP(N146/Parametres!$B$7,0)+1,0)</f>
        <v>0</v>
      </c>
      <c r="P146" s="3" t="n">
        <f aca="false">SUMIFS(Equipes!$D$2:$D$60,Equipes!$A$2:$A$60,"LOT-08",Equipes!$B$2:$B$60,"&lt;="&amp;$A146,Equipes!$C$2:$C$60,"&gt;="&amp;$A146)</f>
        <v>0</v>
      </c>
      <c r="Q146" s="3" t="n">
        <f aca="false">IF(P146&gt;0,ROUNDUP(P146/Parametres!$B$7,0)+1,0)</f>
        <v>0</v>
      </c>
    </row>
    <row r="147" customFormat="false" ht="15" hidden="false" customHeight="false" outlineLevel="0" collapsed="false">
      <c r="A147" s="2" t="n">
        <v>46228</v>
      </c>
      <c r="B147" s="3" t="n">
        <f aca="false">SUMIFS(Equipes!$D$2:$D$60,Equipes!$A$2:$A$60,"LOT-01",Equipes!$B$2:$B$60,"&lt;="&amp;$A147,Equipes!$C$2:$C$60,"&gt;="&amp;$A147)</f>
        <v>0</v>
      </c>
      <c r="C147" s="3" t="n">
        <f aca="false">IF(B147&gt;0,ROUNDUP(B147/Parametres!$B$7,0)+1,0)</f>
        <v>0</v>
      </c>
      <c r="D147" s="3" t="n">
        <f aca="false">SUMIFS(Equipes!$D$2:$D$60,Equipes!$A$2:$A$60,"LOT-02",Equipes!$B$2:$B$60,"&lt;="&amp;$A147,Equipes!$C$2:$C$60,"&gt;="&amp;$A147)</f>
        <v>6</v>
      </c>
      <c r="E147" s="3" t="n">
        <f aca="false">IF(D147&gt;0,ROUNDUP(D147/Parametres!$B$7,0)+1,0)</f>
        <v>2</v>
      </c>
      <c r="F147" s="3" t="n">
        <f aca="false">SUMIFS(Equipes!$D$2:$D$60,Equipes!$A$2:$A$60,"LOT-03",Equipes!$B$2:$B$60,"&lt;="&amp;$A147,Equipes!$C$2:$C$60,"&gt;="&amp;$A147)</f>
        <v>0</v>
      </c>
      <c r="G147" s="3" t="n">
        <f aca="false">IF(F147&gt;0,ROUNDUP(F147/Parametres!$B$7,0)+1,0)</f>
        <v>0</v>
      </c>
      <c r="H147" s="3" t="n">
        <f aca="false">SUMIFS(Equipes!$D$2:$D$60,Equipes!$A$2:$A$60,"LOT-04",Equipes!$B$2:$B$60,"&lt;="&amp;$A147,Equipes!$C$2:$C$60,"&gt;="&amp;$A147)</f>
        <v>28</v>
      </c>
      <c r="I147" s="3" t="n">
        <f aca="false">IF(H147&gt;0,ROUNDUP(H147/Parametres!$B$7,0)+1,0)</f>
        <v>4</v>
      </c>
      <c r="J147" s="3" t="n">
        <f aca="false">SUMIFS(Equipes!$D$2:$D$60,Equipes!$A$2:$A$60,"LOT-05",Equipes!$B$2:$B$60,"&lt;="&amp;$A147,Equipes!$C$2:$C$60,"&gt;="&amp;$A147)</f>
        <v>0</v>
      </c>
      <c r="K147" s="3" t="n">
        <f aca="false">IF(J147&gt;0,ROUNDUP(J147/Parametres!$B$7,0)+1,0)</f>
        <v>0</v>
      </c>
      <c r="L147" s="3" t="n">
        <f aca="false">SUMIFS(Equipes!$D$2:$D$60,Equipes!$A$2:$A$60,"LOT-06",Equipes!$B$2:$B$60,"&lt;="&amp;$A147,Equipes!$C$2:$C$60,"&gt;="&amp;$A147)</f>
        <v>0</v>
      </c>
      <c r="M147" s="3" t="n">
        <f aca="false">IF(L147&gt;0,ROUNDUP(L147/Parametres!$B$7,0)+1,0)</f>
        <v>0</v>
      </c>
      <c r="N147" s="3" t="n">
        <f aca="false">SUMIFS(Equipes!$D$2:$D$60,Equipes!$A$2:$A$60,"LOT-07",Equipes!$B$2:$B$60,"&lt;="&amp;$A147,Equipes!$C$2:$C$60,"&gt;="&amp;$A147)</f>
        <v>0</v>
      </c>
      <c r="O147" s="3" t="n">
        <f aca="false">IF(N147&gt;0,ROUNDUP(N147/Parametres!$B$7,0)+1,0)</f>
        <v>0</v>
      </c>
      <c r="P147" s="3" t="n">
        <f aca="false">SUMIFS(Equipes!$D$2:$D$60,Equipes!$A$2:$A$60,"LOT-08",Equipes!$B$2:$B$60,"&lt;="&amp;$A147,Equipes!$C$2:$C$60,"&gt;="&amp;$A147)</f>
        <v>0</v>
      </c>
      <c r="Q147" s="3" t="n">
        <f aca="false">IF(P147&gt;0,ROUNDUP(P147/Parametres!$B$7,0)+1,0)</f>
        <v>0</v>
      </c>
    </row>
    <row r="148" customFormat="false" ht="15" hidden="false" customHeight="false" outlineLevel="0" collapsed="false">
      <c r="A148" s="2" t="n">
        <v>46229</v>
      </c>
      <c r="B148" s="3" t="n">
        <f aca="false">SUMIFS(Equipes!$D$2:$D$60,Equipes!$A$2:$A$60,"LOT-01",Equipes!$B$2:$B$60,"&lt;="&amp;$A148,Equipes!$C$2:$C$60,"&gt;="&amp;$A148)</f>
        <v>0</v>
      </c>
      <c r="C148" s="3" t="n">
        <f aca="false">IF(B148&gt;0,ROUNDUP(B148/Parametres!$B$7,0)+1,0)</f>
        <v>0</v>
      </c>
      <c r="D148" s="3" t="n">
        <f aca="false">SUMIFS(Equipes!$D$2:$D$60,Equipes!$A$2:$A$60,"LOT-02",Equipes!$B$2:$B$60,"&lt;="&amp;$A148,Equipes!$C$2:$C$60,"&gt;="&amp;$A148)</f>
        <v>6</v>
      </c>
      <c r="E148" s="3" t="n">
        <f aca="false">IF(D148&gt;0,ROUNDUP(D148/Parametres!$B$7,0)+1,0)</f>
        <v>2</v>
      </c>
      <c r="F148" s="3" t="n">
        <f aca="false">SUMIFS(Equipes!$D$2:$D$60,Equipes!$A$2:$A$60,"LOT-03",Equipes!$B$2:$B$60,"&lt;="&amp;$A148,Equipes!$C$2:$C$60,"&gt;="&amp;$A148)</f>
        <v>0</v>
      </c>
      <c r="G148" s="3" t="n">
        <f aca="false">IF(F148&gt;0,ROUNDUP(F148/Parametres!$B$7,0)+1,0)</f>
        <v>0</v>
      </c>
      <c r="H148" s="3" t="n">
        <f aca="false">SUMIFS(Equipes!$D$2:$D$60,Equipes!$A$2:$A$60,"LOT-04",Equipes!$B$2:$B$60,"&lt;="&amp;$A148,Equipes!$C$2:$C$60,"&gt;="&amp;$A148)</f>
        <v>14</v>
      </c>
      <c r="I148" s="3" t="n">
        <f aca="false">IF(H148&gt;0,ROUNDUP(H148/Parametres!$B$7,0)+1,0)</f>
        <v>3</v>
      </c>
      <c r="J148" s="3" t="n">
        <f aca="false">SUMIFS(Equipes!$D$2:$D$60,Equipes!$A$2:$A$60,"LOT-05",Equipes!$B$2:$B$60,"&lt;="&amp;$A148,Equipes!$C$2:$C$60,"&gt;="&amp;$A148)</f>
        <v>0</v>
      </c>
      <c r="K148" s="3" t="n">
        <f aca="false">IF(J148&gt;0,ROUNDUP(J148/Parametres!$B$7,0)+1,0)</f>
        <v>0</v>
      </c>
      <c r="L148" s="3" t="n">
        <f aca="false">SUMIFS(Equipes!$D$2:$D$60,Equipes!$A$2:$A$60,"LOT-06",Equipes!$B$2:$B$60,"&lt;="&amp;$A148,Equipes!$C$2:$C$60,"&gt;="&amp;$A148)</f>
        <v>0</v>
      </c>
      <c r="M148" s="3" t="n">
        <f aca="false">IF(L148&gt;0,ROUNDUP(L148/Parametres!$B$7,0)+1,0)</f>
        <v>0</v>
      </c>
      <c r="N148" s="3" t="n">
        <f aca="false">SUMIFS(Equipes!$D$2:$D$60,Equipes!$A$2:$A$60,"LOT-07",Equipes!$B$2:$B$60,"&lt;="&amp;$A148,Equipes!$C$2:$C$60,"&gt;="&amp;$A148)</f>
        <v>0</v>
      </c>
      <c r="O148" s="3" t="n">
        <f aca="false">IF(N148&gt;0,ROUNDUP(N148/Parametres!$B$7,0)+1,0)</f>
        <v>0</v>
      </c>
      <c r="P148" s="3" t="n">
        <f aca="false">SUMIFS(Equipes!$D$2:$D$60,Equipes!$A$2:$A$60,"LOT-08",Equipes!$B$2:$B$60,"&lt;="&amp;$A148,Equipes!$C$2:$C$60,"&gt;="&amp;$A148)</f>
        <v>0</v>
      </c>
      <c r="Q148" s="3" t="n">
        <f aca="false">IF(P148&gt;0,ROUNDUP(P148/Parametres!$B$7,0)+1,0)</f>
        <v>0</v>
      </c>
    </row>
    <row r="149" customFormat="false" ht="15" hidden="false" customHeight="false" outlineLevel="0" collapsed="false">
      <c r="A149" s="2" t="n">
        <v>46230</v>
      </c>
      <c r="B149" s="3" t="n">
        <f aca="false">SUMIFS(Equipes!$D$2:$D$60,Equipes!$A$2:$A$60,"LOT-01",Equipes!$B$2:$B$60,"&lt;="&amp;$A149,Equipes!$C$2:$C$60,"&gt;="&amp;$A149)</f>
        <v>0</v>
      </c>
      <c r="C149" s="3" t="n">
        <f aca="false">IF(B149&gt;0,ROUNDUP(B149/Parametres!$B$7,0)+1,0)</f>
        <v>0</v>
      </c>
      <c r="D149" s="3" t="n">
        <f aca="false">SUMIFS(Equipes!$D$2:$D$60,Equipes!$A$2:$A$60,"LOT-02",Equipes!$B$2:$B$60,"&lt;="&amp;$A149,Equipes!$C$2:$C$60,"&gt;="&amp;$A149)</f>
        <v>0</v>
      </c>
      <c r="E149" s="3" t="n">
        <f aca="false">IF(D149&gt;0,ROUNDUP(D149/Parametres!$B$7,0)+1,0)</f>
        <v>0</v>
      </c>
      <c r="F149" s="3" t="n">
        <f aca="false">SUMIFS(Equipes!$D$2:$D$60,Equipes!$A$2:$A$60,"LOT-03",Equipes!$B$2:$B$60,"&lt;="&amp;$A149,Equipes!$C$2:$C$60,"&gt;="&amp;$A149)</f>
        <v>0</v>
      </c>
      <c r="G149" s="3" t="n">
        <f aca="false">IF(F149&gt;0,ROUNDUP(F149/Parametres!$B$7,0)+1,0)</f>
        <v>0</v>
      </c>
      <c r="H149" s="3" t="n">
        <f aca="false">SUMIFS(Equipes!$D$2:$D$60,Equipes!$A$2:$A$60,"LOT-04",Equipes!$B$2:$B$60,"&lt;="&amp;$A149,Equipes!$C$2:$C$60,"&gt;="&amp;$A149)</f>
        <v>14</v>
      </c>
      <c r="I149" s="3" t="n">
        <f aca="false">IF(H149&gt;0,ROUNDUP(H149/Parametres!$B$7,0)+1,0)</f>
        <v>3</v>
      </c>
      <c r="J149" s="3" t="n">
        <f aca="false">SUMIFS(Equipes!$D$2:$D$60,Equipes!$A$2:$A$60,"LOT-05",Equipes!$B$2:$B$60,"&lt;="&amp;$A149,Equipes!$C$2:$C$60,"&gt;="&amp;$A149)</f>
        <v>0</v>
      </c>
      <c r="K149" s="3" t="n">
        <f aca="false">IF(J149&gt;0,ROUNDUP(J149/Parametres!$B$7,0)+1,0)</f>
        <v>0</v>
      </c>
      <c r="L149" s="3" t="n">
        <f aca="false">SUMIFS(Equipes!$D$2:$D$60,Equipes!$A$2:$A$60,"LOT-06",Equipes!$B$2:$B$60,"&lt;="&amp;$A149,Equipes!$C$2:$C$60,"&gt;="&amp;$A149)</f>
        <v>0</v>
      </c>
      <c r="M149" s="3" t="n">
        <f aca="false">IF(L149&gt;0,ROUNDUP(L149/Parametres!$B$7,0)+1,0)</f>
        <v>0</v>
      </c>
      <c r="N149" s="3" t="n">
        <f aca="false">SUMIFS(Equipes!$D$2:$D$60,Equipes!$A$2:$A$60,"LOT-07",Equipes!$B$2:$B$60,"&lt;="&amp;$A149,Equipes!$C$2:$C$60,"&gt;="&amp;$A149)</f>
        <v>0</v>
      </c>
      <c r="O149" s="3" t="n">
        <f aca="false">IF(N149&gt;0,ROUNDUP(N149/Parametres!$B$7,0)+1,0)</f>
        <v>0</v>
      </c>
      <c r="P149" s="3" t="n">
        <f aca="false">SUMIFS(Equipes!$D$2:$D$60,Equipes!$A$2:$A$60,"LOT-08",Equipes!$B$2:$B$60,"&lt;="&amp;$A149,Equipes!$C$2:$C$60,"&gt;="&amp;$A149)</f>
        <v>0</v>
      </c>
      <c r="Q149" s="3" t="n">
        <f aca="false">IF(P149&gt;0,ROUNDUP(P149/Parametres!$B$7,0)+1,0)</f>
        <v>0</v>
      </c>
    </row>
    <row r="150" customFormat="false" ht="15" hidden="false" customHeight="false" outlineLevel="0" collapsed="false">
      <c r="A150" s="2" t="n">
        <v>46231</v>
      </c>
      <c r="B150" s="3" t="n">
        <f aca="false">SUMIFS(Equipes!$D$2:$D$60,Equipes!$A$2:$A$60,"LOT-01",Equipes!$B$2:$B$60,"&lt;="&amp;$A150,Equipes!$C$2:$C$60,"&gt;="&amp;$A150)</f>
        <v>0</v>
      </c>
      <c r="C150" s="3" t="n">
        <f aca="false">IF(B150&gt;0,ROUNDUP(B150/Parametres!$B$7,0)+1,0)</f>
        <v>0</v>
      </c>
      <c r="D150" s="3" t="n">
        <f aca="false">SUMIFS(Equipes!$D$2:$D$60,Equipes!$A$2:$A$60,"LOT-02",Equipes!$B$2:$B$60,"&lt;="&amp;$A150,Equipes!$C$2:$C$60,"&gt;="&amp;$A150)</f>
        <v>0</v>
      </c>
      <c r="E150" s="3" t="n">
        <f aca="false">IF(D150&gt;0,ROUNDUP(D150/Parametres!$B$7,0)+1,0)</f>
        <v>0</v>
      </c>
      <c r="F150" s="3" t="n">
        <f aca="false">SUMIFS(Equipes!$D$2:$D$60,Equipes!$A$2:$A$60,"LOT-03",Equipes!$B$2:$B$60,"&lt;="&amp;$A150,Equipes!$C$2:$C$60,"&gt;="&amp;$A150)</f>
        <v>0</v>
      </c>
      <c r="G150" s="3" t="n">
        <f aca="false">IF(F150&gt;0,ROUNDUP(F150/Parametres!$B$7,0)+1,0)</f>
        <v>0</v>
      </c>
      <c r="H150" s="3" t="n">
        <f aca="false">SUMIFS(Equipes!$D$2:$D$60,Equipes!$A$2:$A$60,"LOT-04",Equipes!$B$2:$B$60,"&lt;="&amp;$A150,Equipes!$C$2:$C$60,"&gt;="&amp;$A150)</f>
        <v>14</v>
      </c>
      <c r="I150" s="3" t="n">
        <f aca="false">IF(H150&gt;0,ROUNDUP(H150/Parametres!$B$7,0)+1,0)</f>
        <v>3</v>
      </c>
      <c r="J150" s="3" t="n">
        <f aca="false">SUMIFS(Equipes!$D$2:$D$60,Equipes!$A$2:$A$60,"LOT-05",Equipes!$B$2:$B$60,"&lt;="&amp;$A150,Equipes!$C$2:$C$60,"&gt;="&amp;$A150)</f>
        <v>0</v>
      </c>
      <c r="K150" s="3" t="n">
        <f aca="false">IF(J150&gt;0,ROUNDUP(J150/Parametres!$B$7,0)+1,0)</f>
        <v>0</v>
      </c>
      <c r="L150" s="3" t="n">
        <f aca="false">SUMIFS(Equipes!$D$2:$D$60,Equipes!$A$2:$A$60,"LOT-06",Equipes!$B$2:$B$60,"&lt;="&amp;$A150,Equipes!$C$2:$C$60,"&gt;="&amp;$A150)</f>
        <v>0</v>
      </c>
      <c r="M150" s="3" t="n">
        <f aca="false">IF(L150&gt;0,ROUNDUP(L150/Parametres!$B$7,0)+1,0)</f>
        <v>0</v>
      </c>
      <c r="N150" s="3" t="n">
        <f aca="false">SUMIFS(Equipes!$D$2:$D$60,Equipes!$A$2:$A$60,"LOT-07",Equipes!$B$2:$B$60,"&lt;="&amp;$A150,Equipes!$C$2:$C$60,"&gt;="&amp;$A150)</f>
        <v>0</v>
      </c>
      <c r="O150" s="3" t="n">
        <f aca="false">IF(N150&gt;0,ROUNDUP(N150/Parametres!$B$7,0)+1,0)</f>
        <v>0</v>
      </c>
      <c r="P150" s="3" t="n">
        <f aca="false">SUMIFS(Equipes!$D$2:$D$60,Equipes!$A$2:$A$60,"LOT-08",Equipes!$B$2:$B$60,"&lt;="&amp;$A150,Equipes!$C$2:$C$60,"&gt;="&amp;$A150)</f>
        <v>0</v>
      </c>
      <c r="Q150" s="3" t="n">
        <f aca="false">IF(P150&gt;0,ROUNDUP(P150/Parametres!$B$7,0)+1,0)</f>
        <v>0</v>
      </c>
    </row>
    <row r="151" customFormat="false" ht="15" hidden="false" customHeight="false" outlineLevel="0" collapsed="false">
      <c r="A151" s="2" t="n">
        <v>46232</v>
      </c>
      <c r="B151" s="3" t="n">
        <f aca="false">SUMIFS(Equipes!$D$2:$D$60,Equipes!$A$2:$A$60,"LOT-01",Equipes!$B$2:$B$60,"&lt;="&amp;$A151,Equipes!$C$2:$C$60,"&gt;="&amp;$A151)</f>
        <v>0</v>
      </c>
      <c r="C151" s="3" t="n">
        <f aca="false">IF(B151&gt;0,ROUNDUP(B151/Parametres!$B$7,0)+1,0)</f>
        <v>0</v>
      </c>
      <c r="D151" s="3" t="n">
        <f aca="false">SUMIFS(Equipes!$D$2:$D$60,Equipes!$A$2:$A$60,"LOT-02",Equipes!$B$2:$B$60,"&lt;="&amp;$A151,Equipes!$C$2:$C$60,"&gt;="&amp;$A151)</f>
        <v>0</v>
      </c>
      <c r="E151" s="3" t="n">
        <f aca="false">IF(D151&gt;0,ROUNDUP(D151/Parametres!$B$7,0)+1,0)</f>
        <v>0</v>
      </c>
      <c r="F151" s="3" t="n">
        <f aca="false">SUMIFS(Equipes!$D$2:$D$60,Equipes!$A$2:$A$60,"LOT-03",Equipes!$B$2:$B$60,"&lt;="&amp;$A151,Equipes!$C$2:$C$60,"&gt;="&amp;$A151)</f>
        <v>0</v>
      </c>
      <c r="G151" s="3" t="n">
        <f aca="false">IF(F151&gt;0,ROUNDUP(F151/Parametres!$B$7,0)+1,0)</f>
        <v>0</v>
      </c>
      <c r="H151" s="3" t="n">
        <f aca="false">SUMIFS(Equipes!$D$2:$D$60,Equipes!$A$2:$A$60,"LOT-04",Equipes!$B$2:$B$60,"&lt;="&amp;$A151,Equipes!$C$2:$C$60,"&gt;="&amp;$A151)</f>
        <v>14</v>
      </c>
      <c r="I151" s="3" t="n">
        <f aca="false">IF(H151&gt;0,ROUNDUP(H151/Parametres!$B$7,0)+1,0)</f>
        <v>3</v>
      </c>
      <c r="J151" s="3" t="n">
        <f aca="false">SUMIFS(Equipes!$D$2:$D$60,Equipes!$A$2:$A$60,"LOT-05",Equipes!$B$2:$B$60,"&lt;="&amp;$A151,Equipes!$C$2:$C$60,"&gt;="&amp;$A151)</f>
        <v>0</v>
      </c>
      <c r="K151" s="3" t="n">
        <f aca="false">IF(J151&gt;0,ROUNDUP(J151/Parametres!$B$7,0)+1,0)</f>
        <v>0</v>
      </c>
      <c r="L151" s="3" t="n">
        <f aca="false">SUMIFS(Equipes!$D$2:$D$60,Equipes!$A$2:$A$60,"LOT-06",Equipes!$B$2:$B$60,"&lt;="&amp;$A151,Equipes!$C$2:$C$60,"&gt;="&amp;$A151)</f>
        <v>0</v>
      </c>
      <c r="M151" s="3" t="n">
        <f aca="false">IF(L151&gt;0,ROUNDUP(L151/Parametres!$B$7,0)+1,0)</f>
        <v>0</v>
      </c>
      <c r="N151" s="3" t="n">
        <f aca="false">SUMIFS(Equipes!$D$2:$D$60,Equipes!$A$2:$A$60,"LOT-07",Equipes!$B$2:$B$60,"&lt;="&amp;$A151,Equipes!$C$2:$C$60,"&gt;="&amp;$A151)</f>
        <v>0</v>
      </c>
      <c r="O151" s="3" t="n">
        <f aca="false">IF(N151&gt;0,ROUNDUP(N151/Parametres!$B$7,0)+1,0)</f>
        <v>0</v>
      </c>
      <c r="P151" s="3" t="n">
        <f aca="false">SUMIFS(Equipes!$D$2:$D$60,Equipes!$A$2:$A$60,"LOT-08",Equipes!$B$2:$B$60,"&lt;="&amp;$A151,Equipes!$C$2:$C$60,"&gt;="&amp;$A151)</f>
        <v>0</v>
      </c>
      <c r="Q151" s="3" t="n">
        <f aca="false">IF(P151&gt;0,ROUNDUP(P151/Parametres!$B$7,0)+1,0)</f>
        <v>0</v>
      </c>
    </row>
    <row r="152" customFormat="false" ht="15" hidden="false" customHeight="false" outlineLevel="0" collapsed="false">
      <c r="A152" s="2" t="n">
        <v>46233</v>
      </c>
      <c r="B152" s="3" t="n">
        <f aca="false">SUMIFS(Equipes!$D$2:$D$60,Equipes!$A$2:$A$60,"LOT-01",Equipes!$B$2:$B$60,"&lt;="&amp;$A152,Equipes!$C$2:$C$60,"&gt;="&amp;$A152)</f>
        <v>0</v>
      </c>
      <c r="C152" s="3" t="n">
        <f aca="false">IF(B152&gt;0,ROUNDUP(B152/Parametres!$B$7,0)+1,0)</f>
        <v>0</v>
      </c>
      <c r="D152" s="3" t="n">
        <f aca="false">SUMIFS(Equipes!$D$2:$D$60,Equipes!$A$2:$A$60,"LOT-02",Equipes!$B$2:$B$60,"&lt;="&amp;$A152,Equipes!$C$2:$C$60,"&gt;="&amp;$A152)</f>
        <v>0</v>
      </c>
      <c r="E152" s="3" t="n">
        <f aca="false">IF(D152&gt;0,ROUNDUP(D152/Parametres!$B$7,0)+1,0)</f>
        <v>0</v>
      </c>
      <c r="F152" s="3" t="n">
        <f aca="false">SUMIFS(Equipes!$D$2:$D$60,Equipes!$A$2:$A$60,"LOT-03",Equipes!$B$2:$B$60,"&lt;="&amp;$A152,Equipes!$C$2:$C$60,"&gt;="&amp;$A152)</f>
        <v>0</v>
      </c>
      <c r="G152" s="3" t="n">
        <f aca="false">IF(F152&gt;0,ROUNDUP(F152/Parametres!$B$7,0)+1,0)</f>
        <v>0</v>
      </c>
      <c r="H152" s="3" t="n">
        <f aca="false">SUMIFS(Equipes!$D$2:$D$60,Equipes!$A$2:$A$60,"LOT-04",Equipes!$B$2:$B$60,"&lt;="&amp;$A152,Equipes!$C$2:$C$60,"&gt;="&amp;$A152)</f>
        <v>14</v>
      </c>
      <c r="I152" s="3" t="n">
        <f aca="false">IF(H152&gt;0,ROUNDUP(H152/Parametres!$B$7,0)+1,0)</f>
        <v>3</v>
      </c>
      <c r="J152" s="3" t="n">
        <f aca="false">SUMIFS(Equipes!$D$2:$D$60,Equipes!$A$2:$A$60,"LOT-05",Equipes!$B$2:$B$60,"&lt;="&amp;$A152,Equipes!$C$2:$C$60,"&gt;="&amp;$A152)</f>
        <v>0</v>
      </c>
      <c r="K152" s="3" t="n">
        <f aca="false">IF(J152&gt;0,ROUNDUP(J152/Parametres!$B$7,0)+1,0)</f>
        <v>0</v>
      </c>
      <c r="L152" s="3" t="n">
        <f aca="false">SUMIFS(Equipes!$D$2:$D$60,Equipes!$A$2:$A$60,"LOT-06",Equipes!$B$2:$B$60,"&lt;="&amp;$A152,Equipes!$C$2:$C$60,"&gt;="&amp;$A152)</f>
        <v>0</v>
      </c>
      <c r="M152" s="3" t="n">
        <f aca="false">IF(L152&gt;0,ROUNDUP(L152/Parametres!$B$7,0)+1,0)</f>
        <v>0</v>
      </c>
      <c r="N152" s="3" t="n">
        <f aca="false">SUMIFS(Equipes!$D$2:$D$60,Equipes!$A$2:$A$60,"LOT-07",Equipes!$B$2:$B$60,"&lt;="&amp;$A152,Equipes!$C$2:$C$60,"&gt;="&amp;$A152)</f>
        <v>0</v>
      </c>
      <c r="O152" s="3" t="n">
        <f aca="false">IF(N152&gt;0,ROUNDUP(N152/Parametres!$B$7,0)+1,0)</f>
        <v>0</v>
      </c>
      <c r="P152" s="3" t="n">
        <f aca="false">SUMIFS(Equipes!$D$2:$D$60,Equipes!$A$2:$A$60,"LOT-08",Equipes!$B$2:$B$60,"&lt;="&amp;$A152,Equipes!$C$2:$C$60,"&gt;="&amp;$A152)</f>
        <v>0</v>
      </c>
      <c r="Q152" s="3" t="n">
        <f aca="false">IF(P152&gt;0,ROUNDUP(P152/Parametres!$B$7,0)+1,0)</f>
        <v>0</v>
      </c>
    </row>
    <row r="153" customFormat="false" ht="15" hidden="false" customHeight="false" outlineLevel="0" collapsed="false">
      <c r="A153" s="2" t="n">
        <v>46234</v>
      </c>
      <c r="B153" s="3" t="n">
        <f aca="false">SUMIFS(Equipes!$D$2:$D$60,Equipes!$A$2:$A$60,"LOT-01",Equipes!$B$2:$B$60,"&lt;="&amp;$A153,Equipes!$C$2:$C$60,"&gt;="&amp;$A153)</f>
        <v>0</v>
      </c>
      <c r="C153" s="3" t="n">
        <f aca="false">IF(B153&gt;0,ROUNDUP(B153/Parametres!$B$7,0)+1,0)</f>
        <v>0</v>
      </c>
      <c r="D153" s="3" t="n">
        <f aca="false">SUMIFS(Equipes!$D$2:$D$60,Equipes!$A$2:$A$60,"LOT-02",Equipes!$B$2:$B$60,"&lt;="&amp;$A153,Equipes!$C$2:$C$60,"&gt;="&amp;$A153)</f>
        <v>0</v>
      </c>
      <c r="E153" s="3" t="n">
        <f aca="false">IF(D153&gt;0,ROUNDUP(D153/Parametres!$B$7,0)+1,0)</f>
        <v>0</v>
      </c>
      <c r="F153" s="3" t="n">
        <f aca="false">SUMIFS(Equipes!$D$2:$D$60,Equipes!$A$2:$A$60,"LOT-03",Equipes!$B$2:$B$60,"&lt;="&amp;$A153,Equipes!$C$2:$C$60,"&gt;="&amp;$A153)</f>
        <v>0</v>
      </c>
      <c r="G153" s="3" t="n">
        <f aca="false">IF(F153&gt;0,ROUNDUP(F153/Parametres!$B$7,0)+1,0)</f>
        <v>0</v>
      </c>
      <c r="H153" s="3" t="n">
        <f aca="false">SUMIFS(Equipes!$D$2:$D$60,Equipes!$A$2:$A$60,"LOT-04",Equipes!$B$2:$B$60,"&lt;="&amp;$A153,Equipes!$C$2:$C$60,"&gt;="&amp;$A153)</f>
        <v>14</v>
      </c>
      <c r="I153" s="3" t="n">
        <f aca="false">IF(H153&gt;0,ROUNDUP(H153/Parametres!$B$7,0)+1,0)</f>
        <v>3</v>
      </c>
      <c r="J153" s="3" t="n">
        <f aca="false">SUMIFS(Equipes!$D$2:$D$60,Equipes!$A$2:$A$60,"LOT-05",Equipes!$B$2:$B$60,"&lt;="&amp;$A153,Equipes!$C$2:$C$60,"&gt;="&amp;$A153)</f>
        <v>0</v>
      </c>
      <c r="K153" s="3" t="n">
        <f aca="false">IF(J153&gt;0,ROUNDUP(J153/Parametres!$B$7,0)+1,0)</f>
        <v>0</v>
      </c>
      <c r="L153" s="3" t="n">
        <f aca="false">SUMIFS(Equipes!$D$2:$D$60,Equipes!$A$2:$A$60,"LOT-06",Equipes!$B$2:$B$60,"&lt;="&amp;$A153,Equipes!$C$2:$C$60,"&gt;="&amp;$A153)</f>
        <v>0</v>
      </c>
      <c r="M153" s="3" t="n">
        <f aca="false">IF(L153&gt;0,ROUNDUP(L153/Parametres!$B$7,0)+1,0)</f>
        <v>0</v>
      </c>
      <c r="N153" s="3" t="n">
        <f aca="false">SUMIFS(Equipes!$D$2:$D$60,Equipes!$A$2:$A$60,"LOT-07",Equipes!$B$2:$B$60,"&lt;="&amp;$A153,Equipes!$C$2:$C$60,"&gt;="&amp;$A153)</f>
        <v>0</v>
      </c>
      <c r="O153" s="3" t="n">
        <f aca="false">IF(N153&gt;0,ROUNDUP(N153/Parametres!$B$7,0)+1,0)</f>
        <v>0</v>
      </c>
      <c r="P153" s="3" t="n">
        <f aca="false">SUMIFS(Equipes!$D$2:$D$60,Equipes!$A$2:$A$60,"LOT-08",Equipes!$B$2:$B$60,"&lt;="&amp;$A153,Equipes!$C$2:$C$60,"&gt;="&amp;$A153)</f>
        <v>0</v>
      </c>
      <c r="Q153" s="3" t="n">
        <f aca="false">IF(P153&gt;0,ROUNDUP(P153/Parametres!$B$7,0)+1,0)</f>
        <v>0</v>
      </c>
    </row>
    <row r="154" customFormat="false" ht="15" hidden="false" customHeight="false" outlineLevel="0" collapsed="false">
      <c r="A154" s="2" t="n">
        <v>46235</v>
      </c>
      <c r="B154" s="3" t="n">
        <f aca="false">SUMIFS(Equipes!$D$2:$D$60,Equipes!$A$2:$A$60,"LOT-01",Equipes!$B$2:$B$60,"&lt;="&amp;$A154,Equipes!$C$2:$C$60,"&gt;="&amp;$A154)</f>
        <v>0</v>
      </c>
      <c r="C154" s="3" t="n">
        <f aca="false">IF(B154&gt;0,ROUNDUP(B154/Parametres!$B$7,0)+1,0)</f>
        <v>0</v>
      </c>
      <c r="D154" s="3" t="n">
        <f aca="false">SUMIFS(Equipes!$D$2:$D$60,Equipes!$A$2:$A$60,"LOT-02",Equipes!$B$2:$B$60,"&lt;="&amp;$A154,Equipes!$C$2:$C$60,"&gt;="&amp;$A154)</f>
        <v>0</v>
      </c>
      <c r="E154" s="3" t="n">
        <f aca="false">IF(D154&gt;0,ROUNDUP(D154/Parametres!$B$7,0)+1,0)</f>
        <v>0</v>
      </c>
      <c r="F154" s="3" t="n">
        <f aca="false">SUMIFS(Equipes!$D$2:$D$60,Equipes!$A$2:$A$60,"LOT-03",Equipes!$B$2:$B$60,"&lt;="&amp;$A154,Equipes!$C$2:$C$60,"&gt;="&amp;$A154)</f>
        <v>0</v>
      </c>
      <c r="G154" s="3" t="n">
        <f aca="false">IF(F154&gt;0,ROUNDUP(F154/Parametres!$B$7,0)+1,0)</f>
        <v>0</v>
      </c>
      <c r="H154" s="3" t="n">
        <f aca="false">SUMIFS(Equipes!$D$2:$D$60,Equipes!$A$2:$A$60,"LOT-04",Equipes!$B$2:$B$60,"&lt;="&amp;$A154,Equipes!$C$2:$C$60,"&gt;="&amp;$A154)</f>
        <v>24</v>
      </c>
      <c r="I154" s="3" t="n">
        <f aca="false">IF(H154&gt;0,ROUNDUP(H154/Parametres!$B$7,0)+1,0)</f>
        <v>3</v>
      </c>
      <c r="J154" s="3" t="n">
        <f aca="false">SUMIFS(Equipes!$D$2:$D$60,Equipes!$A$2:$A$60,"LOT-05",Equipes!$B$2:$B$60,"&lt;="&amp;$A154,Equipes!$C$2:$C$60,"&gt;="&amp;$A154)</f>
        <v>0</v>
      </c>
      <c r="K154" s="3" t="n">
        <f aca="false">IF(J154&gt;0,ROUNDUP(J154/Parametres!$B$7,0)+1,0)</f>
        <v>0</v>
      </c>
      <c r="L154" s="3" t="n">
        <f aca="false">SUMIFS(Equipes!$D$2:$D$60,Equipes!$A$2:$A$60,"LOT-06",Equipes!$B$2:$B$60,"&lt;="&amp;$A154,Equipes!$C$2:$C$60,"&gt;="&amp;$A154)</f>
        <v>0</v>
      </c>
      <c r="M154" s="3" t="n">
        <f aca="false">IF(L154&gt;0,ROUNDUP(L154/Parametres!$B$7,0)+1,0)</f>
        <v>0</v>
      </c>
      <c r="N154" s="3" t="n">
        <f aca="false">SUMIFS(Equipes!$D$2:$D$60,Equipes!$A$2:$A$60,"LOT-07",Equipes!$B$2:$B$60,"&lt;="&amp;$A154,Equipes!$C$2:$C$60,"&gt;="&amp;$A154)</f>
        <v>0</v>
      </c>
      <c r="O154" s="3" t="n">
        <f aca="false">IF(N154&gt;0,ROUNDUP(N154/Parametres!$B$7,0)+1,0)</f>
        <v>0</v>
      </c>
      <c r="P154" s="3" t="n">
        <f aca="false">SUMIFS(Equipes!$D$2:$D$60,Equipes!$A$2:$A$60,"LOT-08",Equipes!$B$2:$B$60,"&lt;="&amp;$A154,Equipes!$C$2:$C$60,"&gt;="&amp;$A154)</f>
        <v>0</v>
      </c>
      <c r="Q154" s="3" t="n">
        <f aca="false">IF(P154&gt;0,ROUNDUP(P154/Parametres!$B$7,0)+1,0)</f>
        <v>0</v>
      </c>
    </row>
    <row r="155" customFormat="false" ht="15" hidden="false" customHeight="false" outlineLevel="0" collapsed="false">
      <c r="A155" s="2" t="n">
        <v>46236</v>
      </c>
      <c r="B155" s="3" t="n">
        <f aca="false">SUMIFS(Equipes!$D$2:$D$60,Equipes!$A$2:$A$60,"LOT-01",Equipes!$B$2:$B$60,"&lt;="&amp;$A155,Equipes!$C$2:$C$60,"&gt;="&amp;$A155)</f>
        <v>0</v>
      </c>
      <c r="C155" s="3" t="n">
        <f aca="false">IF(B155&gt;0,ROUNDUP(B155/Parametres!$B$7,0)+1,0)</f>
        <v>0</v>
      </c>
      <c r="D155" s="3" t="n">
        <f aca="false">SUMIFS(Equipes!$D$2:$D$60,Equipes!$A$2:$A$60,"LOT-02",Equipes!$B$2:$B$60,"&lt;="&amp;$A155,Equipes!$C$2:$C$60,"&gt;="&amp;$A155)</f>
        <v>0</v>
      </c>
      <c r="E155" s="3" t="n">
        <f aca="false">IF(D155&gt;0,ROUNDUP(D155/Parametres!$B$7,0)+1,0)</f>
        <v>0</v>
      </c>
      <c r="F155" s="3" t="n">
        <f aca="false">SUMIFS(Equipes!$D$2:$D$60,Equipes!$A$2:$A$60,"LOT-03",Equipes!$B$2:$B$60,"&lt;="&amp;$A155,Equipes!$C$2:$C$60,"&gt;="&amp;$A155)</f>
        <v>0</v>
      </c>
      <c r="G155" s="3" t="n">
        <f aca="false">IF(F155&gt;0,ROUNDUP(F155/Parametres!$B$7,0)+1,0)</f>
        <v>0</v>
      </c>
      <c r="H155" s="3" t="n">
        <f aca="false">SUMIFS(Equipes!$D$2:$D$60,Equipes!$A$2:$A$60,"LOT-04",Equipes!$B$2:$B$60,"&lt;="&amp;$A155,Equipes!$C$2:$C$60,"&gt;="&amp;$A155)</f>
        <v>24</v>
      </c>
      <c r="I155" s="3" t="n">
        <f aca="false">IF(H155&gt;0,ROUNDUP(H155/Parametres!$B$7,0)+1,0)</f>
        <v>3</v>
      </c>
      <c r="J155" s="3" t="n">
        <f aca="false">SUMIFS(Equipes!$D$2:$D$60,Equipes!$A$2:$A$60,"LOT-05",Equipes!$B$2:$B$60,"&lt;="&amp;$A155,Equipes!$C$2:$C$60,"&gt;="&amp;$A155)</f>
        <v>0</v>
      </c>
      <c r="K155" s="3" t="n">
        <f aca="false">IF(J155&gt;0,ROUNDUP(J155/Parametres!$B$7,0)+1,0)</f>
        <v>0</v>
      </c>
      <c r="L155" s="3" t="n">
        <f aca="false">SUMIFS(Equipes!$D$2:$D$60,Equipes!$A$2:$A$60,"LOT-06",Equipes!$B$2:$B$60,"&lt;="&amp;$A155,Equipes!$C$2:$C$60,"&gt;="&amp;$A155)</f>
        <v>0</v>
      </c>
      <c r="M155" s="3" t="n">
        <f aca="false">IF(L155&gt;0,ROUNDUP(L155/Parametres!$B$7,0)+1,0)</f>
        <v>0</v>
      </c>
      <c r="N155" s="3" t="n">
        <f aca="false">SUMIFS(Equipes!$D$2:$D$60,Equipes!$A$2:$A$60,"LOT-07",Equipes!$B$2:$B$60,"&lt;="&amp;$A155,Equipes!$C$2:$C$60,"&gt;="&amp;$A155)</f>
        <v>0</v>
      </c>
      <c r="O155" s="3" t="n">
        <f aca="false">IF(N155&gt;0,ROUNDUP(N155/Parametres!$B$7,0)+1,0)</f>
        <v>0</v>
      </c>
      <c r="P155" s="3" t="n">
        <f aca="false">SUMIFS(Equipes!$D$2:$D$60,Equipes!$A$2:$A$60,"LOT-08",Equipes!$B$2:$B$60,"&lt;="&amp;$A155,Equipes!$C$2:$C$60,"&gt;="&amp;$A155)</f>
        <v>0</v>
      </c>
      <c r="Q155" s="3" t="n">
        <f aca="false">IF(P155&gt;0,ROUNDUP(P155/Parametres!$B$7,0)+1,0)</f>
        <v>0</v>
      </c>
    </row>
    <row r="156" customFormat="false" ht="15" hidden="false" customHeight="false" outlineLevel="0" collapsed="false">
      <c r="A156" s="2" t="n">
        <v>46237</v>
      </c>
      <c r="B156" s="3" t="n">
        <f aca="false">SUMIFS(Equipes!$D$2:$D$60,Equipes!$A$2:$A$60,"LOT-01",Equipes!$B$2:$B$60,"&lt;="&amp;$A156,Equipes!$C$2:$C$60,"&gt;="&amp;$A156)</f>
        <v>0</v>
      </c>
      <c r="C156" s="3" t="n">
        <f aca="false">IF(B156&gt;0,ROUNDUP(B156/Parametres!$B$7,0)+1,0)</f>
        <v>0</v>
      </c>
      <c r="D156" s="3" t="n">
        <f aca="false">SUMIFS(Equipes!$D$2:$D$60,Equipes!$A$2:$A$60,"LOT-02",Equipes!$B$2:$B$60,"&lt;="&amp;$A156,Equipes!$C$2:$C$60,"&gt;="&amp;$A156)</f>
        <v>0</v>
      </c>
      <c r="E156" s="3" t="n">
        <f aca="false">IF(D156&gt;0,ROUNDUP(D156/Parametres!$B$7,0)+1,0)</f>
        <v>0</v>
      </c>
      <c r="F156" s="3" t="n">
        <f aca="false">SUMIFS(Equipes!$D$2:$D$60,Equipes!$A$2:$A$60,"LOT-03",Equipes!$B$2:$B$60,"&lt;="&amp;$A156,Equipes!$C$2:$C$60,"&gt;="&amp;$A156)</f>
        <v>0</v>
      </c>
      <c r="G156" s="3" t="n">
        <f aca="false">IF(F156&gt;0,ROUNDUP(F156/Parametres!$B$7,0)+1,0)</f>
        <v>0</v>
      </c>
      <c r="H156" s="3" t="n">
        <f aca="false">SUMIFS(Equipes!$D$2:$D$60,Equipes!$A$2:$A$60,"LOT-04",Equipes!$B$2:$B$60,"&lt;="&amp;$A156,Equipes!$C$2:$C$60,"&gt;="&amp;$A156)</f>
        <v>24</v>
      </c>
      <c r="I156" s="3" t="n">
        <f aca="false">IF(H156&gt;0,ROUNDUP(H156/Parametres!$B$7,0)+1,0)</f>
        <v>3</v>
      </c>
      <c r="J156" s="3" t="n">
        <f aca="false">SUMIFS(Equipes!$D$2:$D$60,Equipes!$A$2:$A$60,"LOT-05",Equipes!$B$2:$B$60,"&lt;="&amp;$A156,Equipes!$C$2:$C$60,"&gt;="&amp;$A156)</f>
        <v>0</v>
      </c>
      <c r="K156" s="3" t="n">
        <f aca="false">IF(J156&gt;0,ROUNDUP(J156/Parametres!$B$7,0)+1,0)</f>
        <v>0</v>
      </c>
      <c r="L156" s="3" t="n">
        <f aca="false">SUMIFS(Equipes!$D$2:$D$60,Equipes!$A$2:$A$60,"LOT-06",Equipes!$B$2:$B$60,"&lt;="&amp;$A156,Equipes!$C$2:$C$60,"&gt;="&amp;$A156)</f>
        <v>0</v>
      </c>
      <c r="M156" s="3" t="n">
        <f aca="false">IF(L156&gt;0,ROUNDUP(L156/Parametres!$B$7,0)+1,0)</f>
        <v>0</v>
      </c>
      <c r="N156" s="3" t="n">
        <f aca="false">SUMIFS(Equipes!$D$2:$D$60,Equipes!$A$2:$A$60,"LOT-07",Equipes!$B$2:$B$60,"&lt;="&amp;$A156,Equipes!$C$2:$C$60,"&gt;="&amp;$A156)</f>
        <v>0</v>
      </c>
      <c r="O156" s="3" t="n">
        <f aca="false">IF(N156&gt;0,ROUNDUP(N156/Parametres!$B$7,0)+1,0)</f>
        <v>0</v>
      </c>
      <c r="P156" s="3" t="n">
        <f aca="false">SUMIFS(Equipes!$D$2:$D$60,Equipes!$A$2:$A$60,"LOT-08",Equipes!$B$2:$B$60,"&lt;="&amp;$A156,Equipes!$C$2:$C$60,"&gt;="&amp;$A156)</f>
        <v>0</v>
      </c>
      <c r="Q156" s="3" t="n">
        <f aca="false">IF(P156&gt;0,ROUNDUP(P156/Parametres!$B$7,0)+1,0)</f>
        <v>0</v>
      </c>
    </row>
    <row r="157" customFormat="false" ht="15" hidden="false" customHeight="false" outlineLevel="0" collapsed="false">
      <c r="A157" s="2" t="n">
        <v>46238</v>
      </c>
      <c r="B157" s="3" t="n">
        <f aca="false">SUMIFS(Equipes!$D$2:$D$60,Equipes!$A$2:$A$60,"LOT-01",Equipes!$B$2:$B$60,"&lt;="&amp;$A157,Equipes!$C$2:$C$60,"&gt;="&amp;$A157)</f>
        <v>0</v>
      </c>
      <c r="C157" s="3" t="n">
        <f aca="false">IF(B157&gt;0,ROUNDUP(B157/Parametres!$B$7,0)+1,0)</f>
        <v>0</v>
      </c>
      <c r="D157" s="3" t="n">
        <f aca="false">SUMIFS(Equipes!$D$2:$D$60,Equipes!$A$2:$A$60,"LOT-02",Equipes!$B$2:$B$60,"&lt;="&amp;$A157,Equipes!$C$2:$C$60,"&gt;="&amp;$A157)</f>
        <v>0</v>
      </c>
      <c r="E157" s="3" t="n">
        <f aca="false">IF(D157&gt;0,ROUNDUP(D157/Parametres!$B$7,0)+1,0)</f>
        <v>0</v>
      </c>
      <c r="F157" s="3" t="n">
        <f aca="false">SUMIFS(Equipes!$D$2:$D$60,Equipes!$A$2:$A$60,"LOT-03",Equipes!$B$2:$B$60,"&lt;="&amp;$A157,Equipes!$C$2:$C$60,"&gt;="&amp;$A157)</f>
        <v>0</v>
      </c>
      <c r="G157" s="3" t="n">
        <f aca="false">IF(F157&gt;0,ROUNDUP(F157/Parametres!$B$7,0)+1,0)</f>
        <v>0</v>
      </c>
      <c r="H157" s="3" t="n">
        <f aca="false">SUMIFS(Equipes!$D$2:$D$60,Equipes!$A$2:$A$60,"LOT-04",Equipes!$B$2:$B$60,"&lt;="&amp;$A157,Equipes!$C$2:$C$60,"&gt;="&amp;$A157)</f>
        <v>24</v>
      </c>
      <c r="I157" s="3" t="n">
        <f aca="false">IF(H157&gt;0,ROUNDUP(H157/Parametres!$B$7,0)+1,0)</f>
        <v>3</v>
      </c>
      <c r="J157" s="3" t="n">
        <f aca="false">SUMIFS(Equipes!$D$2:$D$60,Equipes!$A$2:$A$60,"LOT-05",Equipes!$B$2:$B$60,"&lt;="&amp;$A157,Equipes!$C$2:$C$60,"&gt;="&amp;$A157)</f>
        <v>0</v>
      </c>
      <c r="K157" s="3" t="n">
        <f aca="false">IF(J157&gt;0,ROUNDUP(J157/Parametres!$B$7,0)+1,0)</f>
        <v>0</v>
      </c>
      <c r="L157" s="3" t="n">
        <f aca="false">SUMIFS(Equipes!$D$2:$D$60,Equipes!$A$2:$A$60,"LOT-06",Equipes!$B$2:$B$60,"&lt;="&amp;$A157,Equipes!$C$2:$C$60,"&gt;="&amp;$A157)</f>
        <v>0</v>
      </c>
      <c r="M157" s="3" t="n">
        <f aca="false">IF(L157&gt;0,ROUNDUP(L157/Parametres!$B$7,0)+1,0)</f>
        <v>0</v>
      </c>
      <c r="N157" s="3" t="n">
        <f aca="false">SUMIFS(Equipes!$D$2:$D$60,Equipes!$A$2:$A$60,"LOT-07",Equipes!$B$2:$B$60,"&lt;="&amp;$A157,Equipes!$C$2:$C$60,"&gt;="&amp;$A157)</f>
        <v>0</v>
      </c>
      <c r="O157" s="3" t="n">
        <f aca="false">IF(N157&gt;0,ROUNDUP(N157/Parametres!$B$7,0)+1,0)</f>
        <v>0</v>
      </c>
      <c r="P157" s="3" t="n">
        <f aca="false">SUMIFS(Equipes!$D$2:$D$60,Equipes!$A$2:$A$60,"LOT-08",Equipes!$B$2:$B$60,"&lt;="&amp;$A157,Equipes!$C$2:$C$60,"&gt;="&amp;$A157)</f>
        <v>0</v>
      </c>
      <c r="Q157" s="3" t="n">
        <f aca="false">IF(P157&gt;0,ROUNDUP(P157/Parametres!$B$7,0)+1,0)</f>
        <v>0</v>
      </c>
    </row>
    <row r="158" customFormat="false" ht="15" hidden="false" customHeight="false" outlineLevel="0" collapsed="false">
      <c r="A158" s="2" t="n">
        <v>46239</v>
      </c>
      <c r="B158" s="3" t="n">
        <f aca="false">SUMIFS(Equipes!$D$2:$D$60,Equipes!$A$2:$A$60,"LOT-01",Equipes!$B$2:$B$60,"&lt;="&amp;$A158,Equipes!$C$2:$C$60,"&gt;="&amp;$A158)</f>
        <v>0</v>
      </c>
      <c r="C158" s="3" t="n">
        <f aca="false">IF(B158&gt;0,ROUNDUP(B158/Parametres!$B$7,0)+1,0)</f>
        <v>0</v>
      </c>
      <c r="D158" s="3" t="n">
        <f aca="false">SUMIFS(Equipes!$D$2:$D$60,Equipes!$A$2:$A$60,"LOT-02",Equipes!$B$2:$B$60,"&lt;="&amp;$A158,Equipes!$C$2:$C$60,"&gt;="&amp;$A158)</f>
        <v>0</v>
      </c>
      <c r="E158" s="3" t="n">
        <f aca="false">IF(D158&gt;0,ROUNDUP(D158/Parametres!$B$7,0)+1,0)</f>
        <v>0</v>
      </c>
      <c r="F158" s="3" t="n">
        <f aca="false">SUMIFS(Equipes!$D$2:$D$60,Equipes!$A$2:$A$60,"LOT-03",Equipes!$B$2:$B$60,"&lt;="&amp;$A158,Equipes!$C$2:$C$60,"&gt;="&amp;$A158)</f>
        <v>0</v>
      </c>
      <c r="G158" s="3" t="n">
        <f aca="false">IF(F158&gt;0,ROUNDUP(F158/Parametres!$B$7,0)+1,0)</f>
        <v>0</v>
      </c>
      <c r="H158" s="3" t="n">
        <f aca="false">SUMIFS(Equipes!$D$2:$D$60,Equipes!$A$2:$A$60,"LOT-04",Equipes!$B$2:$B$60,"&lt;="&amp;$A158,Equipes!$C$2:$C$60,"&gt;="&amp;$A158)</f>
        <v>24</v>
      </c>
      <c r="I158" s="3" t="n">
        <f aca="false">IF(H158&gt;0,ROUNDUP(H158/Parametres!$B$7,0)+1,0)</f>
        <v>3</v>
      </c>
      <c r="J158" s="3" t="n">
        <f aca="false">SUMIFS(Equipes!$D$2:$D$60,Equipes!$A$2:$A$60,"LOT-05",Equipes!$B$2:$B$60,"&lt;="&amp;$A158,Equipes!$C$2:$C$60,"&gt;="&amp;$A158)</f>
        <v>0</v>
      </c>
      <c r="K158" s="3" t="n">
        <f aca="false">IF(J158&gt;0,ROUNDUP(J158/Parametres!$B$7,0)+1,0)</f>
        <v>0</v>
      </c>
      <c r="L158" s="3" t="n">
        <f aca="false">SUMIFS(Equipes!$D$2:$D$60,Equipes!$A$2:$A$60,"LOT-06",Equipes!$B$2:$B$60,"&lt;="&amp;$A158,Equipes!$C$2:$C$60,"&gt;="&amp;$A158)</f>
        <v>0</v>
      </c>
      <c r="M158" s="3" t="n">
        <f aca="false">IF(L158&gt;0,ROUNDUP(L158/Parametres!$B$7,0)+1,0)</f>
        <v>0</v>
      </c>
      <c r="N158" s="3" t="n">
        <f aca="false">SUMIFS(Equipes!$D$2:$D$60,Equipes!$A$2:$A$60,"LOT-07",Equipes!$B$2:$B$60,"&lt;="&amp;$A158,Equipes!$C$2:$C$60,"&gt;="&amp;$A158)</f>
        <v>0</v>
      </c>
      <c r="O158" s="3" t="n">
        <f aca="false">IF(N158&gt;0,ROUNDUP(N158/Parametres!$B$7,0)+1,0)</f>
        <v>0</v>
      </c>
      <c r="P158" s="3" t="n">
        <f aca="false">SUMIFS(Equipes!$D$2:$D$60,Equipes!$A$2:$A$60,"LOT-08",Equipes!$B$2:$B$60,"&lt;="&amp;$A158,Equipes!$C$2:$C$60,"&gt;="&amp;$A158)</f>
        <v>0</v>
      </c>
      <c r="Q158" s="3" t="n">
        <f aca="false">IF(P158&gt;0,ROUNDUP(P158/Parametres!$B$7,0)+1,0)</f>
        <v>0</v>
      </c>
    </row>
    <row r="159" customFormat="false" ht="15" hidden="false" customHeight="false" outlineLevel="0" collapsed="false">
      <c r="A159" s="2" t="n">
        <v>46240</v>
      </c>
      <c r="B159" s="3" t="n">
        <f aca="false">SUMIFS(Equipes!$D$2:$D$60,Equipes!$A$2:$A$60,"LOT-01",Equipes!$B$2:$B$60,"&lt;="&amp;$A159,Equipes!$C$2:$C$60,"&gt;="&amp;$A159)</f>
        <v>0</v>
      </c>
      <c r="C159" s="3" t="n">
        <f aca="false">IF(B159&gt;0,ROUNDUP(B159/Parametres!$B$7,0)+1,0)</f>
        <v>0</v>
      </c>
      <c r="D159" s="3" t="n">
        <f aca="false">SUMIFS(Equipes!$D$2:$D$60,Equipes!$A$2:$A$60,"LOT-02",Equipes!$B$2:$B$60,"&lt;="&amp;$A159,Equipes!$C$2:$C$60,"&gt;="&amp;$A159)</f>
        <v>0</v>
      </c>
      <c r="E159" s="3" t="n">
        <f aca="false">IF(D159&gt;0,ROUNDUP(D159/Parametres!$B$7,0)+1,0)</f>
        <v>0</v>
      </c>
      <c r="F159" s="3" t="n">
        <f aca="false">SUMIFS(Equipes!$D$2:$D$60,Equipes!$A$2:$A$60,"LOT-03",Equipes!$B$2:$B$60,"&lt;="&amp;$A159,Equipes!$C$2:$C$60,"&gt;="&amp;$A159)</f>
        <v>0</v>
      </c>
      <c r="G159" s="3" t="n">
        <f aca="false">IF(F159&gt;0,ROUNDUP(F159/Parametres!$B$7,0)+1,0)</f>
        <v>0</v>
      </c>
      <c r="H159" s="3" t="n">
        <f aca="false">SUMIFS(Equipes!$D$2:$D$60,Equipes!$A$2:$A$60,"LOT-04",Equipes!$B$2:$B$60,"&lt;="&amp;$A159,Equipes!$C$2:$C$60,"&gt;="&amp;$A159)</f>
        <v>24</v>
      </c>
      <c r="I159" s="3" t="n">
        <f aca="false">IF(H159&gt;0,ROUNDUP(H159/Parametres!$B$7,0)+1,0)</f>
        <v>3</v>
      </c>
      <c r="J159" s="3" t="n">
        <f aca="false">SUMIFS(Equipes!$D$2:$D$60,Equipes!$A$2:$A$60,"LOT-05",Equipes!$B$2:$B$60,"&lt;="&amp;$A159,Equipes!$C$2:$C$60,"&gt;="&amp;$A159)</f>
        <v>0</v>
      </c>
      <c r="K159" s="3" t="n">
        <f aca="false">IF(J159&gt;0,ROUNDUP(J159/Parametres!$B$7,0)+1,0)</f>
        <v>0</v>
      </c>
      <c r="L159" s="3" t="n">
        <f aca="false">SUMIFS(Equipes!$D$2:$D$60,Equipes!$A$2:$A$60,"LOT-06",Equipes!$B$2:$B$60,"&lt;="&amp;$A159,Equipes!$C$2:$C$60,"&gt;="&amp;$A159)</f>
        <v>0</v>
      </c>
      <c r="M159" s="3" t="n">
        <f aca="false">IF(L159&gt;0,ROUNDUP(L159/Parametres!$B$7,0)+1,0)</f>
        <v>0</v>
      </c>
      <c r="N159" s="3" t="n">
        <f aca="false">SUMIFS(Equipes!$D$2:$D$60,Equipes!$A$2:$A$60,"LOT-07",Equipes!$B$2:$B$60,"&lt;="&amp;$A159,Equipes!$C$2:$C$60,"&gt;="&amp;$A159)</f>
        <v>0</v>
      </c>
      <c r="O159" s="3" t="n">
        <f aca="false">IF(N159&gt;0,ROUNDUP(N159/Parametres!$B$7,0)+1,0)</f>
        <v>0</v>
      </c>
      <c r="P159" s="3" t="n">
        <f aca="false">SUMIFS(Equipes!$D$2:$D$60,Equipes!$A$2:$A$60,"LOT-08",Equipes!$B$2:$B$60,"&lt;="&amp;$A159,Equipes!$C$2:$C$60,"&gt;="&amp;$A159)</f>
        <v>0</v>
      </c>
      <c r="Q159" s="3" t="n">
        <f aca="false">IF(P159&gt;0,ROUNDUP(P159/Parametres!$B$7,0)+1,0)</f>
        <v>0</v>
      </c>
    </row>
    <row r="160" customFormat="false" ht="15" hidden="false" customHeight="false" outlineLevel="0" collapsed="false">
      <c r="A160" s="2" t="n">
        <v>46241</v>
      </c>
      <c r="B160" s="3" t="n">
        <f aca="false">SUMIFS(Equipes!$D$2:$D$60,Equipes!$A$2:$A$60,"LOT-01",Equipes!$B$2:$B$60,"&lt;="&amp;$A160,Equipes!$C$2:$C$60,"&gt;="&amp;$A160)</f>
        <v>0</v>
      </c>
      <c r="C160" s="3" t="n">
        <f aca="false">IF(B160&gt;0,ROUNDUP(B160/Parametres!$B$7,0)+1,0)</f>
        <v>0</v>
      </c>
      <c r="D160" s="3" t="n">
        <f aca="false">SUMIFS(Equipes!$D$2:$D$60,Equipes!$A$2:$A$60,"LOT-02",Equipes!$B$2:$B$60,"&lt;="&amp;$A160,Equipes!$C$2:$C$60,"&gt;="&amp;$A160)</f>
        <v>0</v>
      </c>
      <c r="E160" s="3" t="n">
        <f aca="false">IF(D160&gt;0,ROUNDUP(D160/Parametres!$B$7,0)+1,0)</f>
        <v>0</v>
      </c>
      <c r="F160" s="3" t="n">
        <f aca="false">SUMIFS(Equipes!$D$2:$D$60,Equipes!$A$2:$A$60,"LOT-03",Equipes!$B$2:$B$60,"&lt;="&amp;$A160,Equipes!$C$2:$C$60,"&gt;="&amp;$A160)</f>
        <v>0</v>
      </c>
      <c r="G160" s="3" t="n">
        <f aca="false">IF(F160&gt;0,ROUNDUP(F160/Parametres!$B$7,0)+1,0)</f>
        <v>0</v>
      </c>
      <c r="H160" s="3" t="n">
        <f aca="false">SUMIFS(Equipes!$D$2:$D$60,Equipes!$A$2:$A$60,"LOT-04",Equipes!$B$2:$B$60,"&lt;="&amp;$A160,Equipes!$C$2:$C$60,"&gt;="&amp;$A160)</f>
        <v>24</v>
      </c>
      <c r="I160" s="3" t="n">
        <f aca="false">IF(H160&gt;0,ROUNDUP(H160/Parametres!$B$7,0)+1,0)</f>
        <v>3</v>
      </c>
      <c r="J160" s="3" t="n">
        <f aca="false">SUMIFS(Equipes!$D$2:$D$60,Equipes!$A$2:$A$60,"LOT-05",Equipes!$B$2:$B$60,"&lt;="&amp;$A160,Equipes!$C$2:$C$60,"&gt;="&amp;$A160)</f>
        <v>0</v>
      </c>
      <c r="K160" s="3" t="n">
        <f aca="false">IF(J160&gt;0,ROUNDUP(J160/Parametres!$B$7,0)+1,0)</f>
        <v>0</v>
      </c>
      <c r="L160" s="3" t="n">
        <f aca="false">SUMIFS(Equipes!$D$2:$D$60,Equipes!$A$2:$A$60,"LOT-06",Equipes!$B$2:$B$60,"&lt;="&amp;$A160,Equipes!$C$2:$C$60,"&gt;="&amp;$A160)</f>
        <v>0</v>
      </c>
      <c r="M160" s="3" t="n">
        <f aca="false">IF(L160&gt;0,ROUNDUP(L160/Parametres!$B$7,0)+1,0)</f>
        <v>0</v>
      </c>
      <c r="N160" s="3" t="n">
        <f aca="false">SUMIFS(Equipes!$D$2:$D$60,Equipes!$A$2:$A$60,"LOT-07",Equipes!$B$2:$B$60,"&lt;="&amp;$A160,Equipes!$C$2:$C$60,"&gt;="&amp;$A160)</f>
        <v>0</v>
      </c>
      <c r="O160" s="3" t="n">
        <f aca="false">IF(N160&gt;0,ROUNDUP(N160/Parametres!$B$7,0)+1,0)</f>
        <v>0</v>
      </c>
      <c r="P160" s="3" t="n">
        <f aca="false">SUMIFS(Equipes!$D$2:$D$60,Equipes!$A$2:$A$60,"LOT-08",Equipes!$B$2:$B$60,"&lt;="&amp;$A160,Equipes!$C$2:$C$60,"&gt;="&amp;$A160)</f>
        <v>0</v>
      </c>
      <c r="Q160" s="3" t="n">
        <f aca="false">IF(P160&gt;0,ROUNDUP(P160/Parametres!$B$7,0)+1,0)</f>
        <v>0</v>
      </c>
    </row>
    <row r="161" customFormat="false" ht="15" hidden="false" customHeight="false" outlineLevel="0" collapsed="false">
      <c r="A161" s="2" t="n">
        <v>46242</v>
      </c>
      <c r="B161" s="3" t="n">
        <f aca="false">SUMIFS(Equipes!$D$2:$D$60,Equipes!$A$2:$A$60,"LOT-01",Equipes!$B$2:$B$60,"&lt;="&amp;$A161,Equipes!$C$2:$C$60,"&gt;="&amp;$A161)</f>
        <v>0</v>
      </c>
      <c r="C161" s="3" t="n">
        <f aca="false">IF(B161&gt;0,ROUNDUP(B161/Parametres!$B$7,0)+1,0)</f>
        <v>0</v>
      </c>
      <c r="D161" s="3" t="n">
        <f aca="false">SUMIFS(Equipes!$D$2:$D$60,Equipes!$A$2:$A$60,"LOT-02",Equipes!$B$2:$B$60,"&lt;="&amp;$A161,Equipes!$C$2:$C$60,"&gt;="&amp;$A161)</f>
        <v>0</v>
      </c>
      <c r="E161" s="3" t="n">
        <f aca="false">IF(D161&gt;0,ROUNDUP(D161/Parametres!$B$7,0)+1,0)</f>
        <v>0</v>
      </c>
      <c r="F161" s="3" t="n">
        <f aca="false">SUMIFS(Equipes!$D$2:$D$60,Equipes!$A$2:$A$60,"LOT-03",Equipes!$B$2:$B$60,"&lt;="&amp;$A161,Equipes!$C$2:$C$60,"&gt;="&amp;$A161)</f>
        <v>0</v>
      </c>
      <c r="G161" s="3" t="n">
        <f aca="false">IF(F161&gt;0,ROUNDUP(F161/Parametres!$B$7,0)+1,0)</f>
        <v>0</v>
      </c>
      <c r="H161" s="3" t="n">
        <f aca="false">SUMIFS(Equipes!$D$2:$D$60,Equipes!$A$2:$A$60,"LOT-04",Equipes!$B$2:$B$60,"&lt;="&amp;$A161,Equipes!$C$2:$C$60,"&gt;="&amp;$A161)</f>
        <v>24</v>
      </c>
      <c r="I161" s="3" t="n">
        <f aca="false">IF(H161&gt;0,ROUNDUP(H161/Parametres!$B$7,0)+1,0)</f>
        <v>3</v>
      </c>
      <c r="J161" s="3" t="n">
        <f aca="false">SUMIFS(Equipes!$D$2:$D$60,Equipes!$A$2:$A$60,"LOT-05",Equipes!$B$2:$B$60,"&lt;="&amp;$A161,Equipes!$C$2:$C$60,"&gt;="&amp;$A161)</f>
        <v>0</v>
      </c>
      <c r="K161" s="3" t="n">
        <f aca="false">IF(J161&gt;0,ROUNDUP(J161/Parametres!$B$7,0)+1,0)</f>
        <v>0</v>
      </c>
      <c r="L161" s="3" t="n">
        <f aca="false">SUMIFS(Equipes!$D$2:$D$60,Equipes!$A$2:$A$60,"LOT-06",Equipes!$B$2:$B$60,"&lt;="&amp;$A161,Equipes!$C$2:$C$60,"&gt;="&amp;$A161)</f>
        <v>0</v>
      </c>
      <c r="M161" s="3" t="n">
        <f aca="false">IF(L161&gt;0,ROUNDUP(L161/Parametres!$B$7,0)+1,0)</f>
        <v>0</v>
      </c>
      <c r="N161" s="3" t="n">
        <f aca="false">SUMIFS(Equipes!$D$2:$D$60,Equipes!$A$2:$A$60,"LOT-07",Equipes!$B$2:$B$60,"&lt;="&amp;$A161,Equipes!$C$2:$C$60,"&gt;="&amp;$A161)</f>
        <v>0</v>
      </c>
      <c r="O161" s="3" t="n">
        <f aca="false">IF(N161&gt;0,ROUNDUP(N161/Parametres!$B$7,0)+1,0)</f>
        <v>0</v>
      </c>
      <c r="P161" s="3" t="n">
        <f aca="false">SUMIFS(Equipes!$D$2:$D$60,Equipes!$A$2:$A$60,"LOT-08",Equipes!$B$2:$B$60,"&lt;="&amp;$A161,Equipes!$C$2:$C$60,"&gt;="&amp;$A161)</f>
        <v>0</v>
      </c>
      <c r="Q161" s="3" t="n">
        <f aca="false">IF(P161&gt;0,ROUNDUP(P161/Parametres!$B$7,0)+1,0)</f>
        <v>0</v>
      </c>
    </row>
    <row r="162" customFormat="false" ht="15" hidden="false" customHeight="false" outlineLevel="0" collapsed="false">
      <c r="A162" s="2" t="n">
        <v>46243</v>
      </c>
      <c r="B162" s="3" t="n">
        <f aca="false">SUMIFS(Equipes!$D$2:$D$60,Equipes!$A$2:$A$60,"LOT-01",Equipes!$B$2:$B$60,"&lt;="&amp;$A162,Equipes!$C$2:$C$60,"&gt;="&amp;$A162)</f>
        <v>0</v>
      </c>
      <c r="C162" s="3" t="n">
        <f aca="false">IF(B162&gt;0,ROUNDUP(B162/Parametres!$B$7,0)+1,0)</f>
        <v>0</v>
      </c>
      <c r="D162" s="3" t="n">
        <f aca="false">SUMIFS(Equipes!$D$2:$D$60,Equipes!$A$2:$A$60,"LOT-02",Equipes!$B$2:$B$60,"&lt;="&amp;$A162,Equipes!$C$2:$C$60,"&gt;="&amp;$A162)</f>
        <v>0</v>
      </c>
      <c r="E162" s="3" t="n">
        <f aca="false">IF(D162&gt;0,ROUNDUP(D162/Parametres!$B$7,0)+1,0)</f>
        <v>0</v>
      </c>
      <c r="F162" s="3" t="n">
        <f aca="false">SUMIFS(Equipes!$D$2:$D$60,Equipes!$A$2:$A$60,"LOT-03",Equipes!$B$2:$B$60,"&lt;="&amp;$A162,Equipes!$C$2:$C$60,"&gt;="&amp;$A162)</f>
        <v>0</v>
      </c>
      <c r="G162" s="3" t="n">
        <f aca="false">IF(F162&gt;0,ROUNDUP(F162/Parametres!$B$7,0)+1,0)</f>
        <v>0</v>
      </c>
      <c r="H162" s="3" t="n">
        <f aca="false">SUMIFS(Equipes!$D$2:$D$60,Equipes!$A$2:$A$60,"LOT-04",Equipes!$B$2:$B$60,"&lt;="&amp;$A162,Equipes!$C$2:$C$60,"&gt;="&amp;$A162)</f>
        <v>24</v>
      </c>
      <c r="I162" s="3" t="n">
        <f aca="false">IF(H162&gt;0,ROUNDUP(H162/Parametres!$B$7,0)+1,0)</f>
        <v>3</v>
      </c>
      <c r="J162" s="3" t="n">
        <f aca="false">SUMIFS(Equipes!$D$2:$D$60,Equipes!$A$2:$A$60,"LOT-05",Equipes!$B$2:$B$60,"&lt;="&amp;$A162,Equipes!$C$2:$C$60,"&gt;="&amp;$A162)</f>
        <v>0</v>
      </c>
      <c r="K162" s="3" t="n">
        <f aca="false">IF(J162&gt;0,ROUNDUP(J162/Parametres!$B$7,0)+1,0)</f>
        <v>0</v>
      </c>
      <c r="L162" s="3" t="n">
        <f aca="false">SUMIFS(Equipes!$D$2:$D$60,Equipes!$A$2:$A$60,"LOT-06",Equipes!$B$2:$B$60,"&lt;="&amp;$A162,Equipes!$C$2:$C$60,"&gt;="&amp;$A162)</f>
        <v>0</v>
      </c>
      <c r="M162" s="3" t="n">
        <f aca="false">IF(L162&gt;0,ROUNDUP(L162/Parametres!$B$7,0)+1,0)</f>
        <v>0</v>
      </c>
      <c r="N162" s="3" t="n">
        <f aca="false">SUMIFS(Equipes!$D$2:$D$60,Equipes!$A$2:$A$60,"LOT-07",Equipes!$B$2:$B$60,"&lt;="&amp;$A162,Equipes!$C$2:$C$60,"&gt;="&amp;$A162)</f>
        <v>0</v>
      </c>
      <c r="O162" s="3" t="n">
        <f aca="false">IF(N162&gt;0,ROUNDUP(N162/Parametres!$B$7,0)+1,0)</f>
        <v>0</v>
      </c>
      <c r="P162" s="3" t="n">
        <f aca="false">SUMIFS(Equipes!$D$2:$D$60,Equipes!$A$2:$A$60,"LOT-08",Equipes!$B$2:$B$60,"&lt;="&amp;$A162,Equipes!$C$2:$C$60,"&gt;="&amp;$A162)</f>
        <v>0</v>
      </c>
      <c r="Q162" s="3" t="n">
        <f aca="false">IF(P162&gt;0,ROUNDUP(P162/Parametres!$B$7,0)+1,0)</f>
        <v>0</v>
      </c>
    </row>
    <row r="163" customFormat="false" ht="15" hidden="false" customHeight="false" outlineLevel="0" collapsed="false">
      <c r="A163" s="2" t="n">
        <v>46244</v>
      </c>
      <c r="B163" s="3" t="n">
        <f aca="false">SUMIFS(Equipes!$D$2:$D$60,Equipes!$A$2:$A$60,"LOT-01",Equipes!$B$2:$B$60,"&lt;="&amp;$A163,Equipes!$C$2:$C$60,"&gt;="&amp;$A163)</f>
        <v>0</v>
      </c>
      <c r="C163" s="3" t="n">
        <f aca="false">IF(B163&gt;0,ROUNDUP(B163/Parametres!$B$7,0)+1,0)</f>
        <v>0</v>
      </c>
      <c r="D163" s="3" t="n">
        <f aca="false">SUMIFS(Equipes!$D$2:$D$60,Equipes!$A$2:$A$60,"LOT-02",Equipes!$B$2:$B$60,"&lt;="&amp;$A163,Equipes!$C$2:$C$60,"&gt;="&amp;$A163)</f>
        <v>0</v>
      </c>
      <c r="E163" s="3" t="n">
        <f aca="false">IF(D163&gt;0,ROUNDUP(D163/Parametres!$B$7,0)+1,0)</f>
        <v>0</v>
      </c>
      <c r="F163" s="3" t="n">
        <f aca="false">SUMIFS(Equipes!$D$2:$D$60,Equipes!$A$2:$A$60,"LOT-03",Equipes!$B$2:$B$60,"&lt;="&amp;$A163,Equipes!$C$2:$C$60,"&gt;="&amp;$A163)</f>
        <v>0</v>
      </c>
      <c r="G163" s="3" t="n">
        <f aca="false">IF(F163&gt;0,ROUNDUP(F163/Parametres!$B$7,0)+1,0)</f>
        <v>0</v>
      </c>
      <c r="H163" s="3" t="n">
        <f aca="false">SUMIFS(Equipes!$D$2:$D$60,Equipes!$A$2:$A$60,"LOT-04",Equipes!$B$2:$B$60,"&lt;="&amp;$A163,Equipes!$C$2:$C$60,"&gt;="&amp;$A163)</f>
        <v>24</v>
      </c>
      <c r="I163" s="3" t="n">
        <f aca="false">IF(H163&gt;0,ROUNDUP(H163/Parametres!$B$7,0)+1,0)</f>
        <v>3</v>
      </c>
      <c r="J163" s="3" t="n">
        <f aca="false">SUMIFS(Equipes!$D$2:$D$60,Equipes!$A$2:$A$60,"LOT-05",Equipes!$B$2:$B$60,"&lt;="&amp;$A163,Equipes!$C$2:$C$60,"&gt;="&amp;$A163)</f>
        <v>0</v>
      </c>
      <c r="K163" s="3" t="n">
        <f aca="false">IF(J163&gt;0,ROUNDUP(J163/Parametres!$B$7,0)+1,0)</f>
        <v>0</v>
      </c>
      <c r="L163" s="3" t="n">
        <f aca="false">SUMIFS(Equipes!$D$2:$D$60,Equipes!$A$2:$A$60,"LOT-06",Equipes!$B$2:$B$60,"&lt;="&amp;$A163,Equipes!$C$2:$C$60,"&gt;="&amp;$A163)</f>
        <v>0</v>
      </c>
      <c r="M163" s="3" t="n">
        <f aca="false">IF(L163&gt;0,ROUNDUP(L163/Parametres!$B$7,0)+1,0)</f>
        <v>0</v>
      </c>
      <c r="N163" s="3" t="n">
        <f aca="false">SUMIFS(Equipes!$D$2:$D$60,Equipes!$A$2:$A$60,"LOT-07",Equipes!$B$2:$B$60,"&lt;="&amp;$A163,Equipes!$C$2:$C$60,"&gt;="&amp;$A163)</f>
        <v>0</v>
      </c>
      <c r="O163" s="3" t="n">
        <f aca="false">IF(N163&gt;0,ROUNDUP(N163/Parametres!$B$7,0)+1,0)</f>
        <v>0</v>
      </c>
      <c r="P163" s="3" t="n">
        <f aca="false">SUMIFS(Equipes!$D$2:$D$60,Equipes!$A$2:$A$60,"LOT-08",Equipes!$B$2:$B$60,"&lt;="&amp;$A163,Equipes!$C$2:$C$60,"&gt;="&amp;$A163)</f>
        <v>0</v>
      </c>
      <c r="Q163" s="3" t="n">
        <f aca="false">IF(P163&gt;0,ROUNDUP(P163/Parametres!$B$7,0)+1,0)</f>
        <v>0</v>
      </c>
    </row>
    <row r="164" customFormat="false" ht="15" hidden="false" customHeight="false" outlineLevel="0" collapsed="false">
      <c r="A164" s="2" t="n">
        <v>46245</v>
      </c>
      <c r="B164" s="3" t="n">
        <f aca="false">SUMIFS(Equipes!$D$2:$D$60,Equipes!$A$2:$A$60,"LOT-01",Equipes!$B$2:$B$60,"&lt;="&amp;$A164,Equipes!$C$2:$C$60,"&gt;="&amp;$A164)</f>
        <v>0</v>
      </c>
      <c r="C164" s="3" t="n">
        <f aca="false">IF(B164&gt;0,ROUNDUP(B164/Parametres!$B$7,0)+1,0)</f>
        <v>0</v>
      </c>
      <c r="D164" s="3" t="n">
        <f aca="false">SUMIFS(Equipes!$D$2:$D$60,Equipes!$A$2:$A$60,"LOT-02",Equipes!$B$2:$B$60,"&lt;="&amp;$A164,Equipes!$C$2:$C$60,"&gt;="&amp;$A164)</f>
        <v>0</v>
      </c>
      <c r="E164" s="3" t="n">
        <f aca="false">IF(D164&gt;0,ROUNDUP(D164/Parametres!$B$7,0)+1,0)</f>
        <v>0</v>
      </c>
      <c r="F164" s="3" t="n">
        <f aca="false">SUMIFS(Equipes!$D$2:$D$60,Equipes!$A$2:$A$60,"LOT-03",Equipes!$B$2:$B$60,"&lt;="&amp;$A164,Equipes!$C$2:$C$60,"&gt;="&amp;$A164)</f>
        <v>0</v>
      </c>
      <c r="G164" s="3" t="n">
        <f aca="false">IF(F164&gt;0,ROUNDUP(F164/Parametres!$B$7,0)+1,0)</f>
        <v>0</v>
      </c>
      <c r="H164" s="3" t="n">
        <f aca="false">SUMIFS(Equipes!$D$2:$D$60,Equipes!$A$2:$A$60,"LOT-04",Equipes!$B$2:$B$60,"&lt;="&amp;$A164,Equipes!$C$2:$C$60,"&gt;="&amp;$A164)</f>
        <v>24</v>
      </c>
      <c r="I164" s="3" t="n">
        <f aca="false">IF(H164&gt;0,ROUNDUP(H164/Parametres!$B$7,0)+1,0)</f>
        <v>3</v>
      </c>
      <c r="J164" s="3" t="n">
        <f aca="false">SUMIFS(Equipes!$D$2:$D$60,Equipes!$A$2:$A$60,"LOT-05",Equipes!$B$2:$B$60,"&lt;="&amp;$A164,Equipes!$C$2:$C$60,"&gt;="&amp;$A164)</f>
        <v>0</v>
      </c>
      <c r="K164" s="3" t="n">
        <f aca="false">IF(J164&gt;0,ROUNDUP(J164/Parametres!$B$7,0)+1,0)</f>
        <v>0</v>
      </c>
      <c r="L164" s="3" t="n">
        <f aca="false">SUMIFS(Equipes!$D$2:$D$60,Equipes!$A$2:$A$60,"LOT-06",Equipes!$B$2:$B$60,"&lt;="&amp;$A164,Equipes!$C$2:$C$60,"&gt;="&amp;$A164)</f>
        <v>0</v>
      </c>
      <c r="M164" s="3" t="n">
        <f aca="false">IF(L164&gt;0,ROUNDUP(L164/Parametres!$B$7,0)+1,0)</f>
        <v>0</v>
      </c>
      <c r="N164" s="3" t="n">
        <f aca="false">SUMIFS(Equipes!$D$2:$D$60,Equipes!$A$2:$A$60,"LOT-07",Equipes!$B$2:$B$60,"&lt;="&amp;$A164,Equipes!$C$2:$C$60,"&gt;="&amp;$A164)</f>
        <v>0</v>
      </c>
      <c r="O164" s="3" t="n">
        <f aca="false">IF(N164&gt;0,ROUNDUP(N164/Parametres!$B$7,0)+1,0)</f>
        <v>0</v>
      </c>
      <c r="P164" s="3" t="n">
        <f aca="false">SUMIFS(Equipes!$D$2:$D$60,Equipes!$A$2:$A$60,"LOT-08",Equipes!$B$2:$B$60,"&lt;="&amp;$A164,Equipes!$C$2:$C$60,"&gt;="&amp;$A164)</f>
        <v>0</v>
      </c>
      <c r="Q164" s="3" t="n">
        <f aca="false">IF(P164&gt;0,ROUNDUP(P164/Parametres!$B$7,0)+1,0)</f>
        <v>0</v>
      </c>
    </row>
    <row r="165" customFormat="false" ht="15" hidden="false" customHeight="false" outlineLevel="0" collapsed="false">
      <c r="A165" s="2" t="n">
        <v>46246</v>
      </c>
      <c r="B165" s="3" t="n">
        <f aca="false">SUMIFS(Equipes!$D$2:$D$60,Equipes!$A$2:$A$60,"LOT-01",Equipes!$B$2:$B$60,"&lt;="&amp;$A165,Equipes!$C$2:$C$60,"&gt;="&amp;$A165)</f>
        <v>0</v>
      </c>
      <c r="C165" s="3" t="n">
        <f aca="false">IF(B165&gt;0,ROUNDUP(B165/Parametres!$B$7,0)+1,0)</f>
        <v>0</v>
      </c>
      <c r="D165" s="3" t="n">
        <f aca="false">SUMIFS(Equipes!$D$2:$D$60,Equipes!$A$2:$A$60,"LOT-02",Equipes!$B$2:$B$60,"&lt;="&amp;$A165,Equipes!$C$2:$C$60,"&gt;="&amp;$A165)</f>
        <v>0</v>
      </c>
      <c r="E165" s="3" t="n">
        <f aca="false">IF(D165&gt;0,ROUNDUP(D165/Parametres!$B$7,0)+1,0)</f>
        <v>0</v>
      </c>
      <c r="F165" s="3" t="n">
        <f aca="false">SUMIFS(Equipes!$D$2:$D$60,Equipes!$A$2:$A$60,"LOT-03",Equipes!$B$2:$B$60,"&lt;="&amp;$A165,Equipes!$C$2:$C$60,"&gt;="&amp;$A165)</f>
        <v>0</v>
      </c>
      <c r="G165" s="3" t="n">
        <f aca="false">IF(F165&gt;0,ROUNDUP(F165/Parametres!$B$7,0)+1,0)</f>
        <v>0</v>
      </c>
      <c r="H165" s="3" t="n">
        <f aca="false">SUMIFS(Equipes!$D$2:$D$60,Equipes!$A$2:$A$60,"LOT-04",Equipes!$B$2:$B$60,"&lt;="&amp;$A165,Equipes!$C$2:$C$60,"&gt;="&amp;$A165)</f>
        <v>24</v>
      </c>
      <c r="I165" s="3" t="n">
        <f aca="false">IF(H165&gt;0,ROUNDUP(H165/Parametres!$B$7,0)+1,0)</f>
        <v>3</v>
      </c>
      <c r="J165" s="3" t="n">
        <f aca="false">SUMIFS(Equipes!$D$2:$D$60,Equipes!$A$2:$A$60,"LOT-05",Equipes!$B$2:$B$60,"&lt;="&amp;$A165,Equipes!$C$2:$C$60,"&gt;="&amp;$A165)</f>
        <v>0</v>
      </c>
      <c r="K165" s="3" t="n">
        <f aca="false">IF(J165&gt;0,ROUNDUP(J165/Parametres!$B$7,0)+1,0)</f>
        <v>0</v>
      </c>
      <c r="L165" s="3" t="n">
        <f aca="false">SUMIFS(Equipes!$D$2:$D$60,Equipes!$A$2:$A$60,"LOT-06",Equipes!$B$2:$B$60,"&lt;="&amp;$A165,Equipes!$C$2:$C$60,"&gt;="&amp;$A165)</f>
        <v>0</v>
      </c>
      <c r="M165" s="3" t="n">
        <f aca="false">IF(L165&gt;0,ROUNDUP(L165/Parametres!$B$7,0)+1,0)</f>
        <v>0</v>
      </c>
      <c r="N165" s="3" t="n">
        <f aca="false">SUMIFS(Equipes!$D$2:$D$60,Equipes!$A$2:$A$60,"LOT-07",Equipes!$B$2:$B$60,"&lt;="&amp;$A165,Equipes!$C$2:$C$60,"&gt;="&amp;$A165)</f>
        <v>0</v>
      </c>
      <c r="O165" s="3" t="n">
        <f aca="false">IF(N165&gt;0,ROUNDUP(N165/Parametres!$B$7,0)+1,0)</f>
        <v>0</v>
      </c>
      <c r="P165" s="3" t="n">
        <f aca="false">SUMIFS(Equipes!$D$2:$D$60,Equipes!$A$2:$A$60,"LOT-08",Equipes!$B$2:$B$60,"&lt;="&amp;$A165,Equipes!$C$2:$C$60,"&gt;="&amp;$A165)</f>
        <v>0</v>
      </c>
      <c r="Q165" s="3" t="n">
        <f aca="false">IF(P165&gt;0,ROUNDUP(P165/Parametres!$B$7,0)+1,0)</f>
        <v>0</v>
      </c>
    </row>
    <row r="166" customFormat="false" ht="15" hidden="false" customHeight="false" outlineLevel="0" collapsed="false">
      <c r="A166" s="2" t="n">
        <v>46247</v>
      </c>
      <c r="B166" s="3" t="n">
        <f aca="false">SUMIFS(Equipes!$D$2:$D$60,Equipes!$A$2:$A$60,"LOT-01",Equipes!$B$2:$B$60,"&lt;="&amp;$A166,Equipes!$C$2:$C$60,"&gt;="&amp;$A166)</f>
        <v>0</v>
      </c>
      <c r="C166" s="3" t="n">
        <f aca="false">IF(B166&gt;0,ROUNDUP(B166/Parametres!$B$7,0)+1,0)</f>
        <v>0</v>
      </c>
      <c r="D166" s="3" t="n">
        <f aca="false">SUMIFS(Equipes!$D$2:$D$60,Equipes!$A$2:$A$60,"LOT-02",Equipes!$B$2:$B$60,"&lt;="&amp;$A166,Equipes!$C$2:$C$60,"&gt;="&amp;$A166)</f>
        <v>0</v>
      </c>
      <c r="E166" s="3" t="n">
        <f aca="false">IF(D166&gt;0,ROUNDUP(D166/Parametres!$B$7,0)+1,0)</f>
        <v>0</v>
      </c>
      <c r="F166" s="3" t="n">
        <f aca="false">SUMIFS(Equipes!$D$2:$D$60,Equipes!$A$2:$A$60,"LOT-03",Equipes!$B$2:$B$60,"&lt;="&amp;$A166,Equipes!$C$2:$C$60,"&gt;="&amp;$A166)</f>
        <v>0</v>
      </c>
      <c r="G166" s="3" t="n">
        <f aca="false">IF(F166&gt;0,ROUNDUP(F166/Parametres!$B$7,0)+1,0)</f>
        <v>0</v>
      </c>
      <c r="H166" s="3" t="n">
        <f aca="false">SUMIFS(Equipes!$D$2:$D$60,Equipes!$A$2:$A$60,"LOT-04",Equipes!$B$2:$B$60,"&lt;="&amp;$A166,Equipes!$C$2:$C$60,"&gt;="&amp;$A166)</f>
        <v>24</v>
      </c>
      <c r="I166" s="3" t="n">
        <f aca="false">IF(H166&gt;0,ROUNDUP(H166/Parametres!$B$7,0)+1,0)</f>
        <v>3</v>
      </c>
      <c r="J166" s="3" t="n">
        <f aca="false">SUMIFS(Equipes!$D$2:$D$60,Equipes!$A$2:$A$60,"LOT-05",Equipes!$B$2:$B$60,"&lt;="&amp;$A166,Equipes!$C$2:$C$60,"&gt;="&amp;$A166)</f>
        <v>0</v>
      </c>
      <c r="K166" s="3" t="n">
        <f aca="false">IF(J166&gt;0,ROUNDUP(J166/Parametres!$B$7,0)+1,0)</f>
        <v>0</v>
      </c>
      <c r="L166" s="3" t="n">
        <f aca="false">SUMIFS(Equipes!$D$2:$D$60,Equipes!$A$2:$A$60,"LOT-06",Equipes!$B$2:$B$60,"&lt;="&amp;$A166,Equipes!$C$2:$C$60,"&gt;="&amp;$A166)</f>
        <v>0</v>
      </c>
      <c r="M166" s="3" t="n">
        <f aca="false">IF(L166&gt;0,ROUNDUP(L166/Parametres!$B$7,0)+1,0)</f>
        <v>0</v>
      </c>
      <c r="N166" s="3" t="n">
        <f aca="false">SUMIFS(Equipes!$D$2:$D$60,Equipes!$A$2:$A$60,"LOT-07",Equipes!$B$2:$B$60,"&lt;="&amp;$A166,Equipes!$C$2:$C$60,"&gt;="&amp;$A166)</f>
        <v>0</v>
      </c>
      <c r="O166" s="3" t="n">
        <f aca="false">IF(N166&gt;0,ROUNDUP(N166/Parametres!$B$7,0)+1,0)</f>
        <v>0</v>
      </c>
      <c r="P166" s="3" t="n">
        <f aca="false">SUMIFS(Equipes!$D$2:$D$60,Equipes!$A$2:$A$60,"LOT-08",Equipes!$B$2:$B$60,"&lt;="&amp;$A166,Equipes!$C$2:$C$60,"&gt;="&amp;$A166)</f>
        <v>0</v>
      </c>
      <c r="Q166" s="3" t="n">
        <f aca="false">IF(P166&gt;0,ROUNDUP(P166/Parametres!$B$7,0)+1,0)</f>
        <v>0</v>
      </c>
    </row>
    <row r="167" customFormat="false" ht="15" hidden="false" customHeight="false" outlineLevel="0" collapsed="false">
      <c r="A167" s="2" t="n">
        <v>46248</v>
      </c>
      <c r="B167" s="3" t="n">
        <f aca="false">SUMIFS(Equipes!$D$2:$D$60,Equipes!$A$2:$A$60,"LOT-01",Equipes!$B$2:$B$60,"&lt;="&amp;$A167,Equipes!$C$2:$C$60,"&gt;="&amp;$A167)</f>
        <v>0</v>
      </c>
      <c r="C167" s="3" t="n">
        <f aca="false">IF(B167&gt;0,ROUNDUP(B167/Parametres!$B$7,0)+1,0)</f>
        <v>0</v>
      </c>
      <c r="D167" s="3" t="n">
        <f aca="false">SUMIFS(Equipes!$D$2:$D$60,Equipes!$A$2:$A$60,"LOT-02",Equipes!$B$2:$B$60,"&lt;="&amp;$A167,Equipes!$C$2:$C$60,"&gt;="&amp;$A167)</f>
        <v>0</v>
      </c>
      <c r="E167" s="3" t="n">
        <f aca="false">IF(D167&gt;0,ROUNDUP(D167/Parametres!$B$7,0)+1,0)</f>
        <v>0</v>
      </c>
      <c r="F167" s="3" t="n">
        <f aca="false">SUMIFS(Equipes!$D$2:$D$60,Equipes!$A$2:$A$60,"LOT-03",Equipes!$B$2:$B$60,"&lt;="&amp;$A167,Equipes!$C$2:$C$60,"&gt;="&amp;$A167)</f>
        <v>0</v>
      </c>
      <c r="G167" s="3" t="n">
        <f aca="false">IF(F167&gt;0,ROUNDUP(F167/Parametres!$B$7,0)+1,0)</f>
        <v>0</v>
      </c>
      <c r="H167" s="3" t="n">
        <f aca="false">SUMIFS(Equipes!$D$2:$D$60,Equipes!$A$2:$A$60,"LOT-04",Equipes!$B$2:$B$60,"&lt;="&amp;$A167,Equipes!$C$2:$C$60,"&gt;="&amp;$A167)</f>
        <v>24</v>
      </c>
      <c r="I167" s="3" t="n">
        <f aca="false">IF(H167&gt;0,ROUNDUP(H167/Parametres!$B$7,0)+1,0)</f>
        <v>3</v>
      </c>
      <c r="J167" s="3" t="n">
        <f aca="false">SUMIFS(Equipes!$D$2:$D$60,Equipes!$A$2:$A$60,"LOT-05",Equipes!$B$2:$B$60,"&lt;="&amp;$A167,Equipes!$C$2:$C$60,"&gt;="&amp;$A167)</f>
        <v>0</v>
      </c>
      <c r="K167" s="3" t="n">
        <f aca="false">IF(J167&gt;0,ROUNDUP(J167/Parametres!$B$7,0)+1,0)</f>
        <v>0</v>
      </c>
      <c r="L167" s="3" t="n">
        <f aca="false">SUMIFS(Equipes!$D$2:$D$60,Equipes!$A$2:$A$60,"LOT-06",Equipes!$B$2:$B$60,"&lt;="&amp;$A167,Equipes!$C$2:$C$60,"&gt;="&amp;$A167)</f>
        <v>0</v>
      </c>
      <c r="M167" s="3" t="n">
        <f aca="false">IF(L167&gt;0,ROUNDUP(L167/Parametres!$B$7,0)+1,0)</f>
        <v>0</v>
      </c>
      <c r="N167" s="3" t="n">
        <f aca="false">SUMIFS(Equipes!$D$2:$D$60,Equipes!$A$2:$A$60,"LOT-07",Equipes!$B$2:$B$60,"&lt;="&amp;$A167,Equipes!$C$2:$C$60,"&gt;="&amp;$A167)</f>
        <v>0</v>
      </c>
      <c r="O167" s="3" t="n">
        <f aca="false">IF(N167&gt;0,ROUNDUP(N167/Parametres!$B$7,0)+1,0)</f>
        <v>0</v>
      </c>
      <c r="P167" s="3" t="n">
        <f aca="false">SUMIFS(Equipes!$D$2:$D$60,Equipes!$A$2:$A$60,"LOT-08",Equipes!$B$2:$B$60,"&lt;="&amp;$A167,Equipes!$C$2:$C$60,"&gt;="&amp;$A167)</f>
        <v>0</v>
      </c>
      <c r="Q167" s="3" t="n">
        <f aca="false">IF(P167&gt;0,ROUNDUP(P167/Parametres!$B$7,0)+1,0)</f>
        <v>0</v>
      </c>
    </row>
    <row r="168" customFormat="false" ht="15" hidden="false" customHeight="false" outlineLevel="0" collapsed="false">
      <c r="A168" s="2" t="n">
        <v>46249</v>
      </c>
      <c r="B168" s="3" t="n">
        <f aca="false">SUMIFS(Equipes!$D$2:$D$60,Equipes!$A$2:$A$60,"LOT-01",Equipes!$B$2:$B$60,"&lt;="&amp;$A168,Equipes!$C$2:$C$60,"&gt;="&amp;$A168)</f>
        <v>0</v>
      </c>
      <c r="C168" s="3" t="n">
        <f aca="false">IF(B168&gt;0,ROUNDUP(B168/Parametres!$B$7,0)+1,0)</f>
        <v>0</v>
      </c>
      <c r="D168" s="3" t="n">
        <f aca="false">SUMIFS(Equipes!$D$2:$D$60,Equipes!$A$2:$A$60,"LOT-02",Equipes!$B$2:$B$60,"&lt;="&amp;$A168,Equipes!$C$2:$C$60,"&gt;="&amp;$A168)</f>
        <v>0</v>
      </c>
      <c r="E168" s="3" t="n">
        <f aca="false">IF(D168&gt;0,ROUNDUP(D168/Parametres!$B$7,0)+1,0)</f>
        <v>0</v>
      </c>
      <c r="F168" s="3" t="n">
        <f aca="false">SUMIFS(Equipes!$D$2:$D$60,Equipes!$A$2:$A$60,"LOT-03",Equipes!$B$2:$B$60,"&lt;="&amp;$A168,Equipes!$C$2:$C$60,"&gt;="&amp;$A168)</f>
        <v>0</v>
      </c>
      <c r="G168" s="3" t="n">
        <f aca="false">IF(F168&gt;0,ROUNDUP(F168/Parametres!$B$7,0)+1,0)</f>
        <v>0</v>
      </c>
      <c r="H168" s="3" t="n">
        <f aca="false">SUMIFS(Equipes!$D$2:$D$60,Equipes!$A$2:$A$60,"LOT-04",Equipes!$B$2:$B$60,"&lt;="&amp;$A168,Equipes!$C$2:$C$60,"&gt;="&amp;$A168)</f>
        <v>24</v>
      </c>
      <c r="I168" s="3" t="n">
        <f aca="false">IF(H168&gt;0,ROUNDUP(H168/Parametres!$B$7,0)+1,0)</f>
        <v>3</v>
      </c>
      <c r="J168" s="3" t="n">
        <f aca="false">SUMIFS(Equipes!$D$2:$D$60,Equipes!$A$2:$A$60,"LOT-05",Equipes!$B$2:$B$60,"&lt;="&amp;$A168,Equipes!$C$2:$C$60,"&gt;="&amp;$A168)</f>
        <v>0</v>
      </c>
      <c r="K168" s="3" t="n">
        <f aca="false">IF(J168&gt;0,ROUNDUP(J168/Parametres!$B$7,0)+1,0)</f>
        <v>0</v>
      </c>
      <c r="L168" s="3" t="n">
        <f aca="false">SUMIFS(Equipes!$D$2:$D$60,Equipes!$A$2:$A$60,"LOT-06",Equipes!$B$2:$B$60,"&lt;="&amp;$A168,Equipes!$C$2:$C$60,"&gt;="&amp;$A168)</f>
        <v>0</v>
      </c>
      <c r="M168" s="3" t="n">
        <f aca="false">IF(L168&gt;0,ROUNDUP(L168/Parametres!$B$7,0)+1,0)</f>
        <v>0</v>
      </c>
      <c r="N168" s="3" t="n">
        <f aca="false">SUMIFS(Equipes!$D$2:$D$60,Equipes!$A$2:$A$60,"LOT-07",Equipes!$B$2:$B$60,"&lt;="&amp;$A168,Equipes!$C$2:$C$60,"&gt;="&amp;$A168)</f>
        <v>0</v>
      </c>
      <c r="O168" s="3" t="n">
        <f aca="false">IF(N168&gt;0,ROUNDUP(N168/Parametres!$B$7,0)+1,0)</f>
        <v>0</v>
      </c>
      <c r="P168" s="3" t="n">
        <f aca="false">SUMIFS(Equipes!$D$2:$D$60,Equipes!$A$2:$A$60,"LOT-08",Equipes!$B$2:$B$60,"&lt;="&amp;$A168,Equipes!$C$2:$C$60,"&gt;="&amp;$A168)</f>
        <v>0</v>
      </c>
      <c r="Q168" s="3" t="n">
        <f aca="false">IF(P168&gt;0,ROUNDUP(P168/Parametres!$B$7,0)+1,0)</f>
        <v>0</v>
      </c>
    </row>
    <row r="169" customFormat="false" ht="15" hidden="false" customHeight="false" outlineLevel="0" collapsed="false">
      <c r="A169" s="2" t="n">
        <v>46250</v>
      </c>
      <c r="B169" s="3" t="n">
        <f aca="false">SUMIFS(Equipes!$D$2:$D$60,Equipes!$A$2:$A$60,"LOT-01",Equipes!$B$2:$B$60,"&lt;="&amp;$A169,Equipes!$C$2:$C$60,"&gt;="&amp;$A169)</f>
        <v>0</v>
      </c>
      <c r="C169" s="3" t="n">
        <f aca="false">IF(B169&gt;0,ROUNDUP(B169/Parametres!$B$7,0)+1,0)</f>
        <v>0</v>
      </c>
      <c r="D169" s="3" t="n">
        <f aca="false">SUMIFS(Equipes!$D$2:$D$60,Equipes!$A$2:$A$60,"LOT-02",Equipes!$B$2:$B$60,"&lt;="&amp;$A169,Equipes!$C$2:$C$60,"&gt;="&amp;$A169)</f>
        <v>0</v>
      </c>
      <c r="E169" s="3" t="n">
        <f aca="false">IF(D169&gt;0,ROUNDUP(D169/Parametres!$B$7,0)+1,0)</f>
        <v>0</v>
      </c>
      <c r="F169" s="3" t="n">
        <f aca="false">SUMIFS(Equipes!$D$2:$D$60,Equipes!$A$2:$A$60,"LOT-03",Equipes!$B$2:$B$60,"&lt;="&amp;$A169,Equipes!$C$2:$C$60,"&gt;="&amp;$A169)</f>
        <v>0</v>
      </c>
      <c r="G169" s="3" t="n">
        <f aca="false">IF(F169&gt;0,ROUNDUP(F169/Parametres!$B$7,0)+1,0)</f>
        <v>0</v>
      </c>
      <c r="H169" s="3" t="n">
        <f aca="false">SUMIFS(Equipes!$D$2:$D$60,Equipes!$A$2:$A$60,"LOT-04",Equipes!$B$2:$B$60,"&lt;="&amp;$A169,Equipes!$C$2:$C$60,"&gt;="&amp;$A169)</f>
        <v>24</v>
      </c>
      <c r="I169" s="3" t="n">
        <f aca="false">IF(H169&gt;0,ROUNDUP(H169/Parametres!$B$7,0)+1,0)</f>
        <v>3</v>
      </c>
      <c r="J169" s="3" t="n">
        <f aca="false">SUMIFS(Equipes!$D$2:$D$60,Equipes!$A$2:$A$60,"LOT-05",Equipes!$B$2:$B$60,"&lt;="&amp;$A169,Equipes!$C$2:$C$60,"&gt;="&amp;$A169)</f>
        <v>0</v>
      </c>
      <c r="K169" s="3" t="n">
        <f aca="false">IF(J169&gt;0,ROUNDUP(J169/Parametres!$B$7,0)+1,0)</f>
        <v>0</v>
      </c>
      <c r="L169" s="3" t="n">
        <f aca="false">SUMIFS(Equipes!$D$2:$D$60,Equipes!$A$2:$A$60,"LOT-06",Equipes!$B$2:$B$60,"&lt;="&amp;$A169,Equipes!$C$2:$C$60,"&gt;="&amp;$A169)</f>
        <v>0</v>
      </c>
      <c r="M169" s="3" t="n">
        <f aca="false">IF(L169&gt;0,ROUNDUP(L169/Parametres!$B$7,0)+1,0)</f>
        <v>0</v>
      </c>
      <c r="N169" s="3" t="n">
        <f aca="false">SUMIFS(Equipes!$D$2:$D$60,Equipes!$A$2:$A$60,"LOT-07",Equipes!$B$2:$B$60,"&lt;="&amp;$A169,Equipes!$C$2:$C$60,"&gt;="&amp;$A169)</f>
        <v>0</v>
      </c>
      <c r="O169" s="3" t="n">
        <f aca="false">IF(N169&gt;0,ROUNDUP(N169/Parametres!$B$7,0)+1,0)</f>
        <v>0</v>
      </c>
      <c r="P169" s="3" t="n">
        <f aca="false">SUMIFS(Equipes!$D$2:$D$60,Equipes!$A$2:$A$60,"LOT-08",Equipes!$B$2:$B$60,"&lt;="&amp;$A169,Equipes!$C$2:$C$60,"&gt;="&amp;$A169)</f>
        <v>0</v>
      </c>
      <c r="Q169" s="3" t="n">
        <f aca="false">IF(P169&gt;0,ROUNDUP(P169/Parametres!$B$7,0)+1,0)</f>
        <v>0</v>
      </c>
    </row>
    <row r="170" customFormat="false" ht="15" hidden="false" customHeight="false" outlineLevel="0" collapsed="false">
      <c r="A170" s="2" t="n">
        <v>46251</v>
      </c>
      <c r="B170" s="3" t="n">
        <f aca="false">SUMIFS(Equipes!$D$2:$D$60,Equipes!$A$2:$A$60,"LOT-01",Equipes!$B$2:$B$60,"&lt;="&amp;$A170,Equipes!$C$2:$C$60,"&gt;="&amp;$A170)</f>
        <v>0</v>
      </c>
      <c r="C170" s="3" t="n">
        <f aca="false">IF(B170&gt;0,ROUNDUP(B170/Parametres!$B$7,0)+1,0)</f>
        <v>0</v>
      </c>
      <c r="D170" s="3" t="n">
        <f aca="false">SUMIFS(Equipes!$D$2:$D$60,Equipes!$A$2:$A$60,"LOT-02",Equipes!$B$2:$B$60,"&lt;="&amp;$A170,Equipes!$C$2:$C$60,"&gt;="&amp;$A170)</f>
        <v>0</v>
      </c>
      <c r="E170" s="3" t="n">
        <f aca="false">IF(D170&gt;0,ROUNDUP(D170/Parametres!$B$7,0)+1,0)</f>
        <v>0</v>
      </c>
      <c r="F170" s="3" t="n">
        <f aca="false">SUMIFS(Equipes!$D$2:$D$60,Equipes!$A$2:$A$60,"LOT-03",Equipes!$B$2:$B$60,"&lt;="&amp;$A170,Equipes!$C$2:$C$60,"&gt;="&amp;$A170)</f>
        <v>0</v>
      </c>
      <c r="G170" s="3" t="n">
        <f aca="false">IF(F170&gt;0,ROUNDUP(F170/Parametres!$B$7,0)+1,0)</f>
        <v>0</v>
      </c>
      <c r="H170" s="3" t="n">
        <f aca="false">SUMIFS(Equipes!$D$2:$D$60,Equipes!$A$2:$A$60,"LOT-04",Equipes!$B$2:$B$60,"&lt;="&amp;$A170,Equipes!$C$2:$C$60,"&gt;="&amp;$A170)</f>
        <v>24</v>
      </c>
      <c r="I170" s="3" t="n">
        <f aca="false">IF(H170&gt;0,ROUNDUP(H170/Parametres!$B$7,0)+1,0)</f>
        <v>3</v>
      </c>
      <c r="J170" s="3" t="n">
        <f aca="false">SUMIFS(Equipes!$D$2:$D$60,Equipes!$A$2:$A$60,"LOT-05",Equipes!$B$2:$B$60,"&lt;="&amp;$A170,Equipes!$C$2:$C$60,"&gt;="&amp;$A170)</f>
        <v>0</v>
      </c>
      <c r="K170" s="3" t="n">
        <f aca="false">IF(J170&gt;0,ROUNDUP(J170/Parametres!$B$7,0)+1,0)</f>
        <v>0</v>
      </c>
      <c r="L170" s="3" t="n">
        <f aca="false">SUMIFS(Equipes!$D$2:$D$60,Equipes!$A$2:$A$60,"LOT-06",Equipes!$B$2:$B$60,"&lt;="&amp;$A170,Equipes!$C$2:$C$60,"&gt;="&amp;$A170)</f>
        <v>0</v>
      </c>
      <c r="M170" s="3" t="n">
        <f aca="false">IF(L170&gt;0,ROUNDUP(L170/Parametres!$B$7,0)+1,0)</f>
        <v>0</v>
      </c>
      <c r="N170" s="3" t="n">
        <f aca="false">SUMIFS(Equipes!$D$2:$D$60,Equipes!$A$2:$A$60,"LOT-07",Equipes!$B$2:$B$60,"&lt;="&amp;$A170,Equipes!$C$2:$C$60,"&gt;="&amp;$A170)</f>
        <v>0</v>
      </c>
      <c r="O170" s="3" t="n">
        <f aca="false">IF(N170&gt;0,ROUNDUP(N170/Parametres!$B$7,0)+1,0)</f>
        <v>0</v>
      </c>
      <c r="P170" s="3" t="n">
        <f aca="false">SUMIFS(Equipes!$D$2:$D$60,Equipes!$A$2:$A$60,"LOT-08",Equipes!$B$2:$B$60,"&lt;="&amp;$A170,Equipes!$C$2:$C$60,"&gt;="&amp;$A170)</f>
        <v>0</v>
      </c>
      <c r="Q170" s="3" t="n">
        <f aca="false">IF(P170&gt;0,ROUNDUP(P170/Parametres!$B$7,0)+1,0)</f>
        <v>0</v>
      </c>
    </row>
    <row r="171" customFormat="false" ht="15" hidden="false" customHeight="false" outlineLevel="0" collapsed="false">
      <c r="A171" s="2" t="n">
        <v>46252</v>
      </c>
      <c r="B171" s="3" t="n">
        <f aca="false">SUMIFS(Equipes!$D$2:$D$60,Equipes!$A$2:$A$60,"LOT-01",Equipes!$B$2:$B$60,"&lt;="&amp;$A171,Equipes!$C$2:$C$60,"&gt;="&amp;$A171)</f>
        <v>0</v>
      </c>
      <c r="C171" s="3" t="n">
        <f aca="false">IF(B171&gt;0,ROUNDUP(B171/Parametres!$B$7,0)+1,0)</f>
        <v>0</v>
      </c>
      <c r="D171" s="3" t="n">
        <f aca="false">SUMIFS(Equipes!$D$2:$D$60,Equipes!$A$2:$A$60,"LOT-02",Equipes!$B$2:$B$60,"&lt;="&amp;$A171,Equipes!$C$2:$C$60,"&gt;="&amp;$A171)</f>
        <v>0</v>
      </c>
      <c r="E171" s="3" t="n">
        <f aca="false">IF(D171&gt;0,ROUNDUP(D171/Parametres!$B$7,0)+1,0)</f>
        <v>0</v>
      </c>
      <c r="F171" s="3" t="n">
        <f aca="false">SUMIFS(Equipes!$D$2:$D$60,Equipes!$A$2:$A$60,"LOT-03",Equipes!$B$2:$B$60,"&lt;="&amp;$A171,Equipes!$C$2:$C$60,"&gt;="&amp;$A171)</f>
        <v>0</v>
      </c>
      <c r="G171" s="3" t="n">
        <f aca="false">IF(F171&gt;0,ROUNDUP(F171/Parametres!$B$7,0)+1,0)</f>
        <v>0</v>
      </c>
      <c r="H171" s="3" t="n">
        <f aca="false">SUMIFS(Equipes!$D$2:$D$60,Equipes!$A$2:$A$60,"LOT-04",Equipes!$B$2:$B$60,"&lt;="&amp;$A171,Equipes!$C$2:$C$60,"&gt;="&amp;$A171)</f>
        <v>24</v>
      </c>
      <c r="I171" s="3" t="n">
        <f aca="false">IF(H171&gt;0,ROUNDUP(H171/Parametres!$B$7,0)+1,0)</f>
        <v>3</v>
      </c>
      <c r="J171" s="3" t="n">
        <f aca="false">SUMIFS(Equipes!$D$2:$D$60,Equipes!$A$2:$A$60,"LOT-05",Equipes!$B$2:$B$60,"&lt;="&amp;$A171,Equipes!$C$2:$C$60,"&gt;="&amp;$A171)</f>
        <v>0</v>
      </c>
      <c r="K171" s="3" t="n">
        <f aca="false">IF(J171&gt;0,ROUNDUP(J171/Parametres!$B$7,0)+1,0)</f>
        <v>0</v>
      </c>
      <c r="L171" s="3" t="n">
        <f aca="false">SUMIFS(Equipes!$D$2:$D$60,Equipes!$A$2:$A$60,"LOT-06",Equipes!$B$2:$B$60,"&lt;="&amp;$A171,Equipes!$C$2:$C$60,"&gt;="&amp;$A171)</f>
        <v>0</v>
      </c>
      <c r="M171" s="3" t="n">
        <f aca="false">IF(L171&gt;0,ROUNDUP(L171/Parametres!$B$7,0)+1,0)</f>
        <v>0</v>
      </c>
      <c r="N171" s="3" t="n">
        <f aca="false">SUMIFS(Equipes!$D$2:$D$60,Equipes!$A$2:$A$60,"LOT-07",Equipes!$B$2:$B$60,"&lt;="&amp;$A171,Equipes!$C$2:$C$60,"&gt;="&amp;$A171)</f>
        <v>0</v>
      </c>
      <c r="O171" s="3" t="n">
        <f aca="false">IF(N171&gt;0,ROUNDUP(N171/Parametres!$B$7,0)+1,0)</f>
        <v>0</v>
      </c>
      <c r="P171" s="3" t="n">
        <f aca="false">SUMIFS(Equipes!$D$2:$D$60,Equipes!$A$2:$A$60,"LOT-08",Equipes!$B$2:$B$60,"&lt;="&amp;$A171,Equipes!$C$2:$C$60,"&gt;="&amp;$A171)</f>
        <v>0</v>
      </c>
      <c r="Q171" s="3" t="n">
        <f aca="false">IF(P171&gt;0,ROUNDUP(P171/Parametres!$B$7,0)+1,0)</f>
        <v>0</v>
      </c>
    </row>
    <row r="172" customFormat="false" ht="15" hidden="false" customHeight="false" outlineLevel="0" collapsed="false">
      <c r="A172" s="2" t="n">
        <v>46253</v>
      </c>
      <c r="B172" s="3" t="n">
        <f aca="false">SUMIFS(Equipes!$D$2:$D$60,Equipes!$A$2:$A$60,"LOT-01",Equipes!$B$2:$B$60,"&lt;="&amp;$A172,Equipes!$C$2:$C$60,"&gt;="&amp;$A172)</f>
        <v>0</v>
      </c>
      <c r="C172" s="3" t="n">
        <f aca="false">IF(B172&gt;0,ROUNDUP(B172/Parametres!$B$7,0)+1,0)</f>
        <v>0</v>
      </c>
      <c r="D172" s="3" t="n">
        <f aca="false">SUMIFS(Equipes!$D$2:$D$60,Equipes!$A$2:$A$60,"LOT-02",Equipes!$B$2:$B$60,"&lt;="&amp;$A172,Equipes!$C$2:$C$60,"&gt;="&amp;$A172)</f>
        <v>0</v>
      </c>
      <c r="E172" s="3" t="n">
        <f aca="false">IF(D172&gt;0,ROUNDUP(D172/Parametres!$B$7,0)+1,0)</f>
        <v>0</v>
      </c>
      <c r="F172" s="3" t="n">
        <f aca="false">SUMIFS(Equipes!$D$2:$D$60,Equipes!$A$2:$A$60,"LOT-03",Equipes!$B$2:$B$60,"&lt;="&amp;$A172,Equipes!$C$2:$C$60,"&gt;="&amp;$A172)</f>
        <v>0</v>
      </c>
      <c r="G172" s="3" t="n">
        <f aca="false">IF(F172&gt;0,ROUNDUP(F172/Parametres!$B$7,0)+1,0)</f>
        <v>0</v>
      </c>
      <c r="H172" s="3" t="n">
        <f aca="false">SUMIFS(Equipes!$D$2:$D$60,Equipes!$A$2:$A$60,"LOT-04",Equipes!$B$2:$B$60,"&lt;="&amp;$A172,Equipes!$C$2:$C$60,"&gt;="&amp;$A172)</f>
        <v>24</v>
      </c>
      <c r="I172" s="3" t="n">
        <f aca="false">IF(H172&gt;0,ROUNDUP(H172/Parametres!$B$7,0)+1,0)</f>
        <v>3</v>
      </c>
      <c r="J172" s="3" t="n">
        <f aca="false">SUMIFS(Equipes!$D$2:$D$60,Equipes!$A$2:$A$60,"LOT-05",Equipes!$B$2:$B$60,"&lt;="&amp;$A172,Equipes!$C$2:$C$60,"&gt;="&amp;$A172)</f>
        <v>0</v>
      </c>
      <c r="K172" s="3" t="n">
        <f aca="false">IF(J172&gt;0,ROUNDUP(J172/Parametres!$B$7,0)+1,0)</f>
        <v>0</v>
      </c>
      <c r="L172" s="3" t="n">
        <f aca="false">SUMIFS(Equipes!$D$2:$D$60,Equipes!$A$2:$A$60,"LOT-06",Equipes!$B$2:$B$60,"&lt;="&amp;$A172,Equipes!$C$2:$C$60,"&gt;="&amp;$A172)</f>
        <v>0</v>
      </c>
      <c r="M172" s="3" t="n">
        <f aca="false">IF(L172&gt;0,ROUNDUP(L172/Parametres!$B$7,0)+1,0)</f>
        <v>0</v>
      </c>
      <c r="N172" s="3" t="n">
        <f aca="false">SUMIFS(Equipes!$D$2:$D$60,Equipes!$A$2:$A$60,"LOT-07",Equipes!$B$2:$B$60,"&lt;="&amp;$A172,Equipes!$C$2:$C$60,"&gt;="&amp;$A172)</f>
        <v>0</v>
      </c>
      <c r="O172" s="3" t="n">
        <f aca="false">IF(N172&gt;0,ROUNDUP(N172/Parametres!$B$7,0)+1,0)</f>
        <v>0</v>
      </c>
      <c r="P172" s="3" t="n">
        <f aca="false">SUMIFS(Equipes!$D$2:$D$60,Equipes!$A$2:$A$60,"LOT-08",Equipes!$B$2:$B$60,"&lt;="&amp;$A172,Equipes!$C$2:$C$60,"&gt;="&amp;$A172)</f>
        <v>0</v>
      </c>
      <c r="Q172" s="3" t="n">
        <f aca="false">IF(P172&gt;0,ROUNDUP(P172/Parametres!$B$7,0)+1,0)</f>
        <v>0</v>
      </c>
    </row>
    <row r="173" customFormat="false" ht="15" hidden="false" customHeight="false" outlineLevel="0" collapsed="false">
      <c r="A173" s="2" t="n">
        <v>46254</v>
      </c>
      <c r="B173" s="3" t="n">
        <f aca="false">SUMIFS(Equipes!$D$2:$D$60,Equipes!$A$2:$A$60,"LOT-01",Equipes!$B$2:$B$60,"&lt;="&amp;$A173,Equipes!$C$2:$C$60,"&gt;="&amp;$A173)</f>
        <v>0</v>
      </c>
      <c r="C173" s="3" t="n">
        <f aca="false">IF(B173&gt;0,ROUNDUP(B173/Parametres!$B$7,0)+1,0)</f>
        <v>0</v>
      </c>
      <c r="D173" s="3" t="n">
        <f aca="false">SUMIFS(Equipes!$D$2:$D$60,Equipes!$A$2:$A$60,"LOT-02",Equipes!$B$2:$B$60,"&lt;="&amp;$A173,Equipes!$C$2:$C$60,"&gt;="&amp;$A173)</f>
        <v>0</v>
      </c>
      <c r="E173" s="3" t="n">
        <f aca="false">IF(D173&gt;0,ROUNDUP(D173/Parametres!$B$7,0)+1,0)</f>
        <v>0</v>
      </c>
      <c r="F173" s="3" t="n">
        <f aca="false">SUMIFS(Equipes!$D$2:$D$60,Equipes!$A$2:$A$60,"LOT-03",Equipes!$B$2:$B$60,"&lt;="&amp;$A173,Equipes!$C$2:$C$60,"&gt;="&amp;$A173)</f>
        <v>0</v>
      </c>
      <c r="G173" s="3" t="n">
        <f aca="false">IF(F173&gt;0,ROUNDUP(F173/Parametres!$B$7,0)+1,0)</f>
        <v>0</v>
      </c>
      <c r="H173" s="3" t="n">
        <f aca="false">SUMIFS(Equipes!$D$2:$D$60,Equipes!$A$2:$A$60,"LOT-04",Equipes!$B$2:$B$60,"&lt;="&amp;$A173,Equipes!$C$2:$C$60,"&gt;="&amp;$A173)</f>
        <v>24</v>
      </c>
      <c r="I173" s="3" t="n">
        <f aca="false">IF(H173&gt;0,ROUNDUP(H173/Parametres!$B$7,0)+1,0)</f>
        <v>3</v>
      </c>
      <c r="J173" s="3" t="n">
        <f aca="false">SUMIFS(Equipes!$D$2:$D$60,Equipes!$A$2:$A$60,"LOT-05",Equipes!$B$2:$B$60,"&lt;="&amp;$A173,Equipes!$C$2:$C$60,"&gt;="&amp;$A173)</f>
        <v>0</v>
      </c>
      <c r="K173" s="3" t="n">
        <f aca="false">IF(J173&gt;0,ROUNDUP(J173/Parametres!$B$7,0)+1,0)</f>
        <v>0</v>
      </c>
      <c r="L173" s="3" t="n">
        <f aca="false">SUMIFS(Equipes!$D$2:$D$60,Equipes!$A$2:$A$60,"LOT-06",Equipes!$B$2:$B$60,"&lt;="&amp;$A173,Equipes!$C$2:$C$60,"&gt;="&amp;$A173)</f>
        <v>0</v>
      </c>
      <c r="M173" s="3" t="n">
        <f aca="false">IF(L173&gt;0,ROUNDUP(L173/Parametres!$B$7,0)+1,0)</f>
        <v>0</v>
      </c>
      <c r="N173" s="3" t="n">
        <f aca="false">SUMIFS(Equipes!$D$2:$D$60,Equipes!$A$2:$A$60,"LOT-07",Equipes!$B$2:$B$60,"&lt;="&amp;$A173,Equipes!$C$2:$C$60,"&gt;="&amp;$A173)</f>
        <v>0</v>
      </c>
      <c r="O173" s="3" t="n">
        <f aca="false">IF(N173&gt;0,ROUNDUP(N173/Parametres!$B$7,0)+1,0)</f>
        <v>0</v>
      </c>
      <c r="P173" s="3" t="n">
        <f aca="false">SUMIFS(Equipes!$D$2:$D$60,Equipes!$A$2:$A$60,"LOT-08",Equipes!$B$2:$B$60,"&lt;="&amp;$A173,Equipes!$C$2:$C$60,"&gt;="&amp;$A173)</f>
        <v>0</v>
      </c>
      <c r="Q173" s="3" t="n">
        <f aca="false">IF(P173&gt;0,ROUNDUP(P173/Parametres!$B$7,0)+1,0)</f>
        <v>0</v>
      </c>
    </row>
    <row r="174" customFormat="false" ht="15" hidden="false" customHeight="false" outlineLevel="0" collapsed="false">
      <c r="A174" s="2" t="n">
        <v>46255</v>
      </c>
      <c r="B174" s="3" t="n">
        <f aca="false">SUMIFS(Equipes!$D$2:$D$60,Equipes!$A$2:$A$60,"LOT-01",Equipes!$B$2:$B$60,"&lt;="&amp;$A174,Equipes!$C$2:$C$60,"&gt;="&amp;$A174)</f>
        <v>0</v>
      </c>
      <c r="C174" s="3" t="n">
        <f aca="false">IF(B174&gt;0,ROUNDUP(B174/Parametres!$B$7,0)+1,0)</f>
        <v>0</v>
      </c>
      <c r="D174" s="3" t="n">
        <f aca="false">SUMIFS(Equipes!$D$2:$D$60,Equipes!$A$2:$A$60,"LOT-02",Equipes!$B$2:$B$60,"&lt;="&amp;$A174,Equipes!$C$2:$C$60,"&gt;="&amp;$A174)</f>
        <v>0</v>
      </c>
      <c r="E174" s="3" t="n">
        <f aca="false">IF(D174&gt;0,ROUNDUP(D174/Parametres!$B$7,0)+1,0)</f>
        <v>0</v>
      </c>
      <c r="F174" s="3" t="n">
        <f aca="false">SUMIFS(Equipes!$D$2:$D$60,Equipes!$A$2:$A$60,"LOT-03",Equipes!$B$2:$B$60,"&lt;="&amp;$A174,Equipes!$C$2:$C$60,"&gt;="&amp;$A174)</f>
        <v>0</v>
      </c>
      <c r="G174" s="3" t="n">
        <f aca="false">IF(F174&gt;0,ROUNDUP(F174/Parametres!$B$7,0)+1,0)</f>
        <v>0</v>
      </c>
      <c r="H174" s="3" t="n">
        <f aca="false">SUMIFS(Equipes!$D$2:$D$60,Equipes!$A$2:$A$60,"LOT-04",Equipes!$B$2:$B$60,"&lt;="&amp;$A174,Equipes!$C$2:$C$60,"&gt;="&amp;$A174)</f>
        <v>24</v>
      </c>
      <c r="I174" s="3" t="n">
        <f aca="false">IF(H174&gt;0,ROUNDUP(H174/Parametres!$B$7,0)+1,0)</f>
        <v>3</v>
      </c>
      <c r="J174" s="3" t="n">
        <f aca="false">SUMIFS(Equipes!$D$2:$D$60,Equipes!$A$2:$A$60,"LOT-05",Equipes!$B$2:$B$60,"&lt;="&amp;$A174,Equipes!$C$2:$C$60,"&gt;="&amp;$A174)</f>
        <v>0</v>
      </c>
      <c r="K174" s="3" t="n">
        <f aca="false">IF(J174&gt;0,ROUNDUP(J174/Parametres!$B$7,0)+1,0)</f>
        <v>0</v>
      </c>
      <c r="L174" s="3" t="n">
        <f aca="false">SUMIFS(Equipes!$D$2:$D$60,Equipes!$A$2:$A$60,"LOT-06",Equipes!$B$2:$B$60,"&lt;="&amp;$A174,Equipes!$C$2:$C$60,"&gt;="&amp;$A174)</f>
        <v>10</v>
      </c>
      <c r="M174" s="3" t="n">
        <f aca="false">IF(L174&gt;0,ROUNDUP(L174/Parametres!$B$7,0)+1,0)</f>
        <v>2</v>
      </c>
      <c r="N174" s="3" t="n">
        <f aca="false">SUMIFS(Equipes!$D$2:$D$60,Equipes!$A$2:$A$60,"LOT-07",Equipes!$B$2:$B$60,"&lt;="&amp;$A174,Equipes!$C$2:$C$60,"&gt;="&amp;$A174)</f>
        <v>0</v>
      </c>
      <c r="O174" s="3" t="n">
        <f aca="false">IF(N174&gt;0,ROUNDUP(N174/Parametres!$B$7,0)+1,0)</f>
        <v>0</v>
      </c>
      <c r="P174" s="3" t="n">
        <f aca="false">SUMIFS(Equipes!$D$2:$D$60,Equipes!$A$2:$A$60,"LOT-08",Equipes!$B$2:$B$60,"&lt;="&amp;$A174,Equipes!$C$2:$C$60,"&gt;="&amp;$A174)</f>
        <v>0</v>
      </c>
      <c r="Q174" s="3" t="n">
        <f aca="false">IF(P174&gt;0,ROUNDUP(P174/Parametres!$B$7,0)+1,0)</f>
        <v>0</v>
      </c>
    </row>
    <row r="175" customFormat="false" ht="15" hidden="false" customHeight="false" outlineLevel="0" collapsed="false">
      <c r="A175" s="2" t="n">
        <v>46256</v>
      </c>
      <c r="B175" s="3" t="n">
        <f aca="false">SUMIFS(Equipes!$D$2:$D$60,Equipes!$A$2:$A$60,"LOT-01",Equipes!$B$2:$B$60,"&lt;="&amp;$A175,Equipes!$C$2:$C$60,"&gt;="&amp;$A175)</f>
        <v>0</v>
      </c>
      <c r="C175" s="3" t="n">
        <f aca="false">IF(B175&gt;0,ROUNDUP(B175/Parametres!$B$7,0)+1,0)</f>
        <v>0</v>
      </c>
      <c r="D175" s="3" t="n">
        <f aca="false">SUMIFS(Equipes!$D$2:$D$60,Equipes!$A$2:$A$60,"LOT-02",Equipes!$B$2:$B$60,"&lt;="&amp;$A175,Equipes!$C$2:$C$60,"&gt;="&amp;$A175)</f>
        <v>0</v>
      </c>
      <c r="E175" s="3" t="n">
        <f aca="false">IF(D175&gt;0,ROUNDUP(D175/Parametres!$B$7,0)+1,0)</f>
        <v>0</v>
      </c>
      <c r="F175" s="3" t="n">
        <f aca="false">SUMIFS(Equipes!$D$2:$D$60,Equipes!$A$2:$A$60,"LOT-03",Equipes!$B$2:$B$60,"&lt;="&amp;$A175,Equipes!$C$2:$C$60,"&gt;="&amp;$A175)</f>
        <v>0</v>
      </c>
      <c r="G175" s="3" t="n">
        <f aca="false">IF(F175&gt;0,ROUNDUP(F175/Parametres!$B$7,0)+1,0)</f>
        <v>0</v>
      </c>
      <c r="H175" s="3" t="n">
        <f aca="false">SUMIFS(Equipes!$D$2:$D$60,Equipes!$A$2:$A$60,"LOT-04",Equipes!$B$2:$B$60,"&lt;="&amp;$A175,Equipes!$C$2:$C$60,"&gt;="&amp;$A175)</f>
        <v>24</v>
      </c>
      <c r="I175" s="3" t="n">
        <f aca="false">IF(H175&gt;0,ROUNDUP(H175/Parametres!$B$7,0)+1,0)</f>
        <v>3</v>
      </c>
      <c r="J175" s="3" t="n">
        <f aca="false">SUMIFS(Equipes!$D$2:$D$60,Equipes!$A$2:$A$60,"LOT-05",Equipes!$B$2:$B$60,"&lt;="&amp;$A175,Equipes!$C$2:$C$60,"&gt;="&amp;$A175)</f>
        <v>0</v>
      </c>
      <c r="K175" s="3" t="n">
        <f aca="false">IF(J175&gt;0,ROUNDUP(J175/Parametres!$B$7,0)+1,0)</f>
        <v>0</v>
      </c>
      <c r="L175" s="3" t="n">
        <f aca="false">SUMIFS(Equipes!$D$2:$D$60,Equipes!$A$2:$A$60,"LOT-06",Equipes!$B$2:$B$60,"&lt;="&amp;$A175,Equipes!$C$2:$C$60,"&gt;="&amp;$A175)</f>
        <v>10</v>
      </c>
      <c r="M175" s="3" t="n">
        <f aca="false">IF(L175&gt;0,ROUNDUP(L175/Parametres!$B$7,0)+1,0)</f>
        <v>2</v>
      </c>
      <c r="N175" s="3" t="n">
        <f aca="false">SUMIFS(Equipes!$D$2:$D$60,Equipes!$A$2:$A$60,"LOT-07",Equipes!$B$2:$B$60,"&lt;="&amp;$A175,Equipes!$C$2:$C$60,"&gt;="&amp;$A175)</f>
        <v>0</v>
      </c>
      <c r="O175" s="3" t="n">
        <f aca="false">IF(N175&gt;0,ROUNDUP(N175/Parametres!$B$7,0)+1,0)</f>
        <v>0</v>
      </c>
      <c r="P175" s="3" t="n">
        <f aca="false">SUMIFS(Equipes!$D$2:$D$60,Equipes!$A$2:$A$60,"LOT-08",Equipes!$B$2:$B$60,"&lt;="&amp;$A175,Equipes!$C$2:$C$60,"&gt;="&amp;$A175)</f>
        <v>0</v>
      </c>
      <c r="Q175" s="3" t="n">
        <f aca="false">IF(P175&gt;0,ROUNDUP(P175/Parametres!$B$7,0)+1,0)</f>
        <v>0</v>
      </c>
    </row>
    <row r="176" customFormat="false" ht="15" hidden="false" customHeight="false" outlineLevel="0" collapsed="false">
      <c r="A176" s="2" t="n">
        <v>46257</v>
      </c>
      <c r="B176" s="3" t="n">
        <f aca="false">SUMIFS(Equipes!$D$2:$D$60,Equipes!$A$2:$A$60,"LOT-01",Equipes!$B$2:$B$60,"&lt;="&amp;$A176,Equipes!$C$2:$C$60,"&gt;="&amp;$A176)</f>
        <v>0</v>
      </c>
      <c r="C176" s="3" t="n">
        <f aca="false">IF(B176&gt;0,ROUNDUP(B176/Parametres!$B$7,0)+1,0)</f>
        <v>0</v>
      </c>
      <c r="D176" s="3" t="n">
        <f aca="false">SUMIFS(Equipes!$D$2:$D$60,Equipes!$A$2:$A$60,"LOT-02",Equipes!$B$2:$B$60,"&lt;="&amp;$A176,Equipes!$C$2:$C$60,"&gt;="&amp;$A176)</f>
        <v>0</v>
      </c>
      <c r="E176" s="3" t="n">
        <f aca="false">IF(D176&gt;0,ROUNDUP(D176/Parametres!$B$7,0)+1,0)</f>
        <v>0</v>
      </c>
      <c r="F176" s="3" t="n">
        <f aca="false">SUMIFS(Equipes!$D$2:$D$60,Equipes!$A$2:$A$60,"LOT-03",Equipes!$B$2:$B$60,"&lt;="&amp;$A176,Equipes!$C$2:$C$60,"&gt;="&amp;$A176)</f>
        <v>0</v>
      </c>
      <c r="G176" s="3" t="n">
        <f aca="false">IF(F176&gt;0,ROUNDUP(F176/Parametres!$B$7,0)+1,0)</f>
        <v>0</v>
      </c>
      <c r="H176" s="3" t="n">
        <f aca="false">SUMIFS(Equipes!$D$2:$D$60,Equipes!$A$2:$A$60,"LOT-04",Equipes!$B$2:$B$60,"&lt;="&amp;$A176,Equipes!$C$2:$C$60,"&gt;="&amp;$A176)</f>
        <v>38</v>
      </c>
      <c r="I176" s="3" t="n">
        <f aca="false">IF(H176&gt;0,ROUNDUP(H176/Parametres!$B$7,0)+1,0)</f>
        <v>5</v>
      </c>
      <c r="J176" s="3" t="n">
        <f aca="false">SUMIFS(Equipes!$D$2:$D$60,Equipes!$A$2:$A$60,"LOT-05",Equipes!$B$2:$B$60,"&lt;="&amp;$A176,Equipes!$C$2:$C$60,"&gt;="&amp;$A176)</f>
        <v>0</v>
      </c>
      <c r="K176" s="3" t="n">
        <f aca="false">IF(J176&gt;0,ROUNDUP(J176/Parametres!$B$7,0)+1,0)</f>
        <v>0</v>
      </c>
      <c r="L176" s="3" t="n">
        <f aca="false">SUMIFS(Equipes!$D$2:$D$60,Equipes!$A$2:$A$60,"LOT-06",Equipes!$B$2:$B$60,"&lt;="&amp;$A176,Equipes!$C$2:$C$60,"&gt;="&amp;$A176)</f>
        <v>10</v>
      </c>
      <c r="M176" s="3" t="n">
        <f aca="false">IF(L176&gt;0,ROUNDUP(L176/Parametres!$B$7,0)+1,0)</f>
        <v>2</v>
      </c>
      <c r="N176" s="3" t="n">
        <f aca="false">SUMIFS(Equipes!$D$2:$D$60,Equipes!$A$2:$A$60,"LOT-07",Equipes!$B$2:$B$60,"&lt;="&amp;$A176,Equipes!$C$2:$C$60,"&gt;="&amp;$A176)</f>
        <v>0</v>
      </c>
      <c r="O176" s="3" t="n">
        <f aca="false">IF(N176&gt;0,ROUNDUP(N176/Parametres!$B$7,0)+1,0)</f>
        <v>0</v>
      </c>
      <c r="P176" s="3" t="n">
        <f aca="false">SUMIFS(Equipes!$D$2:$D$60,Equipes!$A$2:$A$60,"LOT-08",Equipes!$B$2:$B$60,"&lt;="&amp;$A176,Equipes!$C$2:$C$60,"&gt;="&amp;$A176)</f>
        <v>0</v>
      </c>
      <c r="Q176" s="3" t="n">
        <f aca="false">IF(P176&gt;0,ROUNDUP(P176/Parametres!$B$7,0)+1,0)</f>
        <v>0</v>
      </c>
    </row>
    <row r="177" customFormat="false" ht="15" hidden="false" customHeight="false" outlineLevel="0" collapsed="false">
      <c r="A177" s="2" t="n">
        <v>46258</v>
      </c>
      <c r="B177" s="3" t="n">
        <f aca="false">SUMIFS(Equipes!$D$2:$D$60,Equipes!$A$2:$A$60,"LOT-01",Equipes!$B$2:$B$60,"&lt;="&amp;$A177,Equipes!$C$2:$C$60,"&gt;="&amp;$A177)</f>
        <v>0</v>
      </c>
      <c r="C177" s="3" t="n">
        <f aca="false">IF(B177&gt;0,ROUNDUP(B177/Parametres!$B$7,0)+1,0)</f>
        <v>0</v>
      </c>
      <c r="D177" s="3" t="n">
        <f aca="false">SUMIFS(Equipes!$D$2:$D$60,Equipes!$A$2:$A$60,"LOT-02",Equipes!$B$2:$B$60,"&lt;="&amp;$A177,Equipes!$C$2:$C$60,"&gt;="&amp;$A177)</f>
        <v>0</v>
      </c>
      <c r="E177" s="3" t="n">
        <f aca="false">IF(D177&gt;0,ROUNDUP(D177/Parametres!$B$7,0)+1,0)</f>
        <v>0</v>
      </c>
      <c r="F177" s="3" t="n">
        <f aca="false">SUMIFS(Equipes!$D$2:$D$60,Equipes!$A$2:$A$60,"LOT-03",Equipes!$B$2:$B$60,"&lt;="&amp;$A177,Equipes!$C$2:$C$60,"&gt;="&amp;$A177)</f>
        <v>0</v>
      </c>
      <c r="G177" s="3" t="n">
        <f aca="false">IF(F177&gt;0,ROUNDUP(F177/Parametres!$B$7,0)+1,0)</f>
        <v>0</v>
      </c>
      <c r="H177" s="3" t="n">
        <f aca="false">SUMIFS(Equipes!$D$2:$D$60,Equipes!$A$2:$A$60,"LOT-04",Equipes!$B$2:$B$60,"&lt;="&amp;$A177,Equipes!$C$2:$C$60,"&gt;="&amp;$A177)</f>
        <v>38</v>
      </c>
      <c r="I177" s="3" t="n">
        <f aca="false">IF(H177&gt;0,ROUNDUP(H177/Parametres!$B$7,0)+1,0)</f>
        <v>5</v>
      </c>
      <c r="J177" s="3" t="n">
        <f aca="false">SUMIFS(Equipes!$D$2:$D$60,Equipes!$A$2:$A$60,"LOT-05",Equipes!$B$2:$B$60,"&lt;="&amp;$A177,Equipes!$C$2:$C$60,"&gt;="&amp;$A177)</f>
        <v>0</v>
      </c>
      <c r="K177" s="3" t="n">
        <f aca="false">IF(J177&gt;0,ROUNDUP(J177/Parametres!$B$7,0)+1,0)</f>
        <v>0</v>
      </c>
      <c r="L177" s="3" t="n">
        <f aca="false">SUMIFS(Equipes!$D$2:$D$60,Equipes!$A$2:$A$60,"LOT-06",Equipes!$B$2:$B$60,"&lt;="&amp;$A177,Equipes!$C$2:$C$60,"&gt;="&amp;$A177)</f>
        <v>10</v>
      </c>
      <c r="M177" s="3" t="n">
        <f aca="false">IF(L177&gt;0,ROUNDUP(L177/Parametres!$B$7,0)+1,0)</f>
        <v>2</v>
      </c>
      <c r="N177" s="3" t="n">
        <f aca="false">SUMIFS(Equipes!$D$2:$D$60,Equipes!$A$2:$A$60,"LOT-07",Equipes!$B$2:$B$60,"&lt;="&amp;$A177,Equipes!$C$2:$C$60,"&gt;="&amp;$A177)</f>
        <v>0</v>
      </c>
      <c r="O177" s="3" t="n">
        <f aca="false">IF(N177&gt;0,ROUNDUP(N177/Parametres!$B$7,0)+1,0)</f>
        <v>0</v>
      </c>
      <c r="P177" s="3" t="n">
        <f aca="false">SUMIFS(Equipes!$D$2:$D$60,Equipes!$A$2:$A$60,"LOT-08",Equipes!$B$2:$B$60,"&lt;="&amp;$A177,Equipes!$C$2:$C$60,"&gt;="&amp;$A177)</f>
        <v>0</v>
      </c>
      <c r="Q177" s="3" t="n">
        <f aca="false">IF(P177&gt;0,ROUNDUP(P177/Parametres!$B$7,0)+1,0)</f>
        <v>0</v>
      </c>
    </row>
    <row r="178" customFormat="false" ht="15" hidden="false" customHeight="false" outlineLevel="0" collapsed="false">
      <c r="A178" s="2" t="n">
        <v>46259</v>
      </c>
      <c r="B178" s="3" t="n">
        <f aca="false">SUMIFS(Equipes!$D$2:$D$60,Equipes!$A$2:$A$60,"LOT-01",Equipes!$B$2:$B$60,"&lt;="&amp;$A178,Equipes!$C$2:$C$60,"&gt;="&amp;$A178)</f>
        <v>0</v>
      </c>
      <c r="C178" s="3" t="n">
        <f aca="false">IF(B178&gt;0,ROUNDUP(B178/Parametres!$B$7,0)+1,0)</f>
        <v>0</v>
      </c>
      <c r="D178" s="3" t="n">
        <f aca="false">SUMIFS(Equipes!$D$2:$D$60,Equipes!$A$2:$A$60,"LOT-02",Equipes!$B$2:$B$60,"&lt;="&amp;$A178,Equipes!$C$2:$C$60,"&gt;="&amp;$A178)</f>
        <v>0</v>
      </c>
      <c r="E178" s="3" t="n">
        <f aca="false">IF(D178&gt;0,ROUNDUP(D178/Parametres!$B$7,0)+1,0)</f>
        <v>0</v>
      </c>
      <c r="F178" s="3" t="n">
        <f aca="false">SUMIFS(Equipes!$D$2:$D$60,Equipes!$A$2:$A$60,"LOT-03",Equipes!$B$2:$B$60,"&lt;="&amp;$A178,Equipes!$C$2:$C$60,"&gt;="&amp;$A178)</f>
        <v>0</v>
      </c>
      <c r="G178" s="3" t="n">
        <f aca="false">IF(F178&gt;0,ROUNDUP(F178/Parametres!$B$7,0)+1,0)</f>
        <v>0</v>
      </c>
      <c r="H178" s="3" t="n">
        <f aca="false">SUMIFS(Equipes!$D$2:$D$60,Equipes!$A$2:$A$60,"LOT-04",Equipes!$B$2:$B$60,"&lt;="&amp;$A178,Equipes!$C$2:$C$60,"&gt;="&amp;$A178)</f>
        <v>38</v>
      </c>
      <c r="I178" s="3" t="n">
        <f aca="false">IF(H178&gt;0,ROUNDUP(H178/Parametres!$B$7,0)+1,0)</f>
        <v>5</v>
      </c>
      <c r="J178" s="3" t="n">
        <f aca="false">SUMIFS(Equipes!$D$2:$D$60,Equipes!$A$2:$A$60,"LOT-05",Equipes!$B$2:$B$60,"&lt;="&amp;$A178,Equipes!$C$2:$C$60,"&gt;="&amp;$A178)</f>
        <v>0</v>
      </c>
      <c r="K178" s="3" t="n">
        <f aca="false">IF(J178&gt;0,ROUNDUP(J178/Parametres!$B$7,0)+1,0)</f>
        <v>0</v>
      </c>
      <c r="L178" s="3" t="n">
        <f aca="false">SUMIFS(Equipes!$D$2:$D$60,Equipes!$A$2:$A$60,"LOT-06",Equipes!$B$2:$B$60,"&lt;="&amp;$A178,Equipes!$C$2:$C$60,"&gt;="&amp;$A178)</f>
        <v>10</v>
      </c>
      <c r="M178" s="3" t="n">
        <f aca="false">IF(L178&gt;0,ROUNDUP(L178/Parametres!$B$7,0)+1,0)</f>
        <v>2</v>
      </c>
      <c r="N178" s="3" t="n">
        <f aca="false">SUMIFS(Equipes!$D$2:$D$60,Equipes!$A$2:$A$60,"LOT-07",Equipes!$B$2:$B$60,"&lt;="&amp;$A178,Equipes!$C$2:$C$60,"&gt;="&amp;$A178)</f>
        <v>0</v>
      </c>
      <c r="O178" s="3" t="n">
        <f aca="false">IF(N178&gt;0,ROUNDUP(N178/Parametres!$B$7,0)+1,0)</f>
        <v>0</v>
      </c>
      <c r="P178" s="3" t="n">
        <f aca="false">SUMIFS(Equipes!$D$2:$D$60,Equipes!$A$2:$A$60,"LOT-08",Equipes!$B$2:$B$60,"&lt;="&amp;$A178,Equipes!$C$2:$C$60,"&gt;="&amp;$A178)</f>
        <v>0</v>
      </c>
      <c r="Q178" s="3" t="n">
        <f aca="false">IF(P178&gt;0,ROUNDUP(P178/Parametres!$B$7,0)+1,0)</f>
        <v>0</v>
      </c>
    </row>
    <row r="179" customFormat="false" ht="15" hidden="false" customHeight="false" outlineLevel="0" collapsed="false">
      <c r="A179" s="2" t="n">
        <v>46260</v>
      </c>
      <c r="B179" s="3" t="n">
        <f aca="false">SUMIFS(Equipes!$D$2:$D$60,Equipes!$A$2:$A$60,"LOT-01",Equipes!$B$2:$B$60,"&lt;="&amp;$A179,Equipes!$C$2:$C$60,"&gt;="&amp;$A179)</f>
        <v>0</v>
      </c>
      <c r="C179" s="3" t="n">
        <f aca="false">IF(B179&gt;0,ROUNDUP(B179/Parametres!$B$7,0)+1,0)</f>
        <v>0</v>
      </c>
      <c r="D179" s="3" t="n">
        <f aca="false">SUMIFS(Equipes!$D$2:$D$60,Equipes!$A$2:$A$60,"LOT-02",Equipes!$B$2:$B$60,"&lt;="&amp;$A179,Equipes!$C$2:$C$60,"&gt;="&amp;$A179)</f>
        <v>0</v>
      </c>
      <c r="E179" s="3" t="n">
        <f aca="false">IF(D179&gt;0,ROUNDUP(D179/Parametres!$B$7,0)+1,0)</f>
        <v>0</v>
      </c>
      <c r="F179" s="3" t="n">
        <f aca="false">SUMIFS(Equipes!$D$2:$D$60,Equipes!$A$2:$A$60,"LOT-03",Equipes!$B$2:$B$60,"&lt;="&amp;$A179,Equipes!$C$2:$C$60,"&gt;="&amp;$A179)</f>
        <v>0</v>
      </c>
      <c r="G179" s="3" t="n">
        <f aca="false">IF(F179&gt;0,ROUNDUP(F179/Parametres!$B$7,0)+1,0)</f>
        <v>0</v>
      </c>
      <c r="H179" s="3" t="n">
        <f aca="false">SUMIFS(Equipes!$D$2:$D$60,Equipes!$A$2:$A$60,"LOT-04",Equipes!$B$2:$B$60,"&lt;="&amp;$A179,Equipes!$C$2:$C$60,"&gt;="&amp;$A179)</f>
        <v>38</v>
      </c>
      <c r="I179" s="3" t="n">
        <f aca="false">IF(H179&gt;0,ROUNDUP(H179/Parametres!$B$7,0)+1,0)</f>
        <v>5</v>
      </c>
      <c r="J179" s="3" t="n">
        <f aca="false">SUMIFS(Equipes!$D$2:$D$60,Equipes!$A$2:$A$60,"LOT-05",Equipes!$B$2:$B$60,"&lt;="&amp;$A179,Equipes!$C$2:$C$60,"&gt;="&amp;$A179)</f>
        <v>0</v>
      </c>
      <c r="K179" s="3" t="n">
        <f aca="false">IF(J179&gt;0,ROUNDUP(J179/Parametres!$B$7,0)+1,0)</f>
        <v>0</v>
      </c>
      <c r="L179" s="3" t="n">
        <f aca="false">SUMIFS(Equipes!$D$2:$D$60,Equipes!$A$2:$A$60,"LOT-06",Equipes!$B$2:$B$60,"&lt;="&amp;$A179,Equipes!$C$2:$C$60,"&gt;="&amp;$A179)</f>
        <v>10</v>
      </c>
      <c r="M179" s="3" t="n">
        <f aca="false">IF(L179&gt;0,ROUNDUP(L179/Parametres!$B$7,0)+1,0)</f>
        <v>2</v>
      </c>
      <c r="N179" s="3" t="n">
        <f aca="false">SUMIFS(Equipes!$D$2:$D$60,Equipes!$A$2:$A$60,"LOT-07",Equipes!$B$2:$B$60,"&lt;="&amp;$A179,Equipes!$C$2:$C$60,"&gt;="&amp;$A179)</f>
        <v>0</v>
      </c>
      <c r="O179" s="3" t="n">
        <f aca="false">IF(N179&gt;0,ROUNDUP(N179/Parametres!$B$7,0)+1,0)</f>
        <v>0</v>
      </c>
      <c r="P179" s="3" t="n">
        <f aca="false">SUMIFS(Equipes!$D$2:$D$60,Equipes!$A$2:$A$60,"LOT-08",Equipes!$B$2:$B$60,"&lt;="&amp;$A179,Equipes!$C$2:$C$60,"&gt;="&amp;$A179)</f>
        <v>0</v>
      </c>
      <c r="Q179" s="3" t="n">
        <f aca="false">IF(P179&gt;0,ROUNDUP(P179/Parametres!$B$7,0)+1,0)</f>
        <v>0</v>
      </c>
    </row>
    <row r="180" customFormat="false" ht="15" hidden="false" customHeight="false" outlineLevel="0" collapsed="false">
      <c r="A180" s="2" t="n">
        <v>46261</v>
      </c>
      <c r="B180" s="3" t="n">
        <f aca="false">SUMIFS(Equipes!$D$2:$D$60,Equipes!$A$2:$A$60,"LOT-01",Equipes!$B$2:$B$60,"&lt;="&amp;$A180,Equipes!$C$2:$C$60,"&gt;="&amp;$A180)</f>
        <v>0</v>
      </c>
      <c r="C180" s="3" t="n">
        <f aca="false">IF(B180&gt;0,ROUNDUP(B180/Parametres!$B$7,0)+1,0)</f>
        <v>0</v>
      </c>
      <c r="D180" s="3" t="n">
        <f aca="false">SUMIFS(Equipes!$D$2:$D$60,Equipes!$A$2:$A$60,"LOT-02",Equipes!$B$2:$B$60,"&lt;="&amp;$A180,Equipes!$C$2:$C$60,"&gt;="&amp;$A180)</f>
        <v>0</v>
      </c>
      <c r="E180" s="3" t="n">
        <f aca="false">IF(D180&gt;0,ROUNDUP(D180/Parametres!$B$7,0)+1,0)</f>
        <v>0</v>
      </c>
      <c r="F180" s="3" t="n">
        <f aca="false">SUMIFS(Equipes!$D$2:$D$60,Equipes!$A$2:$A$60,"LOT-03",Equipes!$B$2:$B$60,"&lt;="&amp;$A180,Equipes!$C$2:$C$60,"&gt;="&amp;$A180)</f>
        <v>0</v>
      </c>
      <c r="G180" s="3" t="n">
        <f aca="false">IF(F180&gt;0,ROUNDUP(F180/Parametres!$B$7,0)+1,0)</f>
        <v>0</v>
      </c>
      <c r="H180" s="3" t="n">
        <f aca="false">SUMIFS(Equipes!$D$2:$D$60,Equipes!$A$2:$A$60,"LOT-04",Equipes!$B$2:$B$60,"&lt;="&amp;$A180,Equipes!$C$2:$C$60,"&gt;="&amp;$A180)</f>
        <v>38</v>
      </c>
      <c r="I180" s="3" t="n">
        <f aca="false">IF(H180&gt;0,ROUNDUP(H180/Parametres!$B$7,0)+1,0)</f>
        <v>5</v>
      </c>
      <c r="J180" s="3" t="n">
        <f aca="false">SUMIFS(Equipes!$D$2:$D$60,Equipes!$A$2:$A$60,"LOT-05",Equipes!$B$2:$B$60,"&lt;="&amp;$A180,Equipes!$C$2:$C$60,"&gt;="&amp;$A180)</f>
        <v>0</v>
      </c>
      <c r="K180" s="3" t="n">
        <f aca="false">IF(J180&gt;0,ROUNDUP(J180/Parametres!$B$7,0)+1,0)</f>
        <v>0</v>
      </c>
      <c r="L180" s="3" t="n">
        <f aca="false">SUMIFS(Equipes!$D$2:$D$60,Equipes!$A$2:$A$60,"LOT-06",Equipes!$B$2:$B$60,"&lt;="&amp;$A180,Equipes!$C$2:$C$60,"&gt;="&amp;$A180)</f>
        <v>10</v>
      </c>
      <c r="M180" s="3" t="n">
        <f aca="false">IF(L180&gt;0,ROUNDUP(L180/Parametres!$B$7,0)+1,0)</f>
        <v>2</v>
      </c>
      <c r="N180" s="3" t="n">
        <f aca="false">SUMIFS(Equipes!$D$2:$D$60,Equipes!$A$2:$A$60,"LOT-07",Equipes!$B$2:$B$60,"&lt;="&amp;$A180,Equipes!$C$2:$C$60,"&gt;="&amp;$A180)</f>
        <v>0</v>
      </c>
      <c r="O180" s="3" t="n">
        <f aca="false">IF(N180&gt;0,ROUNDUP(N180/Parametres!$B$7,0)+1,0)</f>
        <v>0</v>
      </c>
      <c r="P180" s="3" t="n">
        <f aca="false">SUMIFS(Equipes!$D$2:$D$60,Equipes!$A$2:$A$60,"LOT-08",Equipes!$B$2:$B$60,"&lt;="&amp;$A180,Equipes!$C$2:$C$60,"&gt;="&amp;$A180)</f>
        <v>0</v>
      </c>
      <c r="Q180" s="3" t="n">
        <f aca="false">IF(P180&gt;0,ROUNDUP(P180/Parametres!$B$7,0)+1,0)</f>
        <v>0</v>
      </c>
    </row>
    <row r="181" customFormat="false" ht="15" hidden="false" customHeight="false" outlineLevel="0" collapsed="false">
      <c r="A181" s="2" t="n">
        <v>46262</v>
      </c>
      <c r="B181" s="3" t="n">
        <f aca="false">SUMIFS(Equipes!$D$2:$D$60,Equipes!$A$2:$A$60,"LOT-01",Equipes!$B$2:$B$60,"&lt;="&amp;$A181,Equipes!$C$2:$C$60,"&gt;="&amp;$A181)</f>
        <v>0</v>
      </c>
      <c r="C181" s="3" t="n">
        <f aca="false">IF(B181&gt;0,ROUNDUP(B181/Parametres!$B$7,0)+1,0)</f>
        <v>0</v>
      </c>
      <c r="D181" s="3" t="n">
        <f aca="false">SUMIFS(Equipes!$D$2:$D$60,Equipes!$A$2:$A$60,"LOT-02",Equipes!$B$2:$B$60,"&lt;="&amp;$A181,Equipes!$C$2:$C$60,"&gt;="&amp;$A181)</f>
        <v>0</v>
      </c>
      <c r="E181" s="3" t="n">
        <f aca="false">IF(D181&gt;0,ROUNDUP(D181/Parametres!$B$7,0)+1,0)</f>
        <v>0</v>
      </c>
      <c r="F181" s="3" t="n">
        <f aca="false">SUMIFS(Equipes!$D$2:$D$60,Equipes!$A$2:$A$60,"LOT-03",Equipes!$B$2:$B$60,"&lt;="&amp;$A181,Equipes!$C$2:$C$60,"&gt;="&amp;$A181)</f>
        <v>0</v>
      </c>
      <c r="G181" s="3" t="n">
        <f aca="false">IF(F181&gt;0,ROUNDUP(F181/Parametres!$B$7,0)+1,0)</f>
        <v>0</v>
      </c>
      <c r="H181" s="3" t="n">
        <f aca="false">SUMIFS(Equipes!$D$2:$D$60,Equipes!$A$2:$A$60,"LOT-04",Equipes!$B$2:$B$60,"&lt;="&amp;$A181,Equipes!$C$2:$C$60,"&gt;="&amp;$A181)</f>
        <v>38</v>
      </c>
      <c r="I181" s="3" t="n">
        <f aca="false">IF(H181&gt;0,ROUNDUP(H181/Parametres!$B$7,0)+1,0)</f>
        <v>5</v>
      </c>
      <c r="J181" s="3" t="n">
        <f aca="false">SUMIFS(Equipes!$D$2:$D$60,Equipes!$A$2:$A$60,"LOT-05",Equipes!$B$2:$B$60,"&lt;="&amp;$A181,Equipes!$C$2:$C$60,"&gt;="&amp;$A181)</f>
        <v>0</v>
      </c>
      <c r="K181" s="3" t="n">
        <f aca="false">IF(J181&gt;0,ROUNDUP(J181/Parametres!$B$7,0)+1,0)</f>
        <v>0</v>
      </c>
      <c r="L181" s="3" t="n">
        <f aca="false">SUMIFS(Equipes!$D$2:$D$60,Equipes!$A$2:$A$60,"LOT-06",Equipes!$B$2:$B$60,"&lt;="&amp;$A181,Equipes!$C$2:$C$60,"&gt;="&amp;$A181)</f>
        <v>10</v>
      </c>
      <c r="M181" s="3" t="n">
        <f aca="false">IF(L181&gt;0,ROUNDUP(L181/Parametres!$B$7,0)+1,0)</f>
        <v>2</v>
      </c>
      <c r="N181" s="3" t="n">
        <f aca="false">SUMIFS(Equipes!$D$2:$D$60,Equipes!$A$2:$A$60,"LOT-07",Equipes!$B$2:$B$60,"&lt;="&amp;$A181,Equipes!$C$2:$C$60,"&gt;="&amp;$A181)</f>
        <v>0</v>
      </c>
      <c r="O181" s="3" t="n">
        <f aca="false">IF(N181&gt;0,ROUNDUP(N181/Parametres!$B$7,0)+1,0)</f>
        <v>0</v>
      </c>
      <c r="P181" s="3" t="n">
        <f aca="false">SUMIFS(Equipes!$D$2:$D$60,Equipes!$A$2:$A$60,"LOT-08",Equipes!$B$2:$B$60,"&lt;="&amp;$A181,Equipes!$C$2:$C$60,"&gt;="&amp;$A181)</f>
        <v>0</v>
      </c>
      <c r="Q181" s="3" t="n">
        <f aca="false">IF(P181&gt;0,ROUNDUP(P181/Parametres!$B$7,0)+1,0)</f>
        <v>0</v>
      </c>
    </row>
    <row r="182" customFormat="false" ht="15" hidden="false" customHeight="false" outlineLevel="0" collapsed="false">
      <c r="A182" s="2" t="n">
        <v>46263</v>
      </c>
      <c r="B182" s="3" t="n">
        <f aca="false">SUMIFS(Equipes!$D$2:$D$60,Equipes!$A$2:$A$60,"LOT-01",Equipes!$B$2:$B$60,"&lt;="&amp;$A182,Equipes!$C$2:$C$60,"&gt;="&amp;$A182)</f>
        <v>0</v>
      </c>
      <c r="C182" s="3" t="n">
        <f aca="false">IF(B182&gt;0,ROUNDUP(B182/Parametres!$B$7,0)+1,0)</f>
        <v>0</v>
      </c>
      <c r="D182" s="3" t="n">
        <f aca="false">SUMIFS(Equipes!$D$2:$D$60,Equipes!$A$2:$A$60,"LOT-02",Equipes!$B$2:$B$60,"&lt;="&amp;$A182,Equipes!$C$2:$C$60,"&gt;="&amp;$A182)</f>
        <v>0</v>
      </c>
      <c r="E182" s="3" t="n">
        <f aca="false">IF(D182&gt;0,ROUNDUP(D182/Parametres!$B$7,0)+1,0)</f>
        <v>0</v>
      </c>
      <c r="F182" s="3" t="n">
        <f aca="false">SUMIFS(Equipes!$D$2:$D$60,Equipes!$A$2:$A$60,"LOT-03",Equipes!$B$2:$B$60,"&lt;="&amp;$A182,Equipes!$C$2:$C$60,"&gt;="&amp;$A182)</f>
        <v>0</v>
      </c>
      <c r="G182" s="3" t="n">
        <f aca="false">IF(F182&gt;0,ROUNDUP(F182/Parametres!$B$7,0)+1,0)</f>
        <v>0</v>
      </c>
      <c r="H182" s="3" t="n">
        <f aca="false">SUMIFS(Equipes!$D$2:$D$60,Equipes!$A$2:$A$60,"LOT-04",Equipes!$B$2:$B$60,"&lt;="&amp;$A182,Equipes!$C$2:$C$60,"&gt;="&amp;$A182)</f>
        <v>38</v>
      </c>
      <c r="I182" s="3" t="n">
        <f aca="false">IF(H182&gt;0,ROUNDUP(H182/Parametres!$B$7,0)+1,0)</f>
        <v>5</v>
      </c>
      <c r="J182" s="3" t="n">
        <f aca="false">SUMIFS(Equipes!$D$2:$D$60,Equipes!$A$2:$A$60,"LOT-05",Equipes!$B$2:$B$60,"&lt;="&amp;$A182,Equipes!$C$2:$C$60,"&gt;="&amp;$A182)</f>
        <v>0</v>
      </c>
      <c r="K182" s="3" t="n">
        <f aca="false">IF(J182&gt;0,ROUNDUP(J182/Parametres!$B$7,0)+1,0)</f>
        <v>0</v>
      </c>
      <c r="L182" s="3" t="n">
        <f aca="false">SUMIFS(Equipes!$D$2:$D$60,Equipes!$A$2:$A$60,"LOT-06",Equipes!$B$2:$B$60,"&lt;="&amp;$A182,Equipes!$C$2:$C$60,"&gt;="&amp;$A182)</f>
        <v>10</v>
      </c>
      <c r="M182" s="3" t="n">
        <f aca="false">IF(L182&gt;0,ROUNDUP(L182/Parametres!$B$7,0)+1,0)</f>
        <v>2</v>
      </c>
      <c r="N182" s="3" t="n">
        <f aca="false">SUMIFS(Equipes!$D$2:$D$60,Equipes!$A$2:$A$60,"LOT-07",Equipes!$B$2:$B$60,"&lt;="&amp;$A182,Equipes!$C$2:$C$60,"&gt;="&amp;$A182)</f>
        <v>10</v>
      </c>
      <c r="O182" s="3" t="n">
        <f aca="false">IF(N182&gt;0,ROUNDUP(N182/Parametres!$B$7,0)+1,0)</f>
        <v>2</v>
      </c>
      <c r="P182" s="3" t="n">
        <f aca="false">SUMIFS(Equipes!$D$2:$D$60,Equipes!$A$2:$A$60,"LOT-08",Equipes!$B$2:$B$60,"&lt;="&amp;$A182,Equipes!$C$2:$C$60,"&gt;="&amp;$A182)</f>
        <v>0</v>
      </c>
      <c r="Q182" s="3" t="n">
        <f aca="false">IF(P182&gt;0,ROUNDUP(P182/Parametres!$B$7,0)+1,0)</f>
        <v>0</v>
      </c>
    </row>
    <row r="183" customFormat="false" ht="15" hidden="false" customHeight="false" outlineLevel="0" collapsed="false">
      <c r="A183" s="2" t="n">
        <v>46264</v>
      </c>
      <c r="B183" s="3" t="n">
        <f aca="false">SUMIFS(Equipes!$D$2:$D$60,Equipes!$A$2:$A$60,"LOT-01",Equipes!$B$2:$B$60,"&lt;="&amp;$A183,Equipes!$C$2:$C$60,"&gt;="&amp;$A183)</f>
        <v>0</v>
      </c>
      <c r="C183" s="3" t="n">
        <f aca="false">IF(B183&gt;0,ROUNDUP(B183/Parametres!$B$7,0)+1,0)</f>
        <v>0</v>
      </c>
      <c r="D183" s="3" t="n">
        <f aca="false">SUMIFS(Equipes!$D$2:$D$60,Equipes!$A$2:$A$60,"LOT-02",Equipes!$B$2:$B$60,"&lt;="&amp;$A183,Equipes!$C$2:$C$60,"&gt;="&amp;$A183)</f>
        <v>0</v>
      </c>
      <c r="E183" s="3" t="n">
        <f aca="false">IF(D183&gt;0,ROUNDUP(D183/Parametres!$B$7,0)+1,0)</f>
        <v>0</v>
      </c>
      <c r="F183" s="3" t="n">
        <f aca="false">SUMIFS(Equipes!$D$2:$D$60,Equipes!$A$2:$A$60,"LOT-03",Equipes!$B$2:$B$60,"&lt;="&amp;$A183,Equipes!$C$2:$C$60,"&gt;="&amp;$A183)</f>
        <v>0</v>
      </c>
      <c r="G183" s="3" t="n">
        <f aca="false">IF(F183&gt;0,ROUNDUP(F183/Parametres!$B$7,0)+1,0)</f>
        <v>0</v>
      </c>
      <c r="H183" s="3" t="n">
        <f aca="false">SUMIFS(Equipes!$D$2:$D$60,Equipes!$A$2:$A$60,"LOT-04",Equipes!$B$2:$B$60,"&lt;="&amp;$A183,Equipes!$C$2:$C$60,"&gt;="&amp;$A183)</f>
        <v>38</v>
      </c>
      <c r="I183" s="3" t="n">
        <f aca="false">IF(H183&gt;0,ROUNDUP(H183/Parametres!$B$7,0)+1,0)</f>
        <v>5</v>
      </c>
      <c r="J183" s="3" t="n">
        <f aca="false">SUMIFS(Equipes!$D$2:$D$60,Equipes!$A$2:$A$60,"LOT-05",Equipes!$B$2:$B$60,"&lt;="&amp;$A183,Equipes!$C$2:$C$60,"&gt;="&amp;$A183)</f>
        <v>0</v>
      </c>
      <c r="K183" s="3" t="n">
        <f aca="false">IF(J183&gt;0,ROUNDUP(J183/Parametres!$B$7,0)+1,0)</f>
        <v>0</v>
      </c>
      <c r="L183" s="3" t="n">
        <f aca="false">SUMIFS(Equipes!$D$2:$D$60,Equipes!$A$2:$A$60,"LOT-06",Equipes!$B$2:$B$60,"&lt;="&amp;$A183,Equipes!$C$2:$C$60,"&gt;="&amp;$A183)</f>
        <v>10</v>
      </c>
      <c r="M183" s="3" t="n">
        <f aca="false">IF(L183&gt;0,ROUNDUP(L183/Parametres!$B$7,0)+1,0)</f>
        <v>2</v>
      </c>
      <c r="N183" s="3" t="n">
        <f aca="false">SUMIFS(Equipes!$D$2:$D$60,Equipes!$A$2:$A$60,"LOT-07",Equipes!$B$2:$B$60,"&lt;="&amp;$A183,Equipes!$C$2:$C$60,"&gt;="&amp;$A183)</f>
        <v>10</v>
      </c>
      <c r="O183" s="3" t="n">
        <f aca="false">IF(N183&gt;0,ROUNDUP(N183/Parametres!$B$7,0)+1,0)</f>
        <v>2</v>
      </c>
      <c r="P183" s="3" t="n">
        <f aca="false">SUMIFS(Equipes!$D$2:$D$60,Equipes!$A$2:$A$60,"LOT-08",Equipes!$B$2:$B$60,"&lt;="&amp;$A183,Equipes!$C$2:$C$60,"&gt;="&amp;$A183)</f>
        <v>0</v>
      </c>
      <c r="Q183" s="3" t="n">
        <f aca="false">IF(P183&gt;0,ROUNDUP(P183/Parametres!$B$7,0)+1,0)</f>
        <v>0</v>
      </c>
    </row>
    <row r="184" customFormat="false" ht="15" hidden="false" customHeight="false" outlineLevel="0" collapsed="false">
      <c r="A184" s="2" t="n">
        <v>46265</v>
      </c>
      <c r="B184" s="3" t="n">
        <f aca="false">SUMIFS(Equipes!$D$2:$D$60,Equipes!$A$2:$A$60,"LOT-01",Equipes!$B$2:$B$60,"&lt;="&amp;$A184,Equipes!$C$2:$C$60,"&gt;="&amp;$A184)</f>
        <v>0</v>
      </c>
      <c r="C184" s="3" t="n">
        <f aca="false">IF(B184&gt;0,ROUNDUP(B184/Parametres!$B$7,0)+1,0)</f>
        <v>0</v>
      </c>
      <c r="D184" s="3" t="n">
        <f aca="false">SUMIFS(Equipes!$D$2:$D$60,Equipes!$A$2:$A$60,"LOT-02",Equipes!$B$2:$B$60,"&lt;="&amp;$A184,Equipes!$C$2:$C$60,"&gt;="&amp;$A184)</f>
        <v>0</v>
      </c>
      <c r="E184" s="3" t="n">
        <f aca="false">IF(D184&gt;0,ROUNDUP(D184/Parametres!$B$7,0)+1,0)</f>
        <v>0</v>
      </c>
      <c r="F184" s="3" t="n">
        <f aca="false">SUMIFS(Equipes!$D$2:$D$60,Equipes!$A$2:$A$60,"LOT-03",Equipes!$B$2:$B$60,"&lt;="&amp;$A184,Equipes!$C$2:$C$60,"&gt;="&amp;$A184)</f>
        <v>0</v>
      </c>
      <c r="G184" s="3" t="n">
        <f aca="false">IF(F184&gt;0,ROUNDUP(F184/Parametres!$B$7,0)+1,0)</f>
        <v>0</v>
      </c>
      <c r="H184" s="3" t="n">
        <f aca="false">SUMIFS(Equipes!$D$2:$D$60,Equipes!$A$2:$A$60,"LOT-04",Equipes!$B$2:$B$60,"&lt;="&amp;$A184,Equipes!$C$2:$C$60,"&gt;="&amp;$A184)</f>
        <v>24</v>
      </c>
      <c r="I184" s="3" t="n">
        <f aca="false">IF(H184&gt;0,ROUNDUP(H184/Parametres!$B$7,0)+1,0)</f>
        <v>3</v>
      </c>
      <c r="J184" s="3" t="n">
        <f aca="false">SUMIFS(Equipes!$D$2:$D$60,Equipes!$A$2:$A$60,"LOT-05",Equipes!$B$2:$B$60,"&lt;="&amp;$A184,Equipes!$C$2:$C$60,"&gt;="&amp;$A184)</f>
        <v>0</v>
      </c>
      <c r="K184" s="3" t="n">
        <f aca="false">IF(J184&gt;0,ROUNDUP(J184/Parametres!$B$7,0)+1,0)</f>
        <v>0</v>
      </c>
      <c r="L184" s="3" t="n">
        <f aca="false">SUMIFS(Equipes!$D$2:$D$60,Equipes!$A$2:$A$60,"LOT-06",Equipes!$B$2:$B$60,"&lt;="&amp;$A184,Equipes!$C$2:$C$60,"&gt;="&amp;$A184)</f>
        <v>10</v>
      </c>
      <c r="M184" s="3" t="n">
        <f aca="false">IF(L184&gt;0,ROUNDUP(L184/Parametres!$B$7,0)+1,0)</f>
        <v>2</v>
      </c>
      <c r="N184" s="3" t="n">
        <f aca="false">SUMIFS(Equipes!$D$2:$D$60,Equipes!$A$2:$A$60,"LOT-07",Equipes!$B$2:$B$60,"&lt;="&amp;$A184,Equipes!$C$2:$C$60,"&gt;="&amp;$A184)</f>
        <v>10</v>
      </c>
      <c r="O184" s="3" t="n">
        <f aca="false">IF(N184&gt;0,ROUNDUP(N184/Parametres!$B$7,0)+1,0)</f>
        <v>2</v>
      </c>
      <c r="P184" s="3" t="n">
        <f aca="false">SUMIFS(Equipes!$D$2:$D$60,Equipes!$A$2:$A$60,"LOT-08",Equipes!$B$2:$B$60,"&lt;="&amp;$A184,Equipes!$C$2:$C$60,"&gt;="&amp;$A184)</f>
        <v>0</v>
      </c>
      <c r="Q184" s="3" t="n">
        <f aca="false">IF(P184&gt;0,ROUNDUP(P184/Parametres!$B$7,0)+1,0)</f>
        <v>0</v>
      </c>
    </row>
    <row r="185" customFormat="false" ht="15" hidden="false" customHeight="false" outlineLevel="0" collapsed="false">
      <c r="A185" s="2" t="n">
        <v>46266</v>
      </c>
      <c r="B185" s="3" t="n">
        <f aca="false">SUMIFS(Equipes!$D$2:$D$60,Equipes!$A$2:$A$60,"LOT-01",Equipes!$B$2:$B$60,"&lt;="&amp;$A185,Equipes!$C$2:$C$60,"&gt;="&amp;$A185)</f>
        <v>0</v>
      </c>
      <c r="C185" s="3" t="n">
        <f aca="false">IF(B185&gt;0,ROUNDUP(B185/Parametres!$B$7,0)+1,0)</f>
        <v>0</v>
      </c>
      <c r="D185" s="3" t="n">
        <f aca="false">SUMIFS(Equipes!$D$2:$D$60,Equipes!$A$2:$A$60,"LOT-02",Equipes!$B$2:$B$60,"&lt;="&amp;$A185,Equipes!$C$2:$C$60,"&gt;="&amp;$A185)</f>
        <v>0</v>
      </c>
      <c r="E185" s="3" t="n">
        <f aca="false">IF(D185&gt;0,ROUNDUP(D185/Parametres!$B$7,0)+1,0)</f>
        <v>0</v>
      </c>
      <c r="F185" s="3" t="n">
        <f aca="false">SUMIFS(Equipes!$D$2:$D$60,Equipes!$A$2:$A$60,"LOT-03",Equipes!$B$2:$B$60,"&lt;="&amp;$A185,Equipes!$C$2:$C$60,"&gt;="&amp;$A185)</f>
        <v>0</v>
      </c>
      <c r="G185" s="3" t="n">
        <f aca="false">IF(F185&gt;0,ROUNDUP(F185/Parametres!$B$7,0)+1,0)</f>
        <v>0</v>
      </c>
      <c r="H185" s="3" t="n">
        <f aca="false">SUMIFS(Equipes!$D$2:$D$60,Equipes!$A$2:$A$60,"LOT-04",Equipes!$B$2:$B$60,"&lt;="&amp;$A185,Equipes!$C$2:$C$60,"&gt;="&amp;$A185)</f>
        <v>24</v>
      </c>
      <c r="I185" s="3" t="n">
        <f aca="false">IF(H185&gt;0,ROUNDUP(H185/Parametres!$B$7,0)+1,0)</f>
        <v>3</v>
      </c>
      <c r="J185" s="3" t="n">
        <f aca="false">SUMIFS(Equipes!$D$2:$D$60,Equipes!$A$2:$A$60,"LOT-05",Equipes!$B$2:$B$60,"&lt;="&amp;$A185,Equipes!$C$2:$C$60,"&gt;="&amp;$A185)</f>
        <v>0</v>
      </c>
      <c r="K185" s="3" t="n">
        <f aca="false">IF(J185&gt;0,ROUNDUP(J185/Parametres!$B$7,0)+1,0)</f>
        <v>0</v>
      </c>
      <c r="L185" s="3" t="n">
        <f aca="false">SUMIFS(Equipes!$D$2:$D$60,Equipes!$A$2:$A$60,"LOT-06",Equipes!$B$2:$B$60,"&lt;="&amp;$A185,Equipes!$C$2:$C$60,"&gt;="&amp;$A185)</f>
        <v>10</v>
      </c>
      <c r="M185" s="3" t="n">
        <f aca="false">IF(L185&gt;0,ROUNDUP(L185/Parametres!$B$7,0)+1,0)</f>
        <v>2</v>
      </c>
      <c r="N185" s="3" t="n">
        <f aca="false">SUMIFS(Equipes!$D$2:$D$60,Equipes!$A$2:$A$60,"LOT-07",Equipes!$B$2:$B$60,"&lt;="&amp;$A185,Equipes!$C$2:$C$60,"&gt;="&amp;$A185)</f>
        <v>10</v>
      </c>
      <c r="O185" s="3" t="n">
        <f aca="false">IF(N185&gt;0,ROUNDUP(N185/Parametres!$B$7,0)+1,0)</f>
        <v>2</v>
      </c>
      <c r="P185" s="3" t="n">
        <f aca="false">SUMIFS(Equipes!$D$2:$D$60,Equipes!$A$2:$A$60,"LOT-08",Equipes!$B$2:$B$60,"&lt;="&amp;$A185,Equipes!$C$2:$C$60,"&gt;="&amp;$A185)</f>
        <v>0</v>
      </c>
      <c r="Q185" s="3" t="n">
        <f aca="false">IF(P185&gt;0,ROUNDUP(P185/Parametres!$B$7,0)+1,0)</f>
        <v>0</v>
      </c>
    </row>
    <row r="186" customFormat="false" ht="15" hidden="false" customHeight="false" outlineLevel="0" collapsed="false">
      <c r="A186" s="2" t="n">
        <v>46267</v>
      </c>
      <c r="B186" s="3" t="n">
        <f aca="false">SUMIFS(Equipes!$D$2:$D$60,Equipes!$A$2:$A$60,"LOT-01",Equipes!$B$2:$B$60,"&lt;="&amp;$A186,Equipes!$C$2:$C$60,"&gt;="&amp;$A186)</f>
        <v>0</v>
      </c>
      <c r="C186" s="3" t="n">
        <f aca="false">IF(B186&gt;0,ROUNDUP(B186/Parametres!$B$7,0)+1,0)</f>
        <v>0</v>
      </c>
      <c r="D186" s="3" t="n">
        <f aca="false">SUMIFS(Equipes!$D$2:$D$60,Equipes!$A$2:$A$60,"LOT-02",Equipes!$B$2:$B$60,"&lt;="&amp;$A186,Equipes!$C$2:$C$60,"&gt;="&amp;$A186)</f>
        <v>0</v>
      </c>
      <c r="E186" s="3" t="n">
        <f aca="false">IF(D186&gt;0,ROUNDUP(D186/Parametres!$B$7,0)+1,0)</f>
        <v>0</v>
      </c>
      <c r="F186" s="3" t="n">
        <f aca="false">SUMIFS(Equipes!$D$2:$D$60,Equipes!$A$2:$A$60,"LOT-03",Equipes!$B$2:$B$60,"&lt;="&amp;$A186,Equipes!$C$2:$C$60,"&gt;="&amp;$A186)</f>
        <v>0</v>
      </c>
      <c r="G186" s="3" t="n">
        <f aca="false">IF(F186&gt;0,ROUNDUP(F186/Parametres!$B$7,0)+1,0)</f>
        <v>0</v>
      </c>
      <c r="H186" s="3" t="n">
        <f aca="false">SUMIFS(Equipes!$D$2:$D$60,Equipes!$A$2:$A$60,"LOT-04",Equipes!$B$2:$B$60,"&lt;="&amp;$A186,Equipes!$C$2:$C$60,"&gt;="&amp;$A186)</f>
        <v>24</v>
      </c>
      <c r="I186" s="3" t="n">
        <f aca="false">IF(H186&gt;0,ROUNDUP(H186/Parametres!$B$7,0)+1,0)</f>
        <v>3</v>
      </c>
      <c r="J186" s="3" t="n">
        <f aca="false">SUMIFS(Equipes!$D$2:$D$60,Equipes!$A$2:$A$60,"LOT-05",Equipes!$B$2:$B$60,"&lt;="&amp;$A186,Equipes!$C$2:$C$60,"&gt;="&amp;$A186)</f>
        <v>0</v>
      </c>
      <c r="K186" s="3" t="n">
        <f aca="false">IF(J186&gt;0,ROUNDUP(J186/Parametres!$B$7,0)+1,0)</f>
        <v>0</v>
      </c>
      <c r="L186" s="3" t="n">
        <f aca="false">SUMIFS(Equipes!$D$2:$D$60,Equipes!$A$2:$A$60,"LOT-06",Equipes!$B$2:$B$60,"&lt;="&amp;$A186,Equipes!$C$2:$C$60,"&gt;="&amp;$A186)</f>
        <v>10</v>
      </c>
      <c r="M186" s="3" t="n">
        <f aca="false">IF(L186&gt;0,ROUNDUP(L186/Parametres!$B$7,0)+1,0)</f>
        <v>2</v>
      </c>
      <c r="N186" s="3" t="n">
        <f aca="false">SUMIFS(Equipes!$D$2:$D$60,Equipes!$A$2:$A$60,"LOT-07",Equipes!$B$2:$B$60,"&lt;="&amp;$A186,Equipes!$C$2:$C$60,"&gt;="&amp;$A186)</f>
        <v>20</v>
      </c>
      <c r="O186" s="3" t="n">
        <f aca="false">IF(N186&gt;0,ROUNDUP(N186/Parametres!$B$7,0)+1,0)</f>
        <v>3</v>
      </c>
      <c r="P186" s="3" t="n">
        <f aca="false">SUMIFS(Equipes!$D$2:$D$60,Equipes!$A$2:$A$60,"LOT-08",Equipes!$B$2:$B$60,"&lt;="&amp;$A186,Equipes!$C$2:$C$60,"&gt;="&amp;$A186)</f>
        <v>0</v>
      </c>
      <c r="Q186" s="3" t="n">
        <f aca="false">IF(P186&gt;0,ROUNDUP(P186/Parametres!$B$7,0)+1,0)</f>
        <v>0</v>
      </c>
    </row>
    <row r="187" customFormat="false" ht="15" hidden="false" customHeight="false" outlineLevel="0" collapsed="false">
      <c r="A187" s="2" t="n">
        <v>46268</v>
      </c>
      <c r="B187" s="3" t="n">
        <f aca="false">SUMIFS(Equipes!$D$2:$D$60,Equipes!$A$2:$A$60,"LOT-01",Equipes!$B$2:$B$60,"&lt;="&amp;$A187,Equipes!$C$2:$C$60,"&gt;="&amp;$A187)</f>
        <v>0</v>
      </c>
      <c r="C187" s="3" t="n">
        <f aca="false">IF(B187&gt;0,ROUNDUP(B187/Parametres!$B$7,0)+1,0)</f>
        <v>0</v>
      </c>
      <c r="D187" s="3" t="n">
        <f aca="false">SUMIFS(Equipes!$D$2:$D$60,Equipes!$A$2:$A$60,"LOT-02",Equipes!$B$2:$B$60,"&lt;="&amp;$A187,Equipes!$C$2:$C$60,"&gt;="&amp;$A187)</f>
        <v>0</v>
      </c>
      <c r="E187" s="3" t="n">
        <f aca="false">IF(D187&gt;0,ROUNDUP(D187/Parametres!$B$7,0)+1,0)</f>
        <v>0</v>
      </c>
      <c r="F187" s="3" t="n">
        <f aca="false">SUMIFS(Equipes!$D$2:$D$60,Equipes!$A$2:$A$60,"LOT-03",Equipes!$B$2:$B$60,"&lt;="&amp;$A187,Equipes!$C$2:$C$60,"&gt;="&amp;$A187)</f>
        <v>0</v>
      </c>
      <c r="G187" s="3" t="n">
        <f aca="false">IF(F187&gt;0,ROUNDUP(F187/Parametres!$B$7,0)+1,0)</f>
        <v>0</v>
      </c>
      <c r="H187" s="3" t="n">
        <f aca="false">SUMIFS(Equipes!$D$2:$D$60,Equipes!$A$2:$A$60,"LOT-04",Equipes!$B$2:$B$60,"&lt;="&amp;$A187,Equipes!$C$2:$C$60,"&gt;="&amp;$A187)</f>
        <v>24</v>
      </c>
      <c r="I187" s="3" t="n">
        <f aca="false">IF(H187&gt;0,ROUNDUP(H187/Parametres!$B$7,0)+1,0)</f>
        <v>3</v>
      </c>
      <c r="J187" s="3" t="n">
        <f aca="false">SUMIFS(Equipes!$D$2:$D$60,Equipes!$A$2:$A$60,"LOT-05",Equipes!$B$2:$B$60,"&lt;="&amp;$A187,Equipes!$C$2:$C$60,"&gt;="&amp;$A187)</f>
        <v>0</v>
      </c>
      <c r="K187" s="3" t="n">
        <f aca="false">IF(J187&gt;0,ROUNDUP(J187/Parametres!$B$7,0)+1,0)</f>
        <v>0</v>
      </c>
      <c r="L187" s="3" t="n">
        <f aca="false">SUMIFS(Equipes!$D$2:$D$60,Equipes!$A$2:$A$60,"LOT-06",Equipes!$B$2:$B$60,"&lt;="&amp;$A187,Equipes!$C$2:$C$60,"&gt;="&amp;$A187)</f>
        <v>10</v>
      </c>
      <c r="M187" s="3" t="n">
        <f aca="false">IF(L187&gt;0,ROUNDUP(L187/Parametres!$B$7,0)+1,0)</f>
        <v>2</v>
      </c>
      <c r="N187" s="3" t="n">
        <f aca="false">SUMIFS(Equipes!$D$2:$D$60,Equipes!$A$2:$A$60,"LOT-07",Equipes!$B$2:$B$60,"&lt;="&amp;$A187,Equipes!$C$2:$C$60,"&gt;="&amp;$A187)</f>
        <v>20</v>
      </c>
      <c r="O187" s="3" t="n">
        <f aca="false">IF(N187&gt;0,ROUNDUP(N187/Parametres!$B$7,0)+1,0)</f>
        <v>3</v>
      </c>
      <c r="P187" s="3" t="n">
        <f aca="false">SUMIFS(Equipes!$D$2:$D$60,Equipes!$A$2:$A$60,"LOT-08",Equipes!$B$2:$B$60,"&lt;="&amp;$A187,Equipes!$C$2:$C$60,"&gt;="&amp;$A187)</f>
        <v>0</v>
      </c>
      <c r="Q187" s="3" t="n">
        <f aca="false">IF(P187&gt;0,ROUNDUP(P187/Parametres!$B$7,0)+1,0)</f>
        <v>0</v>
      </c>
    </row>
    <row r="188" customFormat="false" ht="15" hidden="false" customHeight="false" outlineLevel="0" collapsed="false">
      <c r="A188" s="2" t="n">
        <v>46269</v>
      </c>
      <c r="B188" s="3" t="n">
        <f aca="false">SUMIFS(Equipes!$D$2:$D$60,Equipes!$A$2:$A$60,"LOT-01",Equipes!$B$2:$B$60,"&lt;="&amp;$A188,Equipes!$C$2:$C$60,"&gt;="&amp;$A188)</f>
        <v>0</v>
      </c>
      <c r="C188" s="3" t="n">
        <f aca="false">IF(B188&gt;0,ROUNDUP(B188/Parametres!$B$7,0)+1,0)</f>
        <v>0</v>
      </c>
      <c r="D188" s="3" t="n">
        <f aca="false">SUMIFS(Equipes!$D$2:$D$60,Equipes!$A$2:$A$60,"LOT-02",Equipes!$B$2:$B$60,"&lt;="&amp;$A188,Equipes!$C$2:$C$60,"&gt;="&amp;$A188)</f>
        <v>0</v>
      </c>
      <c r="E188" s="3" t="n">
        <f aca="false">IF(D188&gt;0,ROUNDUP(D188/Parametres!$B$7,0)+1,0)</f>
        <v>0</v>
      </c>
      <c r="F188" s="3" t="n">
        <f aca="false">SUMIFS(Equipes!$D$2:$D$60,Equipes!$A$2:$A$60,"LOT-03",Equipes!$B$2:$B$60,"&lt;="&amp;$A188,Equipes!$C$2:$C$60,"&gt;="&amp;$A188)</f>
        <v>0</v>
      </c>
      <c r="G188" s="3" t="n">
        <f aca="false">IF(F188&gt;0,ROUNDUP(F188/Parametres!$B$7,0)+1,0)</f>
        <v>0</v>
      </c>
      <c r="H188" s="3" t="n">
        <f aca="false">SUMIFS(Equipes!$D$2:$D$60,Equipes!$A$2:$A$60,"LOT-04",Equipes!$B$2:$B$60,"&lt;="&amp;$A188,Equipes!$C$2:$C$60,"&gt;="&amp;$A188)</f>
        <v>24</v>
      </c>
      <c r="I188" s="3" t="n">
        <f aca="false">IF(H188&gt;0,ROUNDUP(H188/Parametres!$B$7,0)+1,0)</f>
        <v>3</v>
      </c>
      <c r="J188" s="3" t="n">
        <f aca="false">SUMIFS(Equipes!$D$2:$D$60,Equipes!$A$2:$A$60,"LOT-05",Equipes!$B$2:$B$60,"&lt;="&amp;$A188,Equipes!$C$2:$C$60,"&gt;="&amp;$A188)</f>
        <v>0</v>
      </c>
      <c r="K188" s="3" t="n">
        <f aca="false">IF(J188&gt;0,ROUNDUP(J188/Parametres!$B$7,0)+1,0)</f>
        <v>0</v>
      </c>
      <c r="L188" s="3" t="n">
        <f aca="false">SUMIFS(Equipes!$D$2:$D$60,Equipes!$A$2:$A$60,"LOT-06",Equipes!$B$2:$B$60,"&lt;="&amp;$A188,Equipes!$C$2:$C$60,"&gt;="&amp;$A188)</f>
        <v>10</v>
      </c>
      <c r="M188" s="3" t="n">
        <f aca="false">IF(L188&gt;0,ROUNDUP(L188/Parametres!$B$7,0)+1,0)</f>
        <v>2</v>
      </c>
      <c r="N188" s="3" t="n">
        <f aca="false">SUMIFS(Equipes!$D$2:$D$60,Equipes!$A$2:$A$60,"LOT-07",Equipes!$B$2:$B$60,"&lt;="&amp;$A188,Equipes!$C$2:$C$60,"&gt;="&amp;$A188)</f>
        <v>20</v>
      </c>
      <c r="O188" s="3" t="n">
        <f aca="false">IF(N188&gt;0,ROUNDUP(N188/Parametres!$B$7,0)+1,0)</f>
        <v>3</v>
      </c>
      <c r="P188" s="3" t="n">
        <f aca="false">SUMIFS(Equipes!$D$2:$D$60,Equipes!$A$2:$A$60,"LOT-08",Equipes!$B$2:$B$60,"&lt;="&amp;$A188,Equipes!$C$2:$C$60,"&gt;="&amp;$A188)</f>
        <v>0</v>
      </c>
      <c r="Q188" s="3" t="n">
        <f aca="false">IF(P188&gt;0,ROUNDUP(P188/Parametres!$B$7,0)+1,0)</f>
        <v>0</v>
      </c>
    </row>
    <row r="189" customFormat="false" ht="15" hidden="false" customHeight="false" outlineLevel="0" collapsed="false">
      <c r="A189" s="2" t="n">
        <v>46270</v>
      </c>
      <c r="B189" s="3" t="n">
        <f aca="false">SUMIFS(Equipes!$D$2:$D$60,Equipes!$A$2:$A$60,"LOT-01",Equipes!$B$2:$B$60,"&lt;="&amp;$A189,Equipes!$C$2:$C$60,"&gt;="&amp;$A189)</f>
        <v>0</v>
      </c>
      <c r="C189" s="3" t="n">
        <f aca="false">IF(B189&gt;0,ROUNDUP(B189/Parametres!$B$7,0)+1,0)</f>
        <v>0</v>
      </c>
      <c r="D189" s="3" t="n">
        <f aca="false">SUMIFS(Equipes!$D$2:$D$60,Equipes!$A$2:$A$60,"LOT-02",Equipes!$B$2:$B$60,"&lt;="&amp;$A189,Equipes!$C$2:$C$60,"&gt;="&amp;$A189)</f>
        <v>0</v>
      </c>
      <c r="E189" s="3" t="n">
        <f aca="false">IF(D189&gt;0,ROUNDUP(D189/Parametres!$B$7,0)+1,0)</f>
        <v>0</v>
      </c>
      <c r="F189" s="3" t="n">
        <f aca="false">SUMIFS(Equipes!$D$2:$D$60,Equipes!$A$2:$A$60,"LOT-03",Equipes!$B$2:$B$60,"&lt;="&amp;$A189,Equipes!$C$2:$C$60,"&gt;="&amp;$A189)</f>
        <v>0</v>
      </c>
      <c r="G189" s="3" t="n">
        <f aca="false">IF(F189&gt;0,ROUNDUP(F189/Parametres!$B$7,0)+1,0)</f>
        <v>0</v>
      </c>
      <c r="H189" s="3" t="n">
        <f aca="false">SUMIFS(Equipes!$D$2:$D$60,Equipes!$A$2:$A$60,"LOT-04",Equipes!$B$2:$B$60,"&lt;="&amp;$A189,Equipes!$C$2:$C$60,"&gt;="&amp;$A189)</f>
        <v>24</v>
      </c>
      <c r="I189" s="3" t="n">
        <f aca="false">IF(H189&gt;0,ROUNDUP(H189/Parametres!$B$7,0)+1,0)</f>
        <v>3</v>
      </c>
      <c r="J189" s="3" t="n">
        <f aca="false">SUMIFS(Equipes!$D$2:$D$60,Equipes!$A$2:$A$60,"LOT-05",Equipes!$B$2:$B$60,"&lt;="&amp;$A189,Equipes!$C$2:$C$60,"&gt;="&amp;$A189)</f>
        <v>0</v>
      </c>
      <c r="K189" s="3" t="n">
        <f aca="false">IF(J189&gt;0,ROUNDUP(J189/Parametres!$B$7,0)+1,0)</f>
        <v>0</v>
      </c>
      <c r="L189" s="3" t="n">
        <f aca="false">SUMIFS(Equipes!$D$2:$D$60,Equipes!$A$2:$A$60,"LOT-06",Equipes!$B$2:$B$60,"&lt;="&amp;$A189,Equipes!$C$2:$C$60,"&gt;="&amp;$A189)</f>
        <v>10</v>
      </c>
      <c r="M189" s="3" t="n">
        <f aca="false">IF(L189&gt;0,ROUNDUP(L189/Parametres!$B$7,0)+1,0)</f>
        <v>2</v>
      </c>
      <c r="N189" s="3" t="n">
        <f aca="false">SUMIFS(Equipes!$D$2:$D$60,Equipes!$A$2:$A$60,"LOT-07",Equipes!$B$2:$B$60,"&lt;="&amp;$A189,Equipes!$C$2:$C$60,"&gt;="&amp;$A189)</f>
        <v>20</v>
      </c>
      <c r="O189" s="3" t="n">
        <f aca="false">IF(N189&gt;0,ROUNDUP(N189/Parametres!$B$7,0)+1,0)</f>
        <v>3</v>
      </c>
      <c r="P189" s="3" t="n">
        <f aca="false">SUMIFS(Equipes!$D$2:$D$60,Equipes!$A$2:$A$60,"LOT-08",Equipes!$B$2:$B$60,"&lt;="&amp;$A189,Equipes!$C$2:$C$60,"&gt;="&amp;$A189)</f>
        <v>0</v>
      </c>
      <c r="Q189" s="3" t="n">
        <f aca="false">IF(P189&gt;0,ROUNDUP(P189/Parametres!$B$7,0)+1,0)</f>
        <v>0</v>
      </c>
    </row>
    <row r="190" customFormat="false" ht="15" hidden="false" customHeight="false" outlineLevel="0" collapsed="false">
      <c r="A190" s="2" t="n">
        <v>46271</v>
      </c>
      <c r="B190" s="3" t="n">
        <f aca="false">SUMIFS(Equipes!$D$2:$D$60,Equipes!$A$2:$A$60,"LOT-01",Equipes!$B$2:$B$60,"&lt;="&amp;$A190,Equipes!$C$2:$C$60,"&gt;="&amp;$A190)</f>
        <v>0</v>
      </c>
      <c r="C190" s="3" t="n">
        <f aca="false">IF(B190&gt;0,ROUNDUP(B190/Parametres!$B$7,0)+1,0)</f>
        <v>0</v>
      </c>
      <c r="D190" s="3" t="n">
        <f aca="false">SUMIFS(Equipes!$D$2:$D$60,Equipes!$A$2:$A$60,"LOT-02",Equipes!$B$2:$B$60,"&lt;="&amp;$A190,Equipes!$C$2:$C$60,"&gt;="&amp;$A190)</f>
        <v>0</v>
      </c>
      <c r="E190" s="3" t="n">
        <f aca="false">IF(D190&gt;0,ROUNDUP(D190/Parametres!$B$7,0)+1,0)</f>
        <v>0</v>
      </c>
      <c r="F190" s="3" t="n">
        <f aca="false">SUMIFS(Equipes!$D$2:$D$60,Equipes!$A$2:$A$60,"LOT-03",Equipes!$B$2:$B$60,"&lt;="&amp;$A190,Equipes!$C$2:$C$60,"&gt;="&amp;$A190)</f>
        <v>0</v>
      </c>
      <c r="G190" s="3" t="n">
        <f aca="false">IF(F190&gt;0,ROUNDUP(F190/Parametres!$B$7,0)+1,0)</f>
        <v>0</v>
      </c>
      <c r="H190" s="3" t="n">
        <f aca="false">SUMIFS(Equipes!$D$2:$D$60,Equipes!$A$2:$A$60,"LOT-04",Equipes!$B$2:$B$60,"&lt;="&amp;$A190,Equipes!$C$2:$C$60,"&gt;="&amp;$A190)</f>
        <v>24</v>
      </c>
      <c r="I190" s="3" t="n">
        <f aca="false">IF(H190&gt;0,ROUNDUP(H190/Parametres!$B$7,0)+1,0)</f>
        <v>3</v>
      </c>
      <c r="J190" s="3" t="n">
        <f aca="false">SUMIFS(Equipes!$D$2:$D$60,Equipes!$A$2:$A$60,"LOT-05",Equipes!$B$2:$B$60,"&lt;="&amp;$A190,Equipes!$C$2:$C$60,"&gt;="&amp;$A190)</f>
        <v>0</v>
      </c>
      <c r="K190" s="3" t="n">
        <f aca="false">IF(J190&gt;0,ROUNDUP(J190/Parametres!$B$7,0)+1,0)</f>
        <v>0</v>
      </c>
      <c r="L190" s="3" t="n">
        <f aca="false">SUMIFS(Equipes!$D$2:$D$60,Equipes!$A$2:$A$60,"LOT-06",Equipes!$B$2:$B$60,"&lt;="&amp;$A190,Equipes!$C$2:$C$60,"&gt;="&amp;$A190)</f>
        <v>10</v>
      </c>
      <c r="M190" s="3" t="n">
        <f aca="false">IF(L190&gt;0,ROUNDUP(L190/Parametres!$B$7,0)+1,0)</f>
        <v>2</v>
      </c>
      <c r="N190" s="3" t="n">
        <f aca="false">SUMIFS(Equipes!$D$2:$D$60,Equipes!$A$2:$A$60,"LOT-07",Equipes!$B$2:$B$60,"&lt;="&amp;$A190,Equipes!$C$2:$C$60,"&gt;="&amp;$A190)</f>
        <v>20</v>
      </c>
      <c r="O190" s="3" t="n">
        <f aca="false">IF(N190&gt;0,ROUNDUP(N190/Parametres!$B$7,0)+1,0)</f>
        <v>3</v>
      </c>
      <c r="P190" s="3" t="n">
        <f aca="false">SUMIFS(Equipes!$D$2:$D$60,Equipes!$A$2:$A$60,"LOT-08",Equipes!$B$2:$B$60,"&lt;="&amp;$A190,Equipes!$C$2:$C$60,"&gt;="&amp;$A190)</f>
        <v>0</v>
      </c>
      <c r="Q190" s="3" t="n">
        <f aca="false">IF(P190&gt;0,ROUNDUP(P190/Parametres!$B$7,0)+1,0)</f>
        <v>0</v>
      </c>
    </row>
    <row r="191" customFormat="false" ht="15" hidden="false" customHeight="false" outlineLevel="0" collapsed="false">
      <c r="A191" s="2" t="n">
        <v>46272</v>
      </c>
      <c r="B191" s="3" t="n">
        <f aca="false">SUMIFS(Equipes!$D$2:$D$60,Equipes!$A$2:$A$60,"LOT-01",Equipes!$B$2:$B$60,"&lt;="&amp;$A191,Equipes!$C$2:$C$60,"&gt;="&amp;$A191)</f>
        <v>0</v>
      </c>
      <c r="C191" s="3" t="n">
        <f aca="false">IF(B191&gt;0,ROUNDUP(B191/Parametres!$B$7,0)+1,0)</f>
        <v>0</v>
      </c>
      <c r="D191" s="3" t="n">
        <f aca="false">SUMIFS(Equipes!$D$2:$D$60,Equipes!$A$2:$A$60,"LOT-02",Equipes!$B$2:$B$60,"&lt;="&amp;$A191,Equipes!$C$2:$C$60,"&gt;="&amp;$A191)</f>
        <v>0</v>
      </c>
      <c r="E191" s="3" t="n">
        <f aca="false">IF(D191&gt;0,ROUNDUP(D191/Parametres!$B$7,0)+1,0)</f>
        <v>0</v>
      </c>
      <c r="F191" s="3" t="n">
        <f aca="false">SUMIFS(Equipes!$D$2:$D$60,Equipes!$A$2:$A$60,"LOT-03",Equipes!$B$2:$B$60,"&lt;="&amp;$A191,Equipes!$C$2:$C$60,"&gt;="&amp;$A191)</f>
        <v>0</v>
      </c>
      <c r="G191" s="3" t="n">
        <f aca="false">IF(F191&gt;0,ROUNDUP(F191/Parametres!$B$7,0)+1,0)</f>
        <v>0</v>
      </c>
      <c r="H191" s="3" t="n">
        <f aca="false">SUMIFS(Equipes!$D$2:$D$60,Equipes!$A$2:$A$60,"LOT-04",Equipes!$B$2:$B$60,"&lt;="&amp;$A191,Equipes!$C$2:$C$60,"&gt;="&amp;$A191)</f>
        <v>24</v>
      </c>
      <c r="I191" s="3" t="n">
        <f aca="false">IF(H191&gt;0,ROUNDUP(H191/Parametres!$B$7,0)+1,0)</f>
        <v>3</v>
      </c>
      <c r="J191" s="3" t="n">
        <f aca="false">SUMIFS(Equipes!$D$2:$D$60,Equipes!$A$2:$A$60,"LOT-05",Equipes!$B$2:$B$60,"&lt;="&amp;$A191,Equipes!$C$2:$C$60,"&gt;="&amp;$A191)</f>
        <v>0</v>
      </c>
      <c r="K191" s="3" t="n">
        <f aca="false">IF(J191&gt;0,ROUNDUP(J191/Parametres!$B$7,0)+1,0)</f>
        <v>0</v>
      </c>
      <c r="L191" s="3" t="n">
        <f aca="false">SUMIFS(Equipes!$D$2:$D$60,Equipes!$A$2:$A$60,"LOT-06",Equipes!$B$2:$B$60,"&lt;="&amp;$A191,Equipes!$C$2:$C$60,"&gt;="&amp;$A191)</f>
        <v>10</v>
      </c>
      <c r="M191" s="3" t="n">
        <f aca="false">IF(L191&gt;0,ROUNDUP(L191/Parametres!$B$7,0)+1,0)</f>
        <v>2</v>
      </c>
      <c r="N191" s="3" t="n">
        <f aca="false">SUMIFS(Equipes!$D$2:$D$60,Equipes!$A$2:$A$60,"LOT-07",Equipes!$B$2:$B$60,"&lt;="&amp;$A191,Equipes!$C$2:$C$60,"&gt;="&amp;$A191)</f>
        <v>20</v>
      </c>
      <c r="O191" s="3" t="n">
        <f aca="false">IF(N191&gt;0,ROUNDUP(N191/Parametres!$B$7,0)+1,0)</f>
        <v>3</v>
      </c>
      <c r="P191" s="3" t="n">
        <f aca="false">SUMIFS(Equipes!$D$2:$D$60,Equipes!$A$2:$A$60,"LOT-08",Equipes!$B$2:$B$60,"&lt;="&amp;$A191,Equipes!$C$2:$C$60,"&gt;="&amp;$A191)</f>
        <v>0</v>
      </c>
      <c r="Q191" s="3" t="n">
        <f aca="false">IF(P191&gt;0,ROUNDUP(P191/Parametres!$B$7,0)+1,0)</f>
        <v>0</v>
      </c>
    </row>
    <row r="192" customFormat="false" ht="15" hidden="false" customHeight="false" outlineLevel="0" collapsed="false">
      <c r="A192" s="2" t="n">
        <v>46273</v>
      </c>
      <c r="B192" s="3" t="n">
        <f aca="false">SUMIFS(Equipes!$D$2:$D$60,Equipes!$A$2:$A$60,"LOT-01",Equipes!$B$2:$B$60,"&lt;="&amp;$A192,Equipes!$C$2:$C$60,"&gt;="&amp;$A192)</f>
        <v>0</v>
      </c>
      <c r="C192" s="3" t="n">
        <f aca="false">IF(B192&gt;0,ROUNDUP(B192/Parametres!$B$7,0)+1,0)</f>
        <v>0</v>
      </c>
      <c r="D192" s="3" t="n">
        <f aca="false">SUMIFS(Equipes!$D$2:$D$60,Equipes!$A$2:$A$60,"LOT-02",Equipes!$B$2:$B$60,"&lt;="&amp;$A192,Equipes!$C$2:$C$60,"&gt;="&amp;$A192)</f>
        <v>0</v>
      </c>
      <c r="E192" s="3" t="n">
        <f aca="false">IF(D192&gt;0,ROUNDUP(D192/Parametres!$B$7,0)+1,0)</f>
        <v>0</v>
      </c>
      <c r="F192" s="3" t="n">
        <f aca="false">SUMIFS(Equipes!$D$2:$D$60,Equipes!$A$2:$A$60,"LOT-03",Equipes!$B$2:$B$60,"&lt;="&amp;$A192,Equipes!$C$2:$C$60,"&gt;="&amp;$A192)</f>
        <v>0</v>
      </c>
      <c r="G192" s="3" t="n">
        <f aca="false">IF(F192&gt;0,ROUNDUP(F192/Parametres!$B$7,0)+1,0)</f>
        <v>0</v>
      </c>
      <c r="H192" s="3" t="n">
        <f aca="false">SUMIFS(Equipes!$D$2:$D$60,Equipes!$A$2:$A$60,"LOT-04",Equipes!$B$2:$B$60,"&lt;="&amp;$A192,Equipes!$C$2:$C$60,"&gt;="&amp;$A192)</f>
        <v>24</v>
      </c>
      <c r="I192" s="3" t="n">
        <f aca="false">IF(H192&gt;0,ROUNDUP(H192/Parametres!$B$7,0)+1,0)</f>
        <v>3</v>
      </c>
      <c r="J192" s="3" t="n">
        <f aca="false">SUMIFS(Equipes!$D$2:$D$60,Equipes!$A$2:$A$60,"LOT-05",Equipes!$B$2:$B$60,"&lt;="&amp;$A192,Equipes!$C$2:$C$60,"&gt;="&amp;$A192)</f>
        <v>0</v>
      </c>
      <c r="K192" s="3" t="n">
        <f aca="false">IF(J192&gt;0,ROUNDUP(J192/Parametres!$B$7,0)+1,0)</f>
        <v>0</v>
      </c>
      <c r="L192" s="3" t="n">
        <f aca="false">SUMIFS(Equipes!$D$2:$D$60,Equipes!$A$2:$A$60,"LOT-06",Equipes!$B$2:$B$60,"&lt;="&amp;$A192,Equipes!$C$2:$C$60,"&gt;="&amp;$A192)</f>
        <v>10</v>
      </c>
      <c r="M192" s="3" t="n">
        <f aca="false">IF(L192&gt;0,ROUNDUP(L192/Parametres!$B$7,0)+1,0)</f>
        <v>2</v>
      </c>
      <c r="N192" s="3" t="n">
        <f aca="false">SUMIFS(Equipes!$D$2:$D$60,Equipes!$A$2:$A$60,"LOT-07",Equipes!$B$2:$B$60,"&lt;="&amp;$A192,Equipes!$C$2:$C$60,"&gt;="&amp;$A192)</f>
        <v>20</v>
      </c>
      <c r="O192" s="3" t="n">
        <f aca="false">IF(N192&gt;0,ROUNDUP(N192/Parametres!$B$7,0)+1,0)</f>
        <v>3</v>
      </c>
      <c r="P192" s="3" t="n">
        <f aca="false">SUMIFS(Equipes!$D$2:$D$60,Equipes!$A$2:$A$60,"LOT-08",Equipes!$B$2:$B$60,"&lt;="&amp;$A192,Equipes!$C$2:$C$60,"&gt;="&amp;$A192)</f>
        <v>0</v>
      </c>
      <c r="Q192" s="3" t="n">
        <f aca="false">IF(P192&gt;0,ROUNDUP(P192/Parametres!$B$7,0)+1,0)</f>
        <v>0</v>
      </c>
    </row>
    <row r="193" customFormat="false" ht="15" hidden="false" customHeight="false" outlineLevel="0" collapsed="false">
      <c r="A193" s="2" t="n">
        <v>46274</v>
      </c>
      <c r="B193" s="3" t="n">
        <f aca="false">SUMIFS(Equipes!$D$2:$D$60,Equipes!$A$2:$A$60,"LOT-01",Equipes!$B$2:$B$60,"&lt;="&amp;$A193,Equipes!$C$2:$C$60,"&gt;="&amp;$A193)</f>
        <v>0</v>
      </c>
      <c r="C193" s="3" t="n">
        <f aca="false">IF(B193&gt;0,ROUNDUP(B193/Parametres!$B$7,0)+1,0)</f>
        <v>0</v>
      </c>
      <c r="D193" s="3" t="n">
        <f aca="false">SUMIFS(Equipes!$D$2:$D$60,Equipes!$A$2:$A$60,"LOT-02",Equipes!$B$2:$B$60,"&lt;="&amp;$A193,Equipes!$C$2:$C$60,"&gt;="&amp;$A193)</f>
        <v>0</v>
      </c>
      <c r="E193" s="3" t="n">
        <f aca="false">IF(D193&gt;0,ROUNDUP(D193/Parametres!$B$7,0)+1,0)</f>
        <v>0</v>
      </c>
      <c r="F193" s="3" t="n">
        <f aca="false">SUMIFS(Equipes!$D$2:$D$60,Equipes!$A$2:$A$60,"LOT-03",Equipes!$B$2:$B$60,"&lt;="&amp;$A193,Equipes!$C$2:$C$60,"&gt;="&amp;$A193)</f>
        <v>0</v>
      </c>
      <c r="G193" s="3" t="n">
        <f aca="false">IF(F193&gt;0,ROUNDUP(F193/Parametres!$B$7,0)+1,0)</f>
        <v>0</v>
      </c>
      <c r="H193" s="3" t="n">
        <f aca="false">SUMIFS(Equipes!$D$2:$D$60,Equipes!$A$2:$A$60,"LOT-04",Equipes!$B$2:$B$60,"&lt;="&amp;$A193,Equipes!$C$2:$C$60,"&gt;="&amp;$A193)</f>
        <v>24</v>
      </c>
      <c r="I193" s="3" t="n">
        <f aca="false">IF(H193&gt;0,ROUNDUP(H193/Parametres!$B$7,0)+1,0)</f>
        <v>3</v>
      </c>
      <c r="J193" s="3" t="n">
        <f aca="false">SUMIFS(Equipes!$D$2:$D$60,Equipes!$A$2:$A$60,"LOT-05",Equipes!$B$2:$B$60,"&lt;="&amp;$A193,Equipes!$C$2:$C$60,"&gt;="&amp;$A193)</f>
        <v>0</v>
      </c>
      <c r="K193" s="3" t="n">
        <f aca="false">IF(J193&gt;0,ROUNDUP(J193/Parametres!$B$7,0)+1,0)</f>
        <v>0</v>
      </c>
      <c r="L193" s="3" t="n">
        <f aca="false">SUMIFS(Equipes!$D$2:$D$60,Equipes!$A$2:$A$60,"LOT-06",Equipes!$B$2:$B$60,"&lt;="&amp;$A193,Equipes!$C$2:$C$60,"&gt;="&amp;$A193)</f>
        <v>10</v>
      </c>
      <c r="M193" s="3" t="n">
        <f aca="false">IF(L193&gt;0,ROUNDUP(L193/Parametres!$B$7,0)+1,0)</f>
        <v>2</v>
      </c>
      <c r="N193" s="3" t="n">
        <f aca="false">SUMIFS(Equipes!$D$2:$D$60,Equipes!$A$2:$A$60,"LOT-07",Equipes!$B$2:$B$60,"&lt;="&amp;$A193,Equipes!$C$2:$C$60,"&gt;="&amp;$A193)</f>
        <v>20</v>
      </c>
      <c r="O193" s="3" t="n">
        <f aca="false">IF(N193&gt;0,ROUNDUP(N193/Parametres!$B$7,0)+1,0)</f>
        <v>3</v>
      </c>
      <c r="P193" s="3" t="n">
        <f aca="false">SUMIFS(Equipes!$D$2:$D$60,Equipes!$A$2:$A$60,"LOT-08",Equipes!$B$2:$B$60,"&lt;="&amp;$A193,Equipes!$C$2:$C$60,"&gt;="&amp;$A193)</f>
        <v>0</v>
      </c>
      <c r="Q193" s="3" t="n">
        <f aca="false">IF(P193&gt;0,ROUNDUP(P193/Parametres!$B$7,0)+1,0)</f>
        <v>0</v>
      </c>
    </row>
    <row r="194" customFormat="false" ht="15" hidden="false" customHeight="false" outlineLevel="0" collapsed="false">
      <c r="A194" s="2" t="n">
        <v>46275</v>
      </c>
      <c r="B194" s="3" t="n">
        <f aca="false">SUMIFS(Equipes!$D$2:$D$60,Equipes!$A$2:$A$60,"LOT-01",Equipes!$B$2:$B$60,"&lt;="&amp;$A194,Equipes!$C$2:$C$60,"&gt;="&amp;$A194)</f>
        <v>0</v>
      </c>
      <c r="C194" s="3" t="n">
        <f aca="false">IF(B194&gt;0,ROUNDUP(B194/Parametres!$B$7,0)+1,0)</f>
        <v>0</v>
      </c>
      <c r="D194" s="3" t="n">
        <f aca="false">SUMIFS(Equipes!$D$2:$D$60,Equipes!$A$2:$A$60,"LOT-02",Equipes!$B$2:$B$60,"&lt;="&amp;$A194,Equipes!$C$2:$C$60,"&gt;="&amp;$A194)</f>
        <v>0</v>
      </c>
      <c r="E194" s="3" t="n">
        <f aca="false">IF(D194&gt;0,ROUNDUP(D194/Parametres!$B$7,0)+1,0)</f>
        <v>0</v>
      </c>
      <c r="F194" s="3" t="n">
        <f aca="false">SUMIFS(Equipes!$D$2:$D$60,Equipes!$A$2:$A$60,"LOT-03",Equipes!$B$2:$B$60,"&lt;="&amp;$A194,Equipes!$C$2:$C$60,"&gt;="&amp;$A194)</f>
        <v>0</v>
      </c>
      <c r="G194" s="3" t="n">
        <f aca="false">IF(F194&gt;0,ROUNDUP(F194/Parametres!$B$7,0)+1,0)</f>
        <v>0</v>
      </c>
      <c r="H194" s="3" t="n">
        <f aca="false">SUMIFS(Equipes!$D$2:$D$60,Equipes!$A$2:$A$60,"LOT-04",Equipes!$B$2:$B$60,"&lt;="&amp;$A194,Equipes!$C$2:$C$60,"&gt;="&amp;$A194)</f>
        <v>24</v>
      </c>
      <c r="I194" s="3" t="n">
        <f aca="false">IF(H194&gt;0,ROUNDUP(H194/Parametres!$B$7,0)+1,0)</f>
        <v>3</v>
      </c>
      <c r="J194" s="3" t="n">
        <f aca="false">SUMIFS(Equipes!$D$2:$D$60,Equipes!$A$2:$A$60,"LOT-05",Equipes!$B$2:$B$60,"&lt;="&amp;$A194,Equipes!$C$2:$C$60,"&gt;="&amp;$A194)</f>
        <v>0</v>
      </c>
      <c r="K194" s="3" t="n">
        <f aca="false">IF(J194&gt;0,ROUNDUP(J194/Parametres!$B$7,0)+1,0)</f>
        <v>0</v>
      </c>
      <c r="L194" s="3" t="n">
        <f aca="false">SUMIFS(Equipes!$D$2:$D$60,Equipes!$A$2:$A$60,"LOT-06",Equipes!$B$2:$B$60,"&lt;="&amp;$A194,Equipes!$C$2:$C$60,"&gt;="&amp;$A194)</f>
        <v>10</v>
      </c>
      <c r="M194" s="3" t="n">
        <f aca="false">IF(L194&gt;0,ROUNDUP(L194/Parametres!$B$7,0)+1,0)</f>
        <v>2</v>
      </c>
      <c r="N194" s="3" t="n">
        <f aca="false">SUMIFS(Equipes!$D$2:$D$60,Equipes!$A$2:$A$60,"LOT-07",Equipes!$B$2:$B$60,"&lt;="&amp;$A194,Equipes!$C$2:$C$60,"&gt;="&amp;$A194)</f>
        <v>20</v>
      </c>
      <c r="O194" s="3" t="n">
        <f aca="false">IF(N194&gt;0,ROUNDUP(N194/Parametres!$B$7,0)+1,0)</f>
        <v>3</v>
      </c>
      <c r="P194" s="3" t="n">
        <f aca="false">SUMIFS(Equipes!$D$2:$D$60,Equipes!$A$2:$A$60,"LOT-08",Equipes!$B$2:$B$60,"&lt;="&amp;$A194,Equipes!$C$2:$C$60,"&gt;="&amp;$A194)</f>
        <v>0</v>
      </c>
      <c r="Q194" s="3" t="n">
        <f aca="false">IF(P194&gt;0,ROUNDUP(P194/Parametres!$B$7,0)+1,0)</f>
        <v>0</v>
      </c>
    </row>
    <row r="195" customFormat="false" ht="15" hidden="false" customHeight="false" outlineLevel="0" collapsed="false">
      <c r="A195" s="2" t="n">
        <v>46276</v>
      </c>
      <c r="B195" s="3" t="n">
        <f aca="false">SUMIFS(Equipes!$D$2:$D$60,Equipes!$A$2:$A$60,"LOT-01",Equipes!$B$2:$B$60,"&lt;="&amp;$A195,Equipes!$C$2:$C$60,"&gt;="&amp;$A195)</f>
        <v>0</v>
      </c>
      <c r="C195" s="3" t="n">
        <f aca="false">IF(B195&gt;0,ROUNDUP(B195/Parametres!$B$7,0)+1,0)</f>
        <v>0</v>
      </c>
      <c r="D195" s="3" t="n">
        <f aca="false">SUMIFS(Equipes!$D$2:$D$60,Equipes!$A$2:$A$60,"LOT-02",Equipes!$B$2:$B$60,"&lt;="&amp;$A195,Equipes!$C$2:$C$60,"&gt;="&amp;$A195)</f>
        <v>0</v>
      </c>
      <c r="E195" s="3" t="n">
        <f aca="false">IF(D195&gt;0,ROUNDUP(D195/Parametres!$B$7,0)+1,0)</f>
        <v>0</v>
      </c>
      <c r="F195" s="3" t="n">
        <f aca="false">SUMIFS(Equipes!$D$2:$D$60,Equipes!$A$2:$A$60,"LOT-03",Equipes!$B$2:$B$60,"&lt;="&amp;$A195,Equipes!$C$2:$C$60,"&gt;="&amp;$A195)</f>
        <v>0</v>
      </c>
      <c r="G195" s="3" t="n">
        <f aca="false">IF(F195&gt;0,ROUNDUP(F195/Parametres!$B$7,0)+1,0)</f>
        <v>0</v>
      </c>
      <c r="H195" s="3" t="n">
        <f aca="false">SUMIFS(Equipes!$D$2:$D$60,Equipes!$A$2:$A$60,"LOT-04",Equipes!$B$2:$B$60,"&lt;="&amp;$A195,Equipes!$C$2:$C$60,"&gt;="&amp;$A195)</f>
        <v>24</v>
      </c>
      <c r="I195" s="3" t="n">
        <f aca="false">IF(H195&gt;0,ROUNDUP(H195/Parametres!$B$7,0)+1,0)</f>
        <v>3</v>
      </c>
      <c r="J195" s="3" t="n">
        <f aca="false">SUMIFS(Equipes!$D$2:$D$60,Equipes!$A$2:$A$60,"LOT-05",Equipes!$B$2:$B$60,"&lt;="&amp;$A195,Equipes!$C$2:$C$60,"&gt;="&amp;$A195)</f>
        <v>0</v>
      </c>
      <c r="K195" s="3" t="n">
        <f aca="false">IF(J195&gt;0,ROUNDUP(J195/Parametres!$B$7,0)+1,0)</f>
        <v>0</v>
      </c>
      <c r="L195" s="3" t="n">
        <f aca="false">SUMIFS(Equipes!$D$2:$D$60,Equipes!$A$2:$A$60,"LOT-06",Equipes!$B$2:$B$60,"&lt;="&amp;$A195,Equipes!$C$2:$C$60,"&gt;="&amp;$A195)</f>
        <v>10</v>
      </c>
      <c r="M195" s="3" t="n">
        <f aca="false">IF(L195&gt;0,ROUNDUP(L195/Parametres!$B$7,0)+1,0)</f>
        <v>2</v>
      </c>
      <c r="N195" s="3" t="n">
        <f aca="false">SUMIFS(Equipes!$D$2:$D$60,Equipes!$A$2:$A$60,"LOT-07",Equipes!$B$2:$B$60,"&lt;="&amp;$A195,Equipes!$C$2:$C$60,"&gt;="&amp;$A195)</f>
        <v>20</v>
      </c>
      <c r="O195" s="3" t="n">
        <f aca="false">IF(N195&gt;0,ROUNDUP(N195/Parametres!$B$7,0)+1,0)</f>
        <v>3</v>
      </c>
      <c r="P195" s="3" t="n">
        <f aca="false">SUMIFS(Equipes!$D$2:$D$60,Equipes!$A$2:$A$60,"LOT-08",Equipes!$B$2:$B$60,"&lt;="&amp;$A195,Equipes!$C$2:$C$60,"&gt;="&amp;$A195)</f>
        <v>0</v>
      </c>
      <c r="Q195" s="3" t="n">
        <f aca="false">IF(P195&gt;0,ROUNDUP(P195/Parametres!$B$7,0)+1,0)</f>
        <v>0</v>
      </c>
    </row>
    <row r="196" customFormat="false" ht="15" hidden="false" customHeight="false" outlineLevel="0" collapsed="false">
      <c r="A196" s="2" t="n">
        <v>46277</v>
      </c>
      <c r="B196" s="3" t="n">
        <f aca="false">SUMIFS(Equipes!$D$2:$D$60,Equipes!$A$2:$A$60,"LOT-01",Equipes!$B$2:$B$60,"&lt;="&amp;$A196,Equipes!$C$2:$C$60,"&gt;="&amp;$A196)</f>
        <v>0</v>
      </c>
      <c r="C196" s="3" t="n">
        <f aca="false">IF(B196&gt;0,ROUNDUP(B196/Parametres!$B$7,0)+1,0)</f>
        <v>0</v>
      </c>
      <c r="D196" s="3" t="n">
        <f aca="false">SUMIFS(Equipes!$D$2:$D$60,Equipes!$A$2:$A$60,"LOT-02",Equipes!$B$2:$B$60,"&lt;="&amp;$A196,Equipes!$C$2:$C$60,"&gt;="&amp;$A196)</f>
        <v>0</v>
      </c>
      <c r="E196" s="3" t="n">
        <f aca="false">IF(D196&gt;0,ROUNDUP(D196/Parametres!$B$7,0)+1,0)</f>
        <v>0</v>
      </c>
      <c r="F196" s="3" t="n">
        <f aca="false">SUMIFS(Equipes!$D$2:$D$60,Equipes!$A$2:$A$60,"LOT-03",Equipes!$B$2:$B$60,"&lt;="&amp;$A196,Equipes!$C$2:$C$60,"&gt;="&amp;$A196)</f>
        <v>0</v>
      </c>
      <c r="G196" s="3" t="n">
        <f aca="false">IF(F196&gt;0,ROUNDUP(F196/Parametres!$B$7,0)+1,0)</f>
        <v>0</v>
      </c>
      <c r="H196" s="3" t="n">
        <f aca="false">SUMIFS(Equipes!$D$2:$D$60,Equipes!$A$2:$A$60,"LOT-04",Equipes!$B$2:$B$60,"&lt;="&amp;$A196,Equipes!$C$2:$C$60,"&gt;="&amp;$A196)</f>
        <v>24</v>
      </c>
      <c r="I196" s="3" t="n">
        <f aca="false">IF(H196&gt;0,ROUNDUP(H196/Parametres!$B$7,0)+1,0)</f>
        <v>3</v>
      </c>
      <c r="J196" s="3" t="n">
        <f aca="false">SUMIFS(Equipes!$D$2:$D$60,Equipes!$A$2:$A$60,"LOT-05",Equipes!$B$2:$B$60,"&lt;="&amp;$A196,Equipes!$C$2:$C$60,"&gt;="&amp;$A196)</f>
        <v>0</v>
      </c>
      <c r="K196" s="3" t="n">
        <f aca="false">IF(J196&gt;0,ROUNDUP(J196/Parametres!$B$7,0)+1,0)</f>
        <v>0</v>
      </c>
      <c r="L196" s="3" t="n">
        <f aca="false">SUMIFS(Equipes!$D$2:$D$60,Equipes!$A$2:$A$60,"LOT-06",Equipes!$B$2:$B$60,"&lt;="&amp;$A196,Equipes!$C$2:$C$60,"&gt;="&amp;$A196)</f>
        <v>10</v>
      </c>
      <c r="M196" s="3" t="n">
        <f aca="false">IF(L196&gt;0,ROUNDUP(L196/Parametres!$B$7,0)+1,0)</f>
        <v>2</v>
      </c>
      <c r="N196" s="3" t="n">
        <f aca="false">SUMIFS(Equipes!$D$2:$D$60,Equipes!$A$2:$A$60,"LOT-07",Equipes!$B$2:$B$60,"&lt;="&amp;$A196,Equipes!$C$2:$C$60,"&gt;="&amp;$A196)</f>
        <v>20</v>
      </c>
      <c r="O196" s="3" t="n">
        <f aca="false">IF(N196&gt;0,ROUNDUP(N196/Parametres!$B$7,0)+1,0)</f>
        <v>3</v>
      </c>
      <c r="P196" s="3" t="n">
        <f aca="false">SUMIFS(Equipes!$D$2:$D$60,Equipes!$A$2:$A$60,"LOT-08",Equipes!$B$2:$B$60,"&lt;="&amp;$A196,Equipes!$C$2:$C$60,"&gt;="&amp;$A196)</f>
        <v>0</v>
      </c>
      <c r="Q196" s="3" t="n">
        <f aca="false">IF(P196&gt;0,ROUNDUP(P196/Parametres!$B$7,0)+1,0)</f>
        <v>0</v>
      </c>
    </row>
    <row r="197" customFormat="false" ht="15" hidden="false" customHeight="false" outlineLevel="0" collapsed="false">
      <c r="A197" s="2" t="n">
        <v>46278</v>
      </c>
      <c r="B197" s="3" t="n">
        <f aca="false">SUMIFS(Equipes!$D$2:$D$60,Equipes!$A$2:$A$60,"LOT-01",Equipes!$B$2:$B$60,"&lt;="&amp;$A197,Equipes!$C$2:$C$60,"&gt;="&amp;$A197)</f>
        <v>0</v>
      </c>
      <c r="C197" s="3" t="n">
        <f aca="false">IF(B197&gt;0,ROUNDUP(B197/Parametres!$B$7,0)+1,0)</f>
        <v>0</v>
      </c>
      <c r="D197" s="3" t="n">
        <f aca="false">SUMIFS(Equipes!$D$2:$D$60,Equipes!$A$2:$A$60,"LOT-02",Equipes!$B$2:$B$60,"&lt;="&amp;$A197,Equipes!$C$2:$C$60,"&gt;="&amp;$A197)</f>
        <v>0</v>
      </c>
      <c r="E197" s="3" t="n">
        <f aca="false">IF(D197&gt;0,ROUNDUP(D197/Parametres!$B$7,0)+1,0)</f>
        <v>0</v>
      </c>
      <c r="F197" s="3" t="n">
        <f aca="false">SUMIFS(Equipes!$D$2:$D$60,Equipes!$A$2:$A$60,"LOT-03",Equipes!$B$2:$B$60,"&lt;="&amp;$A197,Equipes!$C$2:$C$60,"&gt;="&amp;$A197)</f>
        <v>0</v>
      </c>
      <c r="G197" s="3" t="n">
        <f aca="false">IF(F197&gt;0,ROUNDUP(F197/Parametres!$B$7,0)+1,0)</f>
        <v>0</v>
      </c>
      <c r="H197" s="3" t="n">
        <f aca="false">SUMIFS(Equipes!$D$2:$D$60,Equipes!$A$2:$A$60,"LOT-04",Equipes!$B$2:$B$60,"&lt;="&amp;$A197,Equipes!$C$2:$C$60,"&gt;="&amp;$A197)</f>
        <v>24</v>
      </c>
      <c r="I197" s="3" t="n">
        <f aca="false">IF(H197&gt;0,ROUNDUP(H197/Parametres!$B$7,0)+1,0)</f>
        <v>3</v>
      </c>
      <c r="J197" s="3" t="n">
        <f aca="false">SUMIFS(Equipes!$D$2:$D$60,Equipes!$A$2:$A$60,"LOT-05",Equipes!$B$2:$B$60,"&lt;="&amp;$A197,Equipes!$C$2:$C$60,"&gt;="&amp;$A197)</f>
        <v>0</v>
      </c>
      <c r="K197" s="3" t="n">
        <f aca="false">IF(J197&gt;0,ROUNDUP(J197/Parametres!$B$7,0)+1,0)</f>
        <v>0</v>
      </c>
      <c r="L197" s="3" t="n">
        <f aca="false">SUMIFS(Equipes!$D$2:$D$60,Equipes!$A$2:$A$60,"LOT-06",Equipes!$B$2:$B$60,"&lt;="&amp;$A197,Equipes!$C$2:$C$60,"&gt;="&amp;$A197)</f>
        <v>10</v>
      </c>
      <c r="M197" s="3" t="n">
        <f aca="false">IF(L197&gt;0,ROUNDUP(L197/Parametres!$B$7,0)+1,0)</f>
        <v>2</v>
      </c>
      <c r="N197" s="3" t="n">
        <f aca="false">SUMIFS(Equipes!$D$2:$D$60,Equipes!$A$2:$A$60,"LOT-07",Equipes!$B$2:$B$60,"&lt;="&amp;$A197,Equipes!$C$2:$C$60,"&gt;="&amp;$A197)</f>
        <v>20</v>
      </c>
      <c r="O197" s="3" t="n">
        <f aca="false">IF(N197&gt;0,ROUNDUP(N197/Parametres!$B$7,0)+1,0)</f>
        <v>3</v>
      </c>
      <c r="P197" s="3" t="n">
        <f aca="false">SUMIFS(Equipes!$D$2:$D$60,Equipes!$A$2:$A$60,"LOT-08",Equipes!$B$2:$B$60,"&lt;="&amp;$A197,Equipes!$C$2:$C$60,"&gt;="&amp;$A197)</f>
        <v>0</v>
      </c>
      <c r="Q197" s="3" t="n">
        <f aca="false">IF(P197&gt;0,ROUNDUP(P197/Parametres!$B$7,0)+1,0)</f>
        <v>0</v>
      </c>
    </row>
    <row r="198" customFormat="false" ht="15" hidden="false" customHeight="false" outlineLevel="0" collapsed="false">
      <c r="A198" s="2" t="n">
        <v>46279</v>
      </c>
      <c r="B198" s="3" t="n">
        <f aca="false">SUMIFS(Equipes!$D$2:$D$60,Equipes!$A$2:$A$60,"LOT-01",Equipes!$B$2:$B$60,"&lt;="&amp;$A198,Equipes!$C$2:$C$60,"&gt;="&amp;$A198)</f>
        <v>0</v>
      </c>
      <c r="C198" s="3" t="n">
        <f aca="false">IF(B198&gt;0,ROUNDUP(B198/Parametres!$B$7,0)+1,0)</f>
        <v>0</v>
      </c>
      <c r="D198" s="3" t="n">
        <f aca="false">SUMIFS(Equipes!$D$2:$D$60,Equipes!$A$2:$A$60,"LOT-02",Equipes!$B$2:$B$60,"&lt;="&amp;$A198,Equipes!$C$2:$C$60,"&gt;="&amp;$A198)</f>
        <v>0</v>
      </c>
      <c r="E198" s="3" t="n">
        <f aca="false">IF(D198&gt;0,ROUNDUP(D198/Parametres!$B$7,0)+1,0)</f>
        <v>0</v>
      </c>
      <c r="F198" s="3" t="n">
        <f aca="false">SUMIFS(Equipes!$D$2:$D$60,Equipes!$A$2:$A$60,"LOT-03",Equipes!$B$2:$B$60,"&lt;="&amp;$A198,Equipes!$C$2:$C$60,"&gt;="&amp;$A198)</f>
        <v>0</v>
      </c>
      <c r="G198" s="3" t="n">
        <f aca="false">IF(F198&gt;0,ROUNDUP(F198/Parametres!$B$7,0)+1,0)</f>
        <v>0</v>
      </c>
      <c r="H198" s="3" t="n">
        <f aca="false">SUMIFS(Equipes!$D$2:$D$60,Equipes!$A$2:$A$60,"LOT-04",Equipes!$B$2:$B$60,"&lt;="&amp;$A198,Equipes!$C$2:$C$60,"&gt;="&amp;$A198)</f>
        <v>24</v>
      </c>
      <c r="I198" s="3" t="n">
        <f aca="false">IF(H198&gt;0,ROUNDUP(H198/Parametres!$B$7,0)+1,0)</f>
        <v>3</v>
      </c>
      <c r="J198" s="3" t="n">
        <f aca="false">SUMIFS(Equipes!$D$2:$D$60,Equipes!$A$2:$A$60,"LOT-05",Equipes!$B$2:$B$60,"&lt;="&amp;$A198,Equipes!$C$2:$C$60,"&gt;="&amp;$A198)</f>
        <v>0</v>
      </c>
      <c r="K198" s="3" t="n">
        <f aca="false">IF(J198&gt;0,ROUNDUP(J198/Parametres!$B$7,0)+1,0)</f>
        <v>0</v>
      </c>
      <c r="L198" s="3" t="n">
        <f aca="false">SUMIFS(Equipes!$D$2:$D$60,Equipes!$A$2:$A$60,"LOT-06",Equipes!$B$2:$B$60,"&lt;="&amp;$A198,Equipes!$C$2:$C$60,"&gt;="&amp;$A198)</f>
        <v>10</v>
      </c>
      <c r="M198" s="3" t="n">
        <f aca="false">IF(L198&gt;0,ROUNDUP(L198/Parametres!$B$7,0)+1,0)</f>
        <v>2</v>
      </c>
      <c r="N198" s="3" t="n">
        <f aca="false">SUMIFS(Equipes!$D$2:$D$60,Equipes!$A$2:$A$60,"LOT-07",Equipes!$B$2:$B$60,"&lt;="&amp;$A198,Equipes!$C$2:$C$60,"&gt;="&amp;$A198)</f>
        <v>20</v>
      </c>
      <c r="O198" s="3" t="n">
        <f aca="false">IF(N198&gt;0,ROUNDUP(N198/Parametres!$B$7,0)+1,0)</f>
        <v>3</v>
      </c>
      <c r="P198" s="3" t="n">
        <f aca="false">SUMIFS(Equipes!$D$2:$D$60,Equipes!$A$2:$A$60,"LOT-08",Equipes!$B$2:$B$60,"&lt;="&amp;$A198,Equipes!$C$2:$C$60,"&gt;="&amp;$A198)</f>
        <v>0</v>
      </c>
      <c r="Q198" s="3" t="n">
        <f aca="false">IF(P198&gt;0,ROUNDUP(P198/Parametres!$B$7,0)+1,0)</f>
        <v>0</v>
      </c>
    </row>
    <row r="199" customFormat="false" ht="15" hidden="false" customHeight="false" outlineLevel="0" collapsed="false">
      <c r="A199" s="2" t="n">
        <v>46280</v>
      </c>
      <c r="B199" s="3" t="n">
        <f aca="false">SUMIFS(Equipes!$D$2:$D$60,Equipes!$A$2:$A$60,"LOT-01",Equipes!$B$2:$B$60,"&lt;="&amp;$A199,Equipes!$C$2:$C$60,"&gt;="&amp;$A199)</f>
        <v>0</v>
      </c>
      <c r="C199" s="3" t="n">
        <f aca="false">IF(B199&gt;0,ROUNDUP(B199/Parametres!$B$7,0)+1,0)</f>
        <v>0</v>
      </c>
      <c r="D199" s="3" t="n">
        <f aca="false">SUMIFS(Equipes!$D$2:$D$60,Equipes!$A$2:$A$60,"LOT-02",Equipes!$B$2:$B$60,"&lt;="&amp;$A199,Equipes!$C$2:$C$60,"&gt;="&amp;$A199)</f>
        <v>0</v>
      </c>
      <c r="E199" s="3" t="n">
        <f aca="false">IF(D199&gt;0,ROUNDUP(D199/Parametres!$B$7,0)+1,0)</f>
        <v>0</v>
      </c>
      <c r="F199" s="3" t="n">
        <f aca="false">SUMIFS(Equipes!$D$2:$D$60,Equipes!$A$2:$A$60,"LOT-03",Equipes!$B$2:$B$60,"&lt;="&amp;$A199,Equipes!$C$2:$C$60,"&gt;="&amp;$A199)</f>
        <v>0</v>
      </c>
      <c r="G199" s="3" t="n">
        <f aca="false">IF(F199&gt;0,ROUNDUP(F199/Parametres!$B$7,0)+1,0)</f>
        <v>0</v>
      </c>
      <c r="H199" s="3" t="n">
        <f aca="false">SUMIFS(Equipes!$D$2:$D$60,Equipes!$A$2:$A$60,"LOT-04",Equipes!$B$2:$B$60,"&lt;="&amp;$A199,Equipes!$C$2:$C$60,"&gt;="&amp;$A199)</f>
        <v>24</v>
      </c>
      <c r="I199" s="3" t="n">
        <f aca="false">IF(H199&gt;0,ROUNDUP(H199/Parametres!$B$7,0)+1,0)</f>
        <v>3</v>
      </c>
      <c r="J199" s="3" t="n">
        <f aca="false">SUMIFS(Equipes!$D$2:$D$60,Equipes!$A$2:$A$60,"LOT-05",Equipes!$B$2:$B$60,"&lt;="&amp;$A199,Equipes!$C$2:$C$60,"&gt;="&amp;$A199)</f>
        <v>0</v>
      </c>
      <c r="K199" s="3" t="n">
        <f aca="false">IF(J199&gt;0,ROUNDUP(J199/Parametres!$B$7,0)+1,0)</f>
        <v>0</v>
      </c>
      <c r="L199" s="3" t="n">
        <f aca="false">SUMIFS(Equipes!$D$2:$D$60,Equipes!$A$2:$A$60,"LOT-06",Equipes!$B$2:$B$60,"&lt;="&amp;$A199,Equipes!$C$2:$C$60,"&gt;="&amp;$A199)</f>
        <v>10</v>
      </c>
      <c r="M199" s="3" t="n">
        <f aca="false">IF(L199&gt;0,ROUNDUP(L199/Parametres!$B$7,0)+1,0)</f>
        <v>2</v>
      </c>
      <c r="N199" s="3" t="n">
        <f aca="false">SUMIFS(Equipes!$D$2:$D$60,Equipes!$A$2:$A$60,"LOT-07",Equipes!$B$2:$B$60,"&lt;="&amp;$A199,Equipes!$C$2:$C$60,"&gt;="&amp;$A199)</f>
        <v>20</v>
      </c>
      <c r="O199" s="3" t="n">
        <f aca="false">IF(N199&gt;0,ROUNDUP(N199/Parametres!$B$7,0)+1,0)</f>
        <v>3</v>
      </c>
      <c r="P199" s="3" t="n">
        <f aca="false">SUMIFS(Equipes!$D$2:$D$60,Equipes!$A$2:$A$60,"LOT-08",Equipes!$B$2:$B$60,"&lt;="&amp;$A199,Equipes!$C$2:$C$60,"&gt;="&amp;$A199)</f>
        <v>0</v>
      </c>
      <c r="Q199" s="3" t="n">
        <f aca="false">IF(P199&gt;0,ROUNDUP(P199/Parametres!$B$7,0)+1,0)</f>
        <v>0</v>
      </c>
    </row>
    <row r="200" customFormat="false" ht="15" hidden="false" customHeight="false" outlineLevel="0" collapsed="false">
      <c r="A200" s="2" t="n">
        <v>46281</v>
      </c>
      <c r="B200" s="3" t="n">
        <f aca="false">SUMIFS(Equipes!$D$2:$D$60,Equipes!$A$2:$A$60,"LOT-01",Equipes!$B$2:$B$60,"&lt;="&amp;$A200,Equipes!$C$2:$C$60,"&gt;="&amp;$A200)</f>
        <v>0</v>
      </c>
      <c r="C200" s="3" t="n">
        <f aca="false">IF(B200&gt;0,ROUNDUP(B200/Parametres!$B$7,0)+1,0)</f>
        <v>0</v>
      </c>
      <c r="D200" s="3" t="n">
        <f aca="false">SUMIFS(Equipes!$D$2:$D$60,Equipes!$A$2:$A$60,"LOT-02",Equipes!$B$2:$B$60,"&lt;="&amp;$A200,Equipes!$C$2:$C$60,"&gt;="&amp;$A200)</f>
        <v>0</v>
      </c>
      <c r="E200" s="3" t="n">
        <f aca="false">IF(D200&gt;0,ROUNDUP(D200/Parametres!$B$7,0)+1,0)</f>
        <v>0</v>
      </c>
      <c r="F200" s="3" t="n">
        <f aca="false">SUMIFS(Equipes!$D$2:$D$60,Equipes!$A$2:$A$60,"LOT-03",Equipes!$B$2:$B$60,"&lt;="&amp;$A200,Equipes!$C$2:$C$60,"&gt;="&amp;$A200)</f>
        <v>0</v>
      </c>
      <c r="G200" s="3" t="n">
        <f aca="false">IF(F200&gt;0,ROUNDUP(F200/Parametres!$B$7,0)+1,0)</f>
        <v>0</v>
      </c>
      <c r="H200" s="3" t="n">
        <f aca="false">SUMIFS(Equipes!$D$2:$D$60,Equipes!$A$2:$A$60,"LOT-04",Equipes!$B$2:$B$60,"&lt;="&amp;$A200,Equipes!$C$2:$C$60,"&gt;="&amp;$A200)</f>
        <v>14</v>
      </c>
      <c r="I200" s="3" t="n">
        <f aca="false">IF(H200&gt;0,ROUNDUP(H200/Parametres!$B$7,0)+1,0)</f>
        <v>3</v>
      </c>
      <c r="J200" s="3" t="n">
        <f aca="false">SUMIFS(Equipes!$D$2:$D$60,Equipes!$A$2:$A$60,"LOT-05",Equipes!$B$2:$B$60,"&lt;="&amp;$A200,Equipes!$C$2:$C$60,"&gt;="&amp;$A200)</f>
        <v>0</v>
      </c>
      <c r="K200" s="3" t="n">
        <f aca="false">IF(J200&gt;0,ROUNDUP(J200/Parametres!$B$7,0)+1,0)</f>
        <v>0</v>
      </c>
      <c r="L200" s="3" t="n">
        <f aca="false">SUMIFS(Equipes!$D$2:$D$60,Equipes!$A$2:$A$60,"LOT-06",Equipes!$B$2:$B$60,"&lt;="&amp;$A200,Equipes!$C$2:$C$60,"&gt;="&amp;$A200)</f>
        <v>10</v>
      </c>
      <c r="M200" s="3" t="n">
        <f aca="false">IF(L200&gt;0,ROUNDUP(L200/Parametres!$B$7,0)+1,0)</f>
        <v>2</v>
      </c>
      <c r="N200" s="3" t="n">
        <f aca="false">SUMIFS(Equipes!$D$2:$D$60,Equipes!$A$2:$A$60,"LOT-07",Equipes!$B$2:$B$60,"&lt;="&amp;$A200,Equipes!$C$2:$C$60,"&gt;="&amp;$A200)</f>
        <v>20</v>
      </c>
      <c r="O200" s="3" t="n">
        <f aca="false">IF(N200&gt;0,ROUNDUP(N200/Parametres!$B$7,0)+1,0)</f>
        <v>3</v>
      </c>
      <c r="P200" s="3" t="n">
        <f aca="false">SUMIFS(Equipes!$D$2:$D$60,Equipes!$A$2:$A$60,"LOT-08",Equipes!$B$2:$B$60,"&lt;="&amp;$A200,Equipes!$C$2:$C$60,"&gt;="&amp;$A200)</f>
        <v>0</v>
      </c>
      <c r="Q200" s="3" t="n">
        <f aca="false">IF(P200&gt;0,ROUNDUP(P200/Parametres!$B$7,0)+1,0)</f>
        <v>0</v>
      </c>
    </row>
    <row r="201" customFormat="false" ht="15" hidden="false" customHeight="false" outlineLevel="0" collapsed="false">
      <c r="A201" s="2" t="n">
        <v>46282</v>
      </c>
      <c r="B201" s="3" t="n">
        <f aca="false">SUMIFS(Equipes!$D$2:$D$60,Equipes!$A$2:$A$60,"LOT-01",Equipes!$B$2:$B$60,"&lt;="&amp;$A201,Equipes!$C$2:$C$60,"&gt;="&amp;$A201)</f>
        <v>0</v>
      </c>
      <c r="C201" s="3" t="n">
        <f aca="false">IF(B201&gt;0,ROUNDUP(B201/Parametres!$B$7,0)+1,0)</f>
        <v>0</v>
      </c>
      <c r="D201" s="3" t="n">
        <f aca="false">SUMIFS(Equipes!$D$2:$D$60,Equipes!$A$2:$A$60,"LOT-02",Equipes!$B$2:$B$60,"&lt;="&amp;$A201,Equipes!$C$2:$C$60,"&gt;="&amp;$A201)</f>
        <v>0</v>
      </c>
      <c r="E201" s="3" t="n">
        <f aca="false">IF(D201&gt;0,ROUNDUP(D201/Parametres!$B$7,0)+1,0)</f>
        <v>0</v>
      </c>
      <c r="F201" s="3" t="n">
        <f aca="false">SUMIFS(Equipes!$D$2:$D$60,Equipes!$A$2:$A$60,"LOT-03",Equipes!$B$2:$B$60,"&lt;="&amp;$A201,Equipes!$C$2:$C$60,"&gt;="&amp;$A201)</f>
        <v>0</v>
      </c>
      <c r="G201" s="3" t="n">
        <f aca="false">IF(F201&gt;0,ROUNDUP(F201/Parametres!$B$7,0)+1,0)</f>
        <v>0</v>
      </c>
      <c r="H201" s="3" t="n">
        <f aca="false">SUMIFS(Equipes!$D$2:$D$60,Equipes!$A$2:$A$60,"LOT-04",Equipes!$B$2:$B$60,"&lt;="&amp;$A201,Equipes!$C$2:$C$60,"&gt;="&amp;$A201)</f>
        <v>14</v>
      </c>
      <c r="I201" s="3" t="n">
        <f aca="false">IF(H201&gt;0,ROUNDUP(H201/Parametres!$B$7,0)+1,0)</f>
        <v>3</v>
      </c>
      <c r="J201" s="3" t="n">
        <f aca="false">SUMIFS(Equipes!$D$2:$D$60,Equipes!$A$2:$A$60,"LOT-05",Equipes!$B$2:$B$60,"&lt;="&amp;$A201,Equipes!$C$2:$C$60,"&gt;="&amp;$A201)</f>
        <v>0</v>
      </c>
      <c r="K201" s="3" t="n">
        <f aca="false">IF(J201&gt;0,ROUNDUP(J201/Parametres!$B$7,0)+1,0)</f>
        <v>0</v>
      </c>
      <c r="L201" s="3" t="n">
        <f aca="false">SUMIFS(Equipes!$D$2:$D$60,Equipes!$A$2:$A$60,"LOT-06",Equipes!$B$2:$B$60,"&lt;="&amp;$A201,Equipes!$C$2:$C$60,"&gt;="&amp;$A201)</f>
        <v>10</v>
      </c>
      <c r="M201" s="3" t="n">
        <f aca="false">IF(L201&gt;0,ROUNDUP(L201/Parametres!$B$7,0)+1,0)</f>
        <v>2</v>
      </c>
      <c r="N201" s="3" t="n">
        <f aca="false">SUMIFS(Equipes!$D$2:$D$60,Equipes!$A$2:$A$60,"LOT-07",Equipes!$B$2:$B$60,"&lt;="&amp;$A201,Equipes!$C$2:$C$60,"&gt;="&amp;$A201)</f>
        <v>20</v>
      </c>
      <c r="O201" s="3" t="n">
        <f aca="false">IF(N201&gt;0,ROUNDUP(N201/Parametres!$B$7,0)+1,0)</f>
        <v>3</v>
      </c>
      <c r="P201" s="3" t="n">
        <f aca="false">SUMIFS(Equipes!$D$2:$D$60,Equipes!$A$2:$A$60,"LOT-08",Equipes!$B$2:$B$60,"&lt;="&amp;$A201,Equipes!$C$2:$C$60,"&gt;="&amp;$A201)</f>
        <v>0</v>
      </c>
      <c r="Q201" s="3" t="n">
        <f aca="false">IF(P201&gt;0,ROUNDUP(P201/Parametres!$B$7,0)+1,0)</f>
        <v>0</v>
      </c>
    </row>
    <row r="202" customFormat="false" ht="15" hidden="false" customHeight="false" outlineLevel="0" collapsed="false">
      <c r="A202" s="2" t="n">
        <v>46283</v>
      </c>
      <c r="B202" s="3" t="n">
        <f aca="false">SUMIFS(Equipes!$D$2:$D$60,Equipes!$A$2:$A$60,"LOT-01",Equipes!$B$2:$B$60,"&lt;="&amp;$A202,Equipes!$C$2:$C$60,"&gt;="&amp;$A202)</f>
        <v>0</v>
      </c>
      <c r="C202" s="3" t="n">
        <f aca="false">IF(B202&gt;0,ROUNDUP(B202/Parametres!$B$7,0)+1,0)</f>
        <v>0</v>
      </c>
      <c r="D202" s="3" t="n">
        <f aca="false">SUMIFS(Equipes!$D$2:$D$60,Equipes!$A$2:$A$60,"LOT-02",Equipes!$B$2:$B$60,"&lt;="&amp;$A202,Equipes!$C$2:$C$60,"&gt;="&amp;$A202)</f>
        <v>0</v>
      </c>
      <c r="E202" s="3" t="n">
        <f aca="false">IF(D202&gt;0,ROUNDUP(D202/Parametres!$B$7,0)+1,0)</f>
        <v>0</v>
      </c>
      <c r="F202" s="3" t="n">
        <f aca="false">SUMIFS(Equipes!$D$2:$D$60,Equipes!$A$2:$A$60,"LOT-03",Equipes!$B$2:$B$60,"&lt;="&amp;$A202,Equipes!$C$2:$C$60,"&gt;="&amp;$A202)</f>
        <v>0</v>
      </c>
      <c r="G202" s="3" t="n">
        <f aca="false">IF(F202&gt;0,ROUNDUP(F202/Parametres!$B$7,0)+1,0)</f>
        <v>0</v>
      </c>
      <c r="H202" s="3" t="n">
        <f aca="false">SUMIFS(Equipes!$D$2:$D$60,Equipes!$A$2:$A$60,"LOT-04",Equipes!$B$2:$B$60,"&lt;="&amp;$A202,Equipes!$C$2:$C$60,"&gt;="&amp;$A202)</f>
        <v>14</v>
      </c>
      <c r="I202" s="3" t="n">
        <f aca="false">IF(H202&gt;0,ROUNDUP(H202/Parametres!$B$7,0)+1,0)</f>
        <v>3</v>
      </c>
      <c r="J202" s="3" t="n">
        <f aca="false">SUMIFS(Equipes!$D$2:$D$60,Equipes!$A$2:$A$60,"LOT-05",Equipes!$B$2:$B$60,"&lt;="&amp;$A202,Equipes!$C$2:$C$60,"&gt;="&amp;$A202)</f>
        <v>0</v>
      </c>
      <c r="K202" s="3" t="n">
        <f aca="false">IF(J202&gt;0,ROUNDUP(J202/Parametres!$B$7,0)+1,0)</f>
        <v>0</v>
      </c>
      <c r="L202" s="3" t="n">
        <f aca="false">SUMIFS(Equipes!$D$2:$D$60,Equipes!$A$2:$A$60,"LOT-06",Equipes!$B$2:$B$60,"&lt;="&amp;$A202,Equipes!$C$2:$C$60,"&gt;="&amp;$A202)</f>
        <v>10</v>
      </c>
      <c r="M202" s="3" t="n">
        <f aca="false">IF(L202&gt;0,ROUNDUP(L202/Parametres!$B$7,0)+1,0)</f>
        <v>2</v>
      </c>
      <c r="N202" s="3" t="n">
        <f aca="false">SUMIFS(Equipes!$D$2:$D$60,Equipes!$A$2:$A$60,"LOT-07",Equipes!$B$2:$B$60,"&lt;="&amp;$A202,Equipes!$C$2:$C$60,"&gt;="&amp;$A202)</f>
        <v>20</v>
      </c>
      <c r="O202" s="3" t="n">
        <f aca="false">IF(N202&gt;0,ROUNDUP(N202/Parametres!$B$7,0)+1,0)</f>
        <v>3</v>
      </c>
      <c r="P202" s="3" t="n">
        <f aca="false">SUMIFS(Equipes!$D$2:$D$60,Equipes!$A$2:$A$60,"LOT-08",Equipes!$B$2:$B$60,"&lt;="&amp;$A202,Equipes!$C$2:$C$60,"&gt;="&amp;$A202)</f>
        <v>0</v>
      </c>
      <c r="Q202" s="3" t="n">
        <f aca="false">IF(P202&gt;0,ROUNDUP(P202/Parametres!$B$7,0)+1,0)</f>
        <v>0</v>
      </c>
    </row>
    <row r="203" customFormat="false" ht="15" hidden="false" customHeight="false" outlineLevel="0" collapsed="false">
      <c r="A203" s="2" t="n">
        <v>46284</v>
      </c>
      <c r="B203" s="3" t="n">
        <f aca="false">SUMIFS(Equipes!$D$2:$D$60,Equipes!$A$2:$A$60,"LOT-01",Equipes!$B$2:$B$60,"&lt;="&amp;$A203,Equipes!$C$2:$C$60,"&gt;="&amp;$A203)</f>
        <v>0</v>
      </c>
      <c r="C203" s="3" t="n">
        <f aca="false">IF(B203&gt;0,ROUNDUP(B203/Parametres!$B$7,0)+1,0)</f>
        <v>0</v>
      </c>
      <c r="D203" s="3" t="n">
        <f aca="false">SUMIFS(Equipes!$D$2:$D$60,Equipes!$A$2:$A$60,"LOT-02",Equipes!$B$2:$B$60,"&lt;="&amp;$A203,Equipes!$C$2:$C$60,"&gt;="&amp;$A203)</f>
        <v>0</v>
      </c>
      <c r="E203" s="3" t="n">
        <f aca="false">IF(D203&gt;0,ROUNDUP(D203/Parametres!$B$7,0)+1,0)</f>
        <v>0</v>
      </c>
      <c r="F203" s="3" t="n">
        <f aca="false">SUMIFS(Equipes!$D$2:$D$60,Equipes!$A$2:$A$60,"LOT-03",Equipes!$B$2:$B$60,"&lt;="&amp;$A203,Equipes!$C$2:$C$60,"&gt;="&amp;$A203)</f>
        <v>0</v>
      </c>
      <c r="G203" s="3" t="n">
        <f aca="false">IF(F203&gt;0,ROUNDUP(F203/Parametres!$B$7,0)+1,0)</f>
        <v>0</v>
      </c>
      <c r="H203" s="3" t="n">
        <f aca="false">SUMIFS(Equipes!$D$2:$D$60,Equipes!$A$2:$A$60,"LOT-04",Equipes!$B$2:$B$60,"&lt;="&amp;$A203,Equipes!$C$2:$C$60,"&gt;="&amp;$A203)</f>
        <v>14</v>
      </c>
      <c r="I203" s="3" t="n">
        <f aca="false">IF(H203&gt;0,ROUNDUP(H203/Parametres!$B$7,0)+1,0)</f>
        <v>3</v>
      </c>
      <c r="J203" s="3" t="n">
        <f aca="false">SUMIFS(Equipes!$D$2:$D$60,Equipes!$A$2:$A$60,"LOT-05",Equipes!$B$2:$B$60,"&lt;="&amp;$A203,Equipes!$C$2:$C$60,"&gt;="&amp;$A203)</f>
        <v>0</v>
      </c>
      <c r="K203" s="3" t="n">
        <f aca="false">IF(J203&gt;0,ROUNDUP(J203/Parametres!$B$7,0)+1,0)</f>
        <v>0</v>
      </c>
      <c r="L203" s="3" t="n">
        <f aca="false">SUMIFS(Equipes!$D$2:$D$60,Equipes!$A$2:$A$60,"LOT-06",Equipes!$B$2:$B$60,"&lt;="&amp;$A203,Equipes!$C$2:$C$60,"&gt;="&amp;$A203)</f>
        <v>10</v>
      </c>
      <c r="M203" s="3" t="n">
        <f aca="false">IF(L203&gt;0,ROUNDUP(L203/Parametres!$B$7,0)+1,0)</f>
        <v>2</v>
      </c>
      <c r="N203" s="3" t="n">
        <f aca="false">SUMIFS(Equipes!$D$2:$D$60,Equipes!$A$2:$A$60,"LOT-07",Equipes!$B$2:$B$60,"&lt;="&amp;$A203,Equipes!$C$2:$C$60,"&gt;="&amp;$A203)</f>
        <v>20</v>
      </c>
      <c r="O203" s="3" t="n">
        <f aca="false">IF(N203&gt;0,ROUNDUP(N203/Parametres!$B$7,0)+1,0)</f>
        <v>3</v>
      </c>
      <c r="P203" s="3" t="n">
        <f aca="false">SUMIFS(Equipes!$D$2:$D$60,Equipes!$A$2:$A$60,"LOT-08",Equipes!$B$2:$B$60,"&lt;="&amp;$A203,Equipes!$C$2:$C$60,"&gt;="&amp;$A203)</f>
        <v>0</v>
      </c>
      <c r="Q203" s="3" t="n">
        <f aca="false">IF(P203&gt;0,ROUNDUP(P203/Parametres!$B$7,0)+1,0)</f>
        <v>0</v>
      </c>
    </row>
    <row r="204" customFormat="false" ht="15" hidden="false" customHeight="false" outlineLevel="0" collapsed="false">
      <c r="A204" s="2" t="n">
        <v>46285</v>
      </c>
      <c r="B204" s="3" t="n">
        <f aca="false">SUMIFS(Equipes!$D$2:$D$60,Equipes!$A$2:$A$60,"LOT-01",Equipes!$B$2:$B$60,"&lt;="&amp;$A204,Equipes!$C$2:$C$60,"&gt;="&amp;$A204)</f>
        <v>0</v>
      </c>
      <c r="C204" s="3" t="n">
        <f aca="false">IF(B204&gt;0,ROUNDUP(B204/Parametres!$B$7,0)+1,0)</f>
        <v>0</v>
      </c>
      <c r="D204" s="3" t="n">
        <f aca="false">SUMIFS(Equipes!$D$2:$D$60,Equipes!$A$2:$A$60,"LOT-02",Equipes!$B$2:$B$60,"&lt;="&amp;$A204,Equipes!$C$2:$C$60,"&gt;="&amp;$A204)</f>
        <v>0</v>
      </c>
      <c r="E204" s="3" t="n">
        <f aca="false">IF(D204&gt;0,ROUNDUP(D204/Parametres!$B$7,0)+1,0)</f>
        <v>0</v>
      </c>
      <c r="F204" s="3" t="n">
        <f aca="false">SUMIFS(Equipes!$D$2:$D$60,Equipes!$A$2:$A$60,"LOT-03",Equipes!$B$2:$B$60,"&lt;="&amp;$A204,Equipes!$C$2:$C$60,"&gt;="&amp;$A204)</f>
        <v>0</v>
      </c>
      <c r="G204" s="3" t="n">
        <f aca="false">IF(F204&gt;0,ROUNDUP(F204/Parametres!$B$7,0)+1,0)</f>
        <v>0</v>
      </c>
      <c r="H204" s="3" t="n">
        <f aca="false">SUMIFS(Equipes!$D$2:$D$60,Equipes!$A$2:$A$60,"LOT-04",Equipes!$B$2:$B$60,"&lt;="&amp;$A204,Equipes!$C$2:$C$60,"&gt;="&amp;$A204)</f>
        <v>14</v>
      </c>
      <c r="I204" s="3" t="n">
        <f aca="false">IF(H204&gt;0,ROUNDUP(H204/Parametres!$B$7,0)+1,0)</f>
        <v>3</v>
      </c>
      <c r="J204" s="3" t="n">
        <f aca="false">SUMIFS(Equipes!$D$2:$D$60,Equipes!$A$2:$A$60,"LOT-05",Equipes!$B$2:$B$60,"&lt;="&amp;$A204,Equipes!$C$2:$C$60,"&gt;="&amp;$A204)</f>
        <v>0</v>
      </c>
      <c r="K204" s="3" t="n">
        <f aca="false">IF(J204&gt;0,ROUNDUP(J204/Parametres!$B$7,0)+1,0)</f>
        <v>0</v>
      </c>
      <c r="L204" s="3" t="n">
        <f aca="false">SUMIFS(Equipes!$D$2:$D$60,Equipes!$A$2:$A$60,"LOT-06",Equipes!$B$2:$B$60,"&lt;="&amp;$A204,Equipes!$C$2:$C$60,"&gt;="&amp;$A204)</f>
        <v>12</v>
      </c>
      <c r="M204" s="3" t="n">
        <f aca="false">IF(L204&gt;0,ROUNDUP(L204/Parametres!$B$7,0)+1,0)</f>
        <v>2</v>
      </c>
      <c r="N204" s="3" t="n">
        <f aca="false">SUMIFS(Equipes!$D$2:$D$60,Equipes!$A$2:$A$60,"LOT-07",Equipes!$B$2:$B$60,"&lt;="&amp;$A204,Equipes!$C$2:$C$60,"&gt;="&amp;$A204)</f>
        <v>20</v>
      </c>
      <c r="O204" s="3" t="n">
        <f aca="false">IF(N204&gt;0,ROUNDUP(N204/Parametres!$B$7,0)+1,0)</f>
        <v>3</v>
      </c>
      <c r="P204" s="3" t="n">
        <f aca="false">SUMIFS(Equipes!$D$2:$D$60,Equipes!$A$2:$A$60,"LOT-08",Equipes!$B$2:$B$60,"&lt;="&amp;$A204,Equipes!$C$2:$C$60,"&gt;="&amp;$A204)</f>
        <v>0</v>
      </c>
      <c r="Q204" s="3" t="n">
        <f aca="false">IF(P204&gt;0,ROUNDUP(P204/Parametres!$B$7,0)+1,0)</f>
        <v>0</v>
      </c>
    </row>
    <row r="205" customFormat="false" ht="15" hidden="false" customHeight="false" outlineLevel="0" collapsed="false">
      <c r="A205" s="2" t="n">
        <v>46286</v>
      </c>
      <c r="B205" s="3" t="n">
        <f aca="false">SUMIFS(Equipes!$D$2:$D$60,Equipes!$A$2:$A$60,"LOT-01",Equipes!$B$2:$B$60,"&lt;="&amp;$A205,Equipes!$C$2:$C$60,"&gt;="&amp;$A205)</f>
        <v>0</v>
      </c>
      <c r="C205" s="3" t="n">
        <f aca="false">IF(B205&gt;0,ROUNDUP(B205/Parametres!$B$7,0)+1,0)</f>
        <v>0</v>
      </c>
      <c r="D205" s="3" t="n">
        <f aca="false">SUMIFS(Equipes!$D$2:$D$60,Equipes!$A$2:$A$60,"LOT-02",Equipes!$B$2:$B$60,"&lt;="&amp;$A205,Equipes!$C$2:$C$60,"&gt;="&amp;$A205)</f>
        <v>0</v>
      </c>
      <c r="E205" s="3" t="n">
        <f aca="false">IF(D205&gt;0,ROUNDUP(D205/Parametres!$B$7,0)+1,0)</f>
        <v>0</v>
      </c>
      <c r="F205" s="3" t="n">
        <f aca="false">SUMIFS(Equipes!$D$2:$D$60,Equipes!$A$2:$A$60,"LOT-03",Equipes!$B$2:$B$60,"&lt;="&amp;$A205,Equipes!$C$2:$C$60,"&gt;="&amp;$A205)</f>
        <v>0</v>
      </c>
      <c r="G205" s="3" t="n">
        <f aca="false">IF(F205&gt;0,ROUNDUP(F205/Parametres!$B$7,0)+1,0)</f>
        <v>0</v>
      </c>
      <c r="H205" s="3" t="n">
        <f aca="false">SUMIFS(Equipes!$D$2:$D$60,Equipes!$A$2:$A$60,"LOT-04",Equipes!$B$2:$B$60,"&lt;="&amp;$A205,Equipes!$C$2:$C$60,"&gt;="&amp;$A205)</f>
        <v>14</v>
      </c>
      <c r="I205" s="3" t="n">
        <f aca="false">IF(H205&gt;0,ROUNDUP(H205/Parametres!$B$7,0)+1,0)</f>
        <v>3</v>
      </c>
      <c r="J205" s="3" t="n">
        <f aca="false">SUMIFS(Equipes!$D$2:$D$60,Equipes!$A$2:$A$60,"LOT-05",Equipes!$B$2:$B$60,"&lt;="&amp;$A205,Equipes!$C$2:$C$60,"&gt;="&amp;$A205)</f>
        <v>0</v>
      </c>
      <c r="K205" s="3" t="n">
        <f aca="false">IF(J205&gt;0,ROUNDUP(J205/Parametres!$B$7,0)+1,0)</f>
        <v>0</v>
      </c>
      <c r="L205" s="3" t="n">
        <f aca="false">SUMIFS(Equipes!$D$2:$D$60,Equipes!$A$2:$A$60,"LOT-06",Equipes!$B$2:$B$60,"&lt;="&amp;$A205,Equipes!$C$2:$C$60,"&gt;="&amp;$A205)</f>
        <v>12</v>
      </c>
      <c r="M205" s="3" t="n">
        <f aca="false">IF(L205&gt;0,ROUNDUP(L205/Parametres!$B$7,0)+1,0)</f>
        <v>2</v>
      </c>
      <c r="N205" s="3" t="n">
        <f aca="false">SUMIFS(Equipes!$D$2:$D$60,Equipes!$A$2:$A$60,"LOT-07",Equipes!$B$2:$B$60,"&lt;="&amp;$A205,Equipes!$C$2:$C$60,"&gt;="&amp;$A205)</f>
        <v>20</v>
      </c>
      <c r="O205" s="3" t="n">
        <f aca="false">IF(N205&gt;0,ROUNDUP(N205/Parametres!$B$7,0)+1,0)</f>
        <v>3</v>
      </c>
      <c r="P205" s="3" t="n">
        <f aca="false">SUMIFS(Equipes!$D$2:$D$60,Equipes!$A$2:$A$60,"LOT-08",Equipes!$B$2:$B$60,"&lt;="&amp;$A205,Equipes!$C$2:$C$60,"&gt;="&amp;$A205)</f>
        <v>0</v>
      </c>
      <c r="Q205" s="3" t="n">
        <f aca="false">IF(P205&gt;0,ROUNDUP(P205/Parametres!$B$7,0)+1,0)</f>
        <v>0</v>
      </c>
    </row>
    <row r="206" customFormat="false" ht="15" hidden="false" customHeight="false" outlineLevel="0" collapsed="false">
      <c r="A206" s="2" t="n">
        <v>46287</v>
      </c>
      <c r="B206" s="3" t="n">
        <f aca="false">SUMIFS(Equipes!$D$2:$D$60,Equipes!$A$2:$A$60,"LOT-01",Equipes!$B$2:$B$60,"&lt;="&amp;$A206,Equipes!$C$2:$C$60,"&gt;="&amp;$A206)</f>
        <v>0</v>
      </c>
      <c r="C206" s="3" t="n">
        <f aca="false">IF(B206&gt;0,ROUNDUP(B206/Parametres!$B$7,0)+1,0)</f>
        <v>0</v>
      </c>
      <c r="D206" s="3" t="n">
        <f aca="false">SUMIFS(Equipes!$D$2:$D$60,Equipes!$A$2:$A$60,"LOT-02",Equipes!$B$2:$B$60,"&lt;="&amp;$A206,Equipes!$C$2:$C$60,"&gt;="&amp;$A206)</f>
        <v>0</v>
      </c>
      <c r="E206" s="3" t="n">
        <f aca="false">IF(D206&gt;0,ROUNDUP(D206/Parametres!$B$7,0)+1,0)</f>
        <v>0</v>
      </c>
      <c r="F206" s="3" t="n">
        <f aca="false">SUMIFS(Equipes!$D$2:$D$60,Equipes!$A$2:$A$60,"LOT-03",Equipes!$B$2:$B$60,"&lt;="&amp;$A206,Equipes!$C$2:$C$60,"&gt;="&amp;$A206)</f>
        <v>0</v>
      </c>
      <c r="G206" s="3" t="n">
        <f aca="false">IF(F206&gt;0,ROUNDUP(F206/Parametres!$B$7,0)+1,0)</f>
        <v>0</v>
      </c>
      <c r="H206" s="3" t="n">
        <f aca="false">SUMIFS(Equipes!$D$2:$D$60,Equipes!$A$2:$A$60,"LOT-04",Equipes!$B$2:$B$60,"&lt;="&amp;$A206,Equipes!$C$2:$C$60,"&gt;="&amp;$A206)</f>
        <v>14</v>
      </c>
      <c r="I206" s="3" t="n">
        <f aca="false">IF(H206&gt;0,ROUNDUP(H206/Parametres!$B$7,0)+1,0)</f>
        <v>3</v>
      </c>
      <c r="J206" s="3" t="n">
        <f aca="false">SUMIFS(Equipes!$D$2:$D$60,Equipes!$A$2:$A$60,"LOT-05",Equipes!$B$2:$B$60,"&lt;="&amp;$A206,Equipes!$C$2:$C$60,"&gt;="&amp;$A206)</f>
        <v>0</v>
      </c>
      <c r="K206" s="3" t="n">
        <f aca="false">IF(J206&gt;0,ROUNDUP(J206/Parametres!$B$7,0)+1,0)</f>
        <v>0</v>
      </c>
      <c r="L206" s="3" t="n">
        <f aca="false">SUMIFS(Equipes!$D$2:$D$60,Equipes!$A$2:$A$60,"LOT-06",Equipes!$B$2:$B$60,"&lt;="&amp;$A206,Equipes!$C$2:$C$60,"&gt;="&amp;$A206)</f>
        <v>12</v>
      </c>
      <c r="M206" s="3" t="n">
        <f aca="false">IF(L206&gt;0,ROUNDUP(L206/Parametres!$B$7,0)+1,0)</f>
        <v>2</v>
      </c>
      <c r="N206" s="3" t="n">
        <f aca="false">SUMIFS(Equipes!$D$2:$D$60,Equipes!$A$2:$A$60,"LOT-07",Equipes!$B$2:$B$60,"&lt;="&amp;$A206,Equipes!$C$2:$C$60,"&gt;="&amp;$A206)</f>
        <v>20</v>
      </c>
      <c r="O206" s="3" t="n">
        <f aca="false">IF(N206&gt;0,ROUNDUP(N206/Parametres!$B$7,0)+1,0)</f>
        <v>3</v>
      </c>
      <c r="P206" s="3" t="n">
        <f aca="false">SUMIFS(Equipes!$D$2:$D$60,Equipes!$A$2:$A$60,"LOT-08",Equipes!$B$2:$B$60,"&lt;="&amp;$A206,Equipes!$C$2:$C$60,"&gt;="&amp;$A206)</f>
        <v>0</v>
      </c>
      <c r="Q206" s="3" t="n">
        <f aca="false">IF(P206&gt;0,ROUNDUP(P206/Parametres!$B$7,0)+1,0)</f>
        <v>0</v>
      </c>
    </row>
    <row r="207" customFormat="false" ht="15" hidden="false" customHeight="false" outlineLevel="0" collapsed="false">
      <c r="A207" s="2" t="n">
        <v>46288</v>
      </c>
      <c r="B207" s="3" t="n">
        <f aca="false">SUMIFS(Equipes!$D$2:$D$60,Equipes!$A$2:$A$60,"LOT-01",Equipes!$B$2:$B$60,"&lt;="&amp;$A207,Equipes!$C$2:$C$60,"&gt;="&amp;$A207)</f>
        <v>0</v>
      </c>
      <c r="C207" s="3" t="n">
        <f aca="false">IF(B207&gt;0,ROUNDUP(B207/Parametres!$B$7,0)+1,0)</f>
        <v>0</v>
      </c>
      <c r="D207" s="3" t="n">
        <f aca="false">SUMIFS(Equipes!$D$2:$D$60,Equipes!$A$2:$A$60,"LOT-02",Equipes!$B$2:$B$60,"&lt;="&amp;$A207,Equipes!$C$2:$C$60,"&gt;="&amp;$A207)</f>
        <v>0</v>
      </c>
      <c r="E207" s="3" t="n">
        <f aca="false">IF(D207&gt;0,ROUNDUP(D207/Parametres!$B$7,0)+1,0)</f>
        <v>0</v>
      </c>
      <c r="F207" s="3" t="n">
        <f aca="false">SUMIFS(Equipes!$D$2:$D$60,Equipes!$A$2:$A$60,"LOT-03",Equipes!$B$2:$B$60,"&lt;="&amp;$A207,Equipes!$C$2:$C$60,"&gt;="&amp;$A207)</f>
        <v>0</v>
      </c>
      <c r="G207" s="3" t="n">
        <f aca="false">IF(F207&gt;0,ROUNDUP(F207/Parametres!$B$7,0)+1,0)</f>
        <v>0</v>
      </c>
      <c r="H207" s="3" t="n">
        <f aca="false">SUMIFS(Equipes!$D$2:$D$60,Equipes!$A$2:$A$60,"LOT-04",Equipes!$B$2:$B$60,"&lt;="&amp;$A207,Equipes!$C$2:$C$60,"&gt;="&amp;$A207)</f>
        <v>14</v>
      </c>
      <c r="I207" s="3" t="n">
        <f aca="false">IF(H207&gt;0,ROUNDUP(H207/Parametres!$B$7,0)+1,0)</f>
        <v>3</v>
      </c>
      <c r="J207" s="3" t="n">
        <f aca="false">SUMIFS(Equipes!$D$2:$D$60,Equipes!$A$2:$A$60,"LOT-05",Equipes!$B$2:$B$60,"&lt;="&amp;$A207,Equipes!$C$2:$C$60,"&gt;="&amp;$A207)</f>
        <v>0</v>
      </c>
      <c r="K207" s="3" t="n">
        <f aca="false">IF(J207&gt;0,ROUNDUP(J207/Parametres!$B$7,0)+1,0)</f>
        <v>0</v>
      </c>
      <c r="L207" s="3" t="n">
        <f aca="false">SUMIFS(Equipes!$D$2:$D$60,Equipes!$A$2:$A$60,"LOT-06",Equipes!$B$2:$B$60,"&lt;="&amp;$A207,Equipes!$C$2:$C$60,"&gt;="&amp;$A207)</f>
        <v>12</v>
      </c>
      <c r="M207" s="3" t="n">
        <f aca="false">IF(L207&gt;0,ROUNDUP(L207/Parametres!$B$7,0)+1,0)</f>
        <v>2</v>
      </c>
      <c r="N207" s="3" t="n">
        <f aca="false">SUMIFS(Equipes!$D$2:$D$60,Equipes!$A$2:$A$60,"LOT-07",Equipes!$B$2:$B$60,"&lt;="&amp;$A207,Equipes!$C$2:$C$60,"&gt;="&amp;$A207)</f>
        <v>20</v>
      </c>
      <c r="O207" s="3" t="n">
        <f aca="false">IF(N207&gt;0,ROUNDUP(N207/Parametres!$B$7,0)+1,0)</f>
        <v>3</v>
      </c>
      <c r="P207" s="3" t="n">
        <f aca="false">SUMIFS(Equipes!$D$2:$D$60,Equipes!$A$2:$A$60,"LOT-08",Equipes!$B$2:$B$60,"&lt;="&amp;$A207,Equipes!$C$2:$C$60,"&gt;="&amp;$A207)</f>
        <v>0</v>
      </c>
      <c r="Q207" s="3" t="n">
        <f aca="false">IF(P207&gt;0,ROUNDUP(P207/Parametres!$B$7,0)+1,0)</f>
        <v>0</v>
      </c>
    </row>
    <row r="208" customFormat="false" ht="15" hidden="false" customHeight="false" outlineLevel="0" collapsed="false">
      <c r="A208" s="2" t="n">
        <v>46289</v>
      </c>
      <c r="B208" s="3" t="n">
        <f aca="false">SUMIFS(Equipes!$D$2:$D$60,Equipes!$A$2:$A$60,"LOT-01",Equipes!$B$2:$B$60,"&lt;="&amp;$A208,Equipes!$C$2:$C$60,"&gt;="&amp;$A208)</f>
        <v>0</v>
      </c>
      <c r="C208" s="3" t="n">
        <f aca="false">IF(B208&gt;0,ROUNDUP(B208/Parametres!$B$7,0)+1,0)</f>
        <v>0</v>
      </c>
      <c r="D208" s="3" t="n">
        <f aca="false">SUMIFS(Equipes!$D$2:$D$60,Equipes!$A$2:$A$60,"LOT-02",Equipes!$B$2:$B$60,"&lt;="&amp;$A208,Equipes!$C$2:$C$60,"&gt;="&amp;$A208)</f>
        <v>0</v>
      </c>
      <c r="E208" s="3" t="n">
        <f aca="false">IF(D208&gt;0,ROUNDUP(D208/Parametres!$B$7,0)+1,0)</f>
        <v>0</v>
      </c>
      <c r="F208" s="3" t="n">
        <f aca="false">SUMIFS(Equipes!$D$2:$D$60,Equipes!$A$2:$A$60,"LOT-03",Equipes!$B$2:$B$60,"&lt;="&amp;$A208,Equipes!$C$2:$C$60,"&gt;="&amp;$A208)</f>
        <v>0</v>
      </c>
      <c r="G208" s="3" t="n">
        <f aca="false">IF(F208&gt;0,ROUNDUP(F208/Parametres!$B$7,0)+1,0)</f>
        <v>0</v>
      </c>
      <c r="H208" s="3" t="n">
        <f aca="false">SUMIFS(Equipes!$D$2:$D$60,Equipes!$A$2:$A$60,"LOT-04",Equipes!$B$2:$B$60,"&lt;="&amp;$A208,Equipes!$C$2:$C$60,"&gt;="&amp;$A208)</f>
        <v>14</v>
      </c>
      <c r="I208" s="3" t="n">
        <f aca="false">IF(H208&gt;0,ROUNDUP(H208/Parametres!$B$7,0)+1,0)</f>
        <v>3</v>
      </c>
      <c r="J208" s="3" t="n">
        <f aca="false">SUMIFS(Equipes!$D$2:$D$60,Equipes!$A$2:$A$60,"LOT-05",Equipes!$B$2:$B$60,"&lt;="&amp;$A208,Equipes!$C$2:$C$60,"&gt;="&amp;$A208)</f>
        <v>0</v>
      </c>
      <c r="K208" s="3" t="n">
        <f aca="false">IF(J208&gt;0,ROUNDUP(J208/Parametres!$B$7,0)+1,0)</f>
        <v>0</v>
      </c>
      <c r="L208" s="3" t="n">
        <f aca="false">SUMIFS(Equipes!$D$2:$D$60,Equipes!$A$2:$A$60,"LOT-06",Equipes!$B$2:$B$60,"&lt;="&amp;$A208,Equipes!$C$2:$C$60,"&gt;="&amp;$A208)</f>
        <v>12</v>
      </c>
      <c r="M208" s="3" t="n">
        <f aca="false">IF(L208&gt;0,ROUNDUP(L208/Parametres!$B$7,0)+1,0)</f>
        <v>2</v>
      </c>
      <c r="N208" s="3" t="n">
        <f aca="false">SUMIFS(Equipes!$D$2:$D$60,Equipes!$A$2:$A$60,"LOT-07",Equipes!$B$2:$B$60,"&lt;="&amp;$A208,Equipes!$C$2:$C$60,"&gt;="&amp;$A208)</f>
        <v>30</v>
      </c>
      <c r="O208" s="3" t="n">
        <f aca="false">IF(N208&gt;0,ROUNDUP(N208/Parametres!$B$7,0)+1,0)</f>
        <v>4</v>
      </c>
      <c r="P208" s="3" t="n">
        <f aca="false">SUMIFS(Equipes!$D$2:$D$60,Equipes!$A$2:$A$60,"LOT-08",Equipes!$B$2:$B$60,"&lt;="&amp;$A208,Equipes!$C$2:$C$60,"&gt;="&amp;$A208)</f>
        <v>0</v>
      </c>
      <c r="Q208" s="3" t="n">
        <f aca="false">IF(P208&gt;0,ROUNDUP(P208/Parametres!$B$7,0)+1,0)</f>
        <v>0</v>
      </c>
    </row>
    <row r="209" customFormat="false" ht="15" hidden="false" customHeight="false" outlineLevel="0" collapsed="false">
      <c r="A209" s="2" t="n">
        <v>46290</v>
      </c>
      <c r="B209" s="3" t="n">
        <f aca="false">SUMIFS(Equipes!$D$2:$D$60,Equipes!$A$2:$A$60,"LOT-01",Equipes!$B$2:$B$60,"&lt;="&amp;$A209,Equipes!$C$2:$C$60,"&gt;="&amp;$A209)</f>
        <v>0</v>
      </c>
      <c r="C209" s="3" t="n">
        <f aca="false">IF(B209&gt;0,ROUNDUP(B209/Parametres!$B$7,0)+1,0)</f>
        <v>0</v>
      </c>
      <c r="D209" s="3" t="n">
        <f aca="false">SUMIFS(Equipes!$D$2:$D$60,Equipes!$A$2:$A$60,"LOT-02",Equipes!$B$2:$B$60,"&lt;="&amp;$A209,Equipes!$C$2:$C$60,"&gt;="&amp;$A209)</f>
        <v>0</v>
      </c>
      <c r="E209" s="3" t="n">
        <f aca="false">IF(D209&gt;0,ROUNDUP(D209/Parametres!$B$7,0)+1,0)</f>
        <v>0</v>
      </c>
      <c r="F209" s="3" t="n">
        <f aca="false">SUMIFS(Equipes!$D$2:$D$60,Equipes!$A$2:$A$60,"LOT-03",Equipes!$B$2:$B$60,"&lt;="&amp;$A209,Equipes!$C$2:$C$60,"&gt;="&amp;$A209)</f>
        <v>0</v>
      </c>
      <c r="G209" s="3" t="n">
        <f aca="false">IF(F209&gt;0,ROUNDUP(F209/Parametres!$B$7,0)+1,0)</f>
        <v>0</v>
      </c>
      <c r="H209" s="3" t="n">
        <f aca="false">SUMIFS(Equipes!$D$2:$D$60,Equipes!$A$2:$A$60,"LOT-04",Equipes!$B$2:$B$60,"&lt;="&amp;$A209,Equipes!$C$2:$C$60,"&gt;="&amp;$A209)</f>
        <v>14</v>
      </c>
      <c r="I209" s="3" t="n">
        <f aca="false">IF(H209&gt;0,ROUNDUP(H209/Parametres!$B$7,0)+1,0)</f>
        <v>3</v>
      </c>
      <c r="J209" s="3" t="n">
        <f aca="false">SUMIFS(Equipes!$D$2:$D$60,Equipes!$A$2:$A$60,"LOT-05",Equipes!$B$2:$B$60,"&lt;="&amp;$A209,Equipes!$C$2:$C$60,"&gt;="&amp;$A209)</f>
        <v>0</v>
      </c>
      <c r="K209" s="3" t="n">
        <f aca="false">IF(J209&gt;0,ROUNDUP(J209/Parametres!$B$7,0)+1,0)</f>
        <v>0</v>
      </c>
      <c r="L209" s="3" t="n">
        <f aca="false">SUMIFS(Equipes!$D$2:$D$60,Equipes!$A$2:$A$60,"LOT-06",Equipes!$B$2:$B$60,"&lt;="&amp;$A209,Equipes!$C$2:$C$60,"&gt;="&amp;$A209)</f>
        <v>12</v>
      </c>
      <c r="M209" s="3" t="n">
        <f aca="false">IF(L209&gt;0,ROUNDUP(L209/Parametres!$B$7,0)+1,0)</f>
        <v>2</v>
      </c>
      <c r="N209" s="3" t="n">
        <f aca="false">SUMIFS(Equipes!$D$2:$D$60,Equipes!$A$2:$A$60,"LOT-07",Equipes!$B$2:$B$60,"&lt;="&amp;$A209,Equipes!$C$2:$C$60,"&gt;="&amp;$A209)</f>
        <v>30</v>
      </c>
      <c r="O209" s="3" t="n">
        <f aca="false">IF(N209&gt;0,ROUNDUP(N209/Parametres!$B$7,0)+1,0)</f>
        <v>4</v>
      </c>
      <c r="P209" s="3" t="n">
        <f aca="false">SUMIFS(Equipes!$D$2:$D$60,Equipes!$A$2:$A$60,"LOT-08",Equipes!$B$2:$B$60,"&lt;="&amp;$A209,Equipes!$C$2:$C$60,"&gt;="&amp;$A209)</f>
        <v>0</v>
      </c>
      <c r="Q209" s="3" t="n">
        <f aca="false">IF(P209&gt;0,ROUNDUP(P209/Parametres!$B$7,0)+1,0)</f>
        <v>0</v>
      </c>
    </row>
    <row r="210" customFormat="false" ht="15" hidden="false" customHeight="false" outlineLevel="0" collapsed="false">
      <c r="A210" s="2" t="n">
        <v>46291</v>
      </c>
      <c r="B210" s="3" t="n">
        <f aca="false">SUMIFS(Equipes!$D$2:$D$60,Equipes!$A$2:$A$60,"LOT-01",Equipes!$B$2:$B$60,"&lt;="&amp;$A210,Equipes!$C$2:$C$60,"&gt;="&amp;$A210)</f>
        <v>0</v>
      </c>
      <c r="C210" s="3" t="n">
        <f aca="false">IF(B210&gt;0,ROUNDUP(B210/Parametres!$B$7,0)+1,0)</f>
        <v>0</v>
      </c>
      <c r="D210" s="3" t="n">
        <f aca="false">SUMIFS(Equipes!$D$2:$D$60,Equipes!$A$2:$A$60,"LOT-02",Equipes!$B$2:$B$60,"&lt;="&amp;$A210,Equipes!$C$2:$C$60,"&gt;="&amp;$A210)</f>
        <v>0</v>
      </c>
      <c r="E210" s="3" t="n">
        <f aca="false">IF(D210&gt;0,ROUNDUP(D210/Parametres!$B$7,0)+1,0)</f>
        <v>0</v>
      </c>
      <c r="F210" s="3" t="n">
        <f aca="false">SUMIFS(Equipes!$D$2:$D$60,Equipes!$A$2:$A$60,"LOT-03",Equipes!$B$2:$B$60,"&lt;="&amp;$A210,Equipes!$C$2:$C$60,"&gt;="&amp;$A210)</f>
        <v>0</v>
      </c>
      <c r="G210" s="3" t="n">
        <f aca="false">IF(F210&gt;0,ROUNDUP(F210/Parametres!$B$7,0)+1,0)</f>
        <v>0</v>
      </c>
      <c r="H210" s="3" t="n">
        <f aca="false">SUMIFS(Equipes!$D$2:$D$60,Equipes!$A$2:$A$60,"LOT-04",Equipes!$B$2:$B$60,"&lt;="&amp;$A210,Equipes!$C$2:$C$60,"&gt;="&amp;$A210)</f>
        <v>14</v>
      </c>
      <c r="I210" s="3" t="n">
        <f aca="false">IF(H210&gt;0,ROUNDUP(H210/Parametres!$B$7,0)+1,0)</f>
        <v>3</v>
      </c>
      <c r="J210" s="3" t="n">
        <f aca="false">SUMIFS(Equipes!$D$2:$D$60,Equipes!$A$2:$A$60,"LOT-05",Equipes!$B$2:$B$60,"&lt;="&amp;$A210,Equipes!$C$2:$C$60,"&gt;="&amp;$A210)</f>
        <v>0</v>
      </c>
      <c r="K210" s="3" t="n">
        <f aca="false">IF(J210&gt;0,ROUNDUP(J210/Parametres!$B$7,0)+1,0)</f>
        <v>0</v>
      </c>
      <c r="L210" s="3" t="n">
        <f aca="false">SUMIFS(Equipes!$D$2:$D$60,Equipes!$A$2:$A$60,"LOT-06",Equipes!$B$2:$B$60,"&lt;="&amp;$A210,Equipes!$C$2:$C$60,"&gt;="&amp;$A210)</f>
        <v>12</v>
      </c>
      <c r="M210" s="3" t="n">
        <f aca="false">IF(L210&gt;0,ROUNDUP(L210/Parametres!$B$7,0)+1,0)</f>
        <v>2</v>
      </c>
      <c r="N210" s="3" t="n">
        <f aca="false">SUMIFS(Equipes!$D$2:$D$60,Equipes!$A$2:$A$60,"LOT-07",Equipes!$B$2:$B$60,"&lt;="&amp;$A210,Equipes!$C$2:$C$60,"&gt;="&amp;$A210)</f>
        <v>30</v>
      </c>
      <c r="O210" s="3" t="n">
        <f aca="false">IF(N210&gt;0,ROUNDUP(N210/Parametres!$B$7,0)+1,0)</f>
        <v>4</v>
      </c>
      <c r="P210" s="3" t="n">
        <f aca="false">SUMIFS(Equipes!$D$2:$D$60,Equipes!$A$2:$A$60,"LOT-08",Equipes!$B$2:$B$60,"&lt;="&amp;$A210,Equipes!$C$2:$C$60,"&gt;="&amp;$A210)</f>
        <v>0</v>
      </c>
      <c r="Q210" s="3" t="n">
        <f aca="false">IF(P210&gt;0,ROUNDUP(P210/Parametres!$B$7,0)+1,0)</f>
        <v>0</v>
      </c>
    </row>
    <row r="211" customFormat="false" ht="15" hidden="false" customHeight="false" outlineLevel="0" collapsed="false">
      <c r="A211" s="2" t="n">
        <v>46292</v>
      </c>
      <c r="B211" s="3" t="n">
        <f aca="false">SUMIFS(Equipes!$D$2:$D$60,Equipes!$A$2:$A$60,"LOT-01",Equipes!$B$2:$B$60,"&lt;="&amp;$A211,Equipes!$C$2:$C$60,"&gt;="&amp;$A211)</f>
        <v>0</v>
      </c>
      <c r="C211" s="3" t="n">
        <f aca="false">IF(B211&gt;0,ROUNDUP(B211/Parametres!$B$7,0)+1,0)</f>
        <v>0</v>
      </c>
      <c r="D211" s="3" t="n">
        <f aca="false">SUMIFS(Equipes!$D$2:$D$60,Equipes!$A$2:$A$60,"LOT-02",Equipes!$B$2:$B$60,"&lt;="&amp;$A211,Equipes!$C$2:$C$60,"&gt;="&amp;$A211)</f>
        <v>0</v>
      </c>
      <c r="E211" s="3" t="n">
        <f aca="false">IF(D211&gt;0,ROUNDUP(D211/Parametres!$B$7,0)+1,0)</f>
        <v>0</v>
      </c>
      <c r="F211" s="3" t="n">
        <f aca="false">SUMIFS(Equipes!$D$2:$D$60,Equipes!$A$2:$A$60,"LOT-03",Equipes!$B$2:$B$60,"&lt;="&amp;$A211,Equipes!$C$2:$C$60,"&gt;="&amp;$A211)</f>
        <v>0</v>
      </c>
      <c r="G211" s="3" t="n">
        <f aca="false">IF(F211&gt;0,ROUNDUP(F211/Parametres!$B$7,0)+1,0)</f>
        <v>0</v>
      </c>
      <c r="H211" s="3" t="n">
        <f aca="false">SUMIFS(Equipes!$D$2:$D$60,Equipes!$A$2:$A$60,"LOT-04",Equipes!$B$2:$B$60,"&lt;="&amp;$A211,Equipes!$C$2:$C$60,"&gt;="&amp;$A211)</f>
        <v>14</v>
      </c>
      <c r="I211" s="3" t="n">
        <f aca="false">IF(H211&gt;0,ROUNDUP(H211/Parametres!$B$7,0)+1,0)</f>
        <v>3</v>
      </c>
      <c r="J211" s="3" t="n">
        <f aca="false">SUMIFS(Equipes!$D$2:$D$60,Equipes!$A$2:$A$60,"LOT-05",Equipes!$B$2:$B$60,"&lt;="&amp;$A211,Equipes!$C$2:$C$60,"&gt;="&amp;$A211)</f>
        <v>0</v>
      </c>
      <c r="K211" s="3" t="n">
        <f aca="false">IF(J211&gt;0,ROUNDUP(J211/Parametres!$B$7,0)+1,0)</f>
        <v>0</v>
      </c>
      <c r="L211" s="3" t="n">
        <f aca="false">SUMIFS(Equipes!$D$2:$D$60,Equipes!$A$2:$A$60,"LOT-06",Equipes!$B$2:$B$60,"&lt;="&amp;$A211,Equipes!$C$2:$C$60,"&gt;="&amp;$A211)</f>
        <v>12</v>
      </c>
      <c r="M211" s="3" t="n">
        <f aca="false">IF(L211&gt;0,ROUNDUP(L211/Parametres!$B$7,0)+1,0)</f>
        <v>2</v>
      </c>
      <c r="N211" s="3" t="n">
        <f aca="false">SUMIFS(Equipes!$D$2:$D$60,Equipes!$A$2:$A$60,"LOT-07",Equipes!$B$2:$B$60,"&lt;="&amp;$A211,Equipes!$C$2:$C$60,"&gt;="&amp;$A211)</f>
        <v>30</v>
      </c>
      <c r="O211" s="3" t="n">
        <f aca="false">IF(N211&gt;0,ROUNDUP(N211/Parametres!$B$7,0)+1,0)</f>
        <v>4</v>
      </c>
      <c r="P211" s="3" t="n">
        <f aca="false">SUMIFS(Equipes!$D$2:$D$60,Equipes!$A$2:$A$60,"LOT-08",Equipes!$B$2:$B$60,"&lt;="&amp;$A211,Equipes!$C$2:$C$60,"&gt;="&amp;$A211)</f>
        <v>0</v>
      </c>
      <c r="Q211" s="3" t="n">
        <f aca="false">IF(P211&gt;0,ROUNDUP(P211/Parametres!$B$7,0)+1,0)</f>
        <v>0</v>
      </c>
    </row>
    <row r="212" customFormat="false" ht="15" hidden="false" customHeight="false" outlineLevel="0" collapsed="false">
      <c r="A212" s="2" t="n">
        <v>46293</v>
      </c>
      <c r="B212" s="3" t="n">
        <f aca="false">SUMIFS(Equipes!$D$2:$D$60,Equipes!$A$2:$A$60,"LOT-01",Equipes!$B$2:$B$60,"&lt;="&amp;$A212,Equipes!$C$2:$C$60,"&gt;="&amp;$A212)</f>
        <v>0</v>
      </c>
      <c r="C212" s="3" t="n">
        <f aca="false">IF(B212&gt;0,ROUNDUP(B212/Parametres!$B$7,0)+1,0)</f>
        <v>0</v>
      </c>
      <c r="D212" s="3" t="n">
        <f aca="false">SUMIFS(Equipes!$D$2:$D$60,Equipes!$A$2:$A$60,"LOT-02",Equipes!$B$2:$B$60,"&lt;="&amp;$A212,Equipes!$C$2:$C$60,"&gt;="&amp;$A212)</f>
        <v>0</v>
      </c>
      <c r="E212" s="3" t="n">
        <f aca="false">IF(D212&gt;0,ROUNDUP(D212/Parametres!$B$7,0)+1,0)</f>
        <v>0</v>
      </c>
      <c r="F212" s="3" t="n">
        <f aca="false">SUMIFS(Equipes!$D$2:$D$60,Equipes!$A$2:$A$60,"LOT-03",Equipes!$B$2:$B$60,"&lt;="&amp;$A212,Equipes!$C$2:$C$60,"&gt;="&amp;$A212)</f>
        <v>0</v>
      </c>
      <c r="G212" s="3" t="n">
        <f aca="false">IF(F212&gt;0,ROUNDUP(F212/Parametres!$B$7,0)+1,0)</f>
        <v>0</v>
      </c>
      <c r="H212" s="3" t="n">
        <f aca="false">SUMIFS(Equipes!$D$2:$D$60,Equipes!$A$2:$A$60,"LOT-04",Equipes!$B$2:$B$60,"&lt;="&amp;$A212,Equipes!$C$2:$C$60,"&gt;="&amp;$A212)</f>
        <v>28</v>
      </c>
      <c r="I212" s="3" t="n">
        <f aca="false">IF(H212&gt;0,ROUNDUP(H212/Parametres!$B$7,0)+1,0)</f>
        <v>4</v>
      </c>
      <c r="J212" s="3" t="n">
        <f aca="false">SUMIFS(Equipes!$D$2:$D$60,Equipes!$A$2:$A$60,"LOT-05",Equipes!$B$2:$B$60,"&lt;="&amp;$A212,Equipes!$C$2:$C$60,"&gt;="&amp;$A212)</f>
        <v>0</v>
      </c>
      <c r="K212" s="3" t="n">
        <f aca="false">IF(J212&gt;0,ROUNDUP(J212/Parametres!$B$7,0)+1,0)</f>
        <v>0</v>
      </c>
      <c r="L212" s="3" t="n">
        <f aca="false">SUMIFS(Equipes!$D$2:$D$60,Equipes!$A$2:$A$60,"LOT-06",Equipes!$B$2:$B$60,"&lt;="&amp;$A212,Equipes!$C$2:$C$60,"&gt;="&amp;$A212)</f>
        <v>12</v>
      </c>
      <c r="M212" s="3" t="n">
        <f aca="false">IF(L212&gt;0,ROUNDUP(L212/Parametres!$B$7,0)+1,0)</f>
        <v>2</v>
      </c>
      <c r="N212" s="3" t="n">
        <f aca="false">SUMIFS(Equipes!$D$2:$D$60,Equipes!$A$2:$A$60,"LOT-07",Equipes!$B$2:$B$60,"&lt;="&amp;$A212,Equipes!$C$2:$C$60,"&gt;="&amp;$A212)</f>
        <v>30</v>
      </c>
      <c r="O212" s="3" t="n">
        <f aca="false">IF(N212&gt;0,ROUNDUP(N212/Parametres!$B$7,0)+1,0)</f>
        <v>4</v>
      </c>
      <c r="P212" s="3" t="n">
        <f aca="false">SUMIFS(Equipes!$D$2:$D$60,Equipes!$A$2:$A$60,"LOT-08",Equipes!$B$2:$B$60,"&lt;="&amp;$A212,Equipes!$C$2:$C$60,"&gt;="&amp;$A212)</f>
        <v>0</v>
      </c>
      <c r="Q212" s="3" t="n">
        <f aca="false">IF(P212&gt;0,ROUNDUP(P212/Parametres!$B$7,0)+1,0)</f>
        <v>0</v>
      </c>
    </row>
    <row r="213" customFormat="false" ht="15" hidden="false" customHeight="false" outlineLevel="0" collapsed="false">
      <c r="A213" s="2" t="n">
        <v>46294</v>
      </c>
      <c r="B213" s="3" t="n">
        <f aca="false">SUMIFS(Equipes!$D$2:$D$60,Equipes!$A$2:$A$60,"LOT-01",Equipes!$B$2:$B$60,"&lt;="&amp;$A213,Equipes!$C$2:$C$60,"&gt;="&amp;$A213)</f>
        <v>0</v>
      </c>
      <c r="C213" s="3" t="n">
        <f aca="false">IF(B213&gt;0,ROUNDUP(B213/Parametres!$B$7,0)+1,0)</f>
        <v>0</v>
      </c>
      <c r="D213" s="3" t="n">
        <f aca="false">SUMIFS(Equipes!$D$2:$D$60,Equipes!$A$2:$A$60,"LOT-02",Equipes!$B$2:$B$60,"&lt;="&amp;$A213,Equipes!$C$2:$C$60,"&gt;="&amp;$A213)</f>
        <v>0</v>
      </c>
      <c r="E213" s="3" t="n">
        <f aca="false">IF(D213&gt;0,ROUNDUP(D213/Parametres!$B$7,0)+1,0)</f>
        <v>0</v>
      </c>
      <c r="F213" s="3" t="n">
        <f aca="false">SUMIFS(Equipes!$D$2:$D$60,Equipes!$A$2:$A$60,"LOT-03",Equipes!$B$2:$B$60,"&lt;="&amp;$A213,Equipes!$C$2:$C$60,"&gt;="&amp;$A213)</f>
        <v>0</v>
      </c>
      <c r="G213" s="3" t="n">
        <f aca="false">IF(F213&gt;0,ROUNDUP(F213/Parametres!$B$7,0)+1,0)</f>
        <v>0</v>
      </c>
      <c r="H213" s="3" t="n">
        <f aca="false">SUMIFS(Equipes!$D$2:$D$60,Equipes!$A$2:$A$60,"LOT-04",Equipes!$B$2:$B$60,"&lt;="&amp;$A213,Equipes!$C$2:$C$60,"&gt;="&amp;$A213)</f>
        <v>28</v>
      </c>
      <c r="I213" s="3" t="n">
        <f aca="false">IF(H213&gt;0,ROUNDUP(H213/Parametres!$B$7,0)+1,0)</f>
        <v>4</v>
      </c>
      <c r="J213" s="3" t="n">
        <f aca="false">SUMIFS(Equipes!$D$2:$D$60,Equipes!$A$2:$A$60,"LOT-05",Equipes!$B$2:$B$60,"&lt;="&amp;$A213,Equipes!$C$2:$C$60,"&gt;="&amp;$A213)</f>
        <v>0</v>
      </c>
      <c r="K213" s="3" t="n">
        <f aca="false">IF(J213&gt;0,ROUNDUP(J213/Parametres!$B$7,0)+1,0)</f>
        <v>0</v>
      </c>
      <c r="L213" s="3" t="n">
        <f aca="false">SUMIFS(Equipes!$D$2:$D$60,Equipes!$A$2:$A$60,"LOT-06",Equipes!$B$2:$B$60,"&lt;="&amp;$A213,Equipes!$C$2:$C$60,"&gt;="&amp;$A213)</f>
        <v>12</v>
      </c>
      <c r="M213" s="3" t="n">
        <f aca="false">IF(L213&gt;0,ROUNDUP(L213/Parametres!$B$7,0)+1,0)</f>
        <v>2</v>
      </c>
      <c r="N213" s="3" t="n">
        <f aca="false">SUMIFS(Equipes!$D$2:$D$60,Equipes!$A$2:$A$60,"LOT-07",Equipes!$B$2:$B$60,"&lt;="&amp;$A213,Equipes!$C$2:$C$60,"&gt;="&amp;$A213)</f>
        <v>30</v>
      </c>
      <c r="O213" s="3" t="n">
        <f aca="false">IF(N213&gt;0,ROUNDUP(N213/Parametres!$B$7,0)+1,0)</f>
        <v>4</v>
      </c>
      <c r="P213" s="3" t="n">
        <f aca="false">SUMIFS(Equipes!$D$2:$D$60,Equipes!$A$2:$A$60,"LOT-08",Equipes!$B$2:$B$60,"&lt;="&amp;$A213,Equipes!$C$2:$C$60,"&gt;="&amp;$A213)</f>
        <v>0</v>
      </c>
      <c r="Q213" s="3" t="n">
        <f aca="false">IF(P213&gt;0,ROUNDUP(P213/Parametres!$B$7,0)+1,0)</f>
        <v>0</v>
      </c>
    </row>
    <row r="214" customFormat="false" ht="15" hidden="false" customHeight="false" outlineLevel="0" collapsed="false">
      <c r="A214" s="2" t="n">
        <v>46295</v>
      </c>
      <c r="B214" s="3" t="n">
        <f aca="false">SUMIFS(Equipes!$D$2:$D$60,Equipes!$A$2:$A$60,"LOT-01",Equipes!$B$2:$B$60,"&lt;="&amp;$A214,Equipes!$C$2:$C$60,"&gt;="&amp;$A214)</f>
        <v>0</v>
      </c>
      <c r="C214" s="3" t="n">
        <f aca="false">IF(B214&gt;0,ROUNDUP(B214/Parametres!$B$7,0)+1,0)</f>
        <v>0</v>
      </c>
      <c r="D214" s="3" t="n">
        <f aca="false">SUMIFS(Equipes!$D$2:$D$60,Equipes!$A$2:$A$60,"LOT-02",Equipes!$B$2:$B$60,"&lt;="&amp;$A214,Equipes!$C$2:$C$60,"&gt;="&amp;$A214)</f>
        <v>0</v>
      </c>
      <c r="E214" s="3" t="n">
        <f aca="false">IF(D214&gt;0,ROUNDUP(D214/Parametres!$B$7,0)+1,0)</f>
        <v>0</v>
      </c>
      <c r="F214" s="3" t="n">
        <f aca="false">SUMIFS(Equipes!$D$2:$D$60,Equipes!$A$2:$A$60,"LOT-03",Equipes!$B$2:$B$60,"&lt;="&amp;$A214,Equipes!$C$2:$C$60,"&gt;="&amp;$A214)</f>
        <v>0</v>
      </c>
      <c r="G214" s="3" t="n">
        <f aca="false">IF(F214&gt;0,ROUNDUP(F214/Parametres!$B$7,0)+1,0)</f>
        <v>0</v>
      </c>
      <c r="H214" s="3" t="n">
        <f aca="false">SUMIFS(Equipes!$D$2:$D$60,Equipes!$A$2:$A$60,"LOT-04",Equipes!$B$2:$B$60,"&lt;="&amp;$A214,Equipes!$C$2:$C$60,"&gt;="&amp;$A214)</f>
        <v>28</v>
      </c>
      <c r="I214" s="3" t="n">
        <f aca="false">IF(H214&gt;0,ROUNDUP(H214/Parametres!$B$7,0)+1,0)</f>
        <v>4</v>
      </c>
      <c r="J214" s="3" t="n">
        <f aca="false">SUMIFS(Equipes!$D$2:$D$60,Equipes!$A$2:$A$60,"LOT-05",Equipes!$B$2:$B$60,"&lt;="&amp;$A214,Equipes!$C$2:$C$60,"&gt;="&amp;$A214)</f>
        <v>0</v>
      </c>
      <c r="K214" s="3" t="n">
        <f aca="false">IF(J214&gt;0,ROUNDUP(J214/Parametres!$B$7,0)+1,0)</f>
        <v>0</v>
      </c>
      <c r="L214" s="3" t="n">
        <f aca="false">SUMIFS(Equipes!$D$2:$D$60,Equipes!$A$2:$A$60,"LOT-06",Equipes!$B$2:$B$60,"&lt;="&amp;$A214,Equipes!$C$2:$C$60,"&gt;="&amp;$A214)</f>
        <v>12</v>
      </c>
      <c r="M214" s="3" t="n">
        <f aca="false">IF(L214&gt;0,ROUNDUP(L214/Parametres!$B$7,0)+1,0)</f>
        <v>2</v>
      </c>
      <c r="N214" s="3" t="n">
        <f aca="false">SUMIFS(Equipes!$D$2:$D$60,Equipes!$A$2:$A$60,"LOT-07",Equipes!$B$2:$B$60,"&lt;="&amp;$A214,Equipes!$C$2:$C$60,"&gt;="&amp;$A214)</f>
        <v>30</v>
      </c>
      <c r="O214" s="3" t="n">
        <f aca="false">IF(N214&gt;0,ROUNDUP(N214/Parametres!$B$7,0)+1,0)</f>
        <v>4</v>
      </c>
      <c r="P214" s="3" t="n">
        <f aca="false">SUMIFS(Equipes!$D$2:$D$60,Equipes!$A$2:$A$60,"LOT-08",Equipes!$B$2:$B$60,"&lt;="&amp;$A214,Equipes!$C$2:$C$60,"&gt;="&amp;$A214)</f>
        <v>0</v>
      </c>
      <c r="Q214" s="3" t="n">
        <f aca="false">IF(P214&gt;0,ROUNDUP(P214/Parametres!$B$7,0)+1,0)</f>
        <v>0</v>
      </c>
    </row>
    <row r="215" customFormat="false" ht="15" hidden="false" customHeight="false" outlineLevel="0" collapsed="false">
      <c r="A215" s="2" t="n">
        <v>46296</v>
      </c>
      <c r="B215" s="3" t="n">
        <f aca="false">SUMIFS(Equipes!$D$2:$D$60,Equipes!$A$2:$A$60,"LOT-01",Equipes!$B$2:$B$60,"&lt;="&amp;$A215,Equipes!$C$2:$C$60,"&gt;="&amp;$A215)</f>
        <v>0</v>
      </c>
      <c r="C215" s="3" t="n">
        <f aca="false">IF(B215&gt;0,ROUNDUP(B215/Parametres!$B$7,0)+1,0)</f>
        <v>0</v>
      </c>
      <c r="D215" s="3" t="n">
        <f aca="false">SUMIFS(Equipes!$D$2:$D$60,Equipes!$A$2:$A$60,"LOT-02",Equipes!$B$2:$B$60,"&lt;="&amp;$A215,Equipes!$C$2:$C$60,"&gt;="&amp;$A215)</f>
        <v>0</v>
      </c>
      <c r="E215" s="3" t="n">
        <f aca="false">IF(D215&gt;0,ROUNDUP(D215/Parametres!$B$7,0)+1,0)</f>
        <v>0</v>
      </c>
      <c r="F215" s="3" t="n">
        <f aca="false">SUMIFS(Equipes!$D$2:$D$60,Equipes!$A$2:$A$60,"LOT-03",Equipes!$B$2:$B$60,"&lt;="&amp;$A215,Equipes!$C$2:$C$60,"&gt;="&amp;$A215)</f>
        <v>0</v>
      </c>
      <c r="G215" s="3" t="n">
        <f aca="false">IF(F215&gt;0,ROUNDUP(F215/Parametres!$B$7,0)+1,0)</f>
        <v>0</v>
      </c>
      <c r="H215" s="3" t="n">
        <f aca="false">SUMIFS(Equipes!$D$2:$D$60,Equipes!$A$2:$A$60,"LOT-04",Equipes!$B$2:$B$60,"&lt;="&amp;$A215,Equipes!$C$2:$C$60,"&gt;="&amp;$A215)</f>
        <v>28</v>
      </c>
      <c r="I215" s="3" t="n">
        <f aca="false">IF(H215&gt;0,ROUNDUP(H215/Parametres!$B$7,0)+1,0)</f>
        <v>4</v>
      </c>
      <c r="J215" s="3" t="n">
        <f aca="false">SUMIFS(Equipes!$D$2:$D$60,Equipes!$A$2:$A$60,"LOT-05",Equipes!$B$2:$B$60,"&lt;="&amp;$A215,Equipes!$C$2:$C$60,"&gt;="&amp;$A215)</f>
        <v>0</v>
      </c>
      <c r="K215" s="3" t="n">
        <f aca="false">IF(J215&gt;0,ROUNDUP(J215/Parametres!$B$7,0)+1,0)</f>
        <v>0</v>
      </c>
      <c r="L215" s="3" t="n">
        <f aca="false">SUMIFS(Equipes!$D$2:$D$60,Equipes!$A$2:$A$60,"LOT-06",Equipes!$B$2:$B$60,"&lt;="&amp;$A215,Equipes!$C$2:$C$60,"&gt;="&amp;$A215)</f>
        <v>12</v>
      </c>
      <c r="M215" s="3" t="n">
        <f aca="false">IF(L215&gt;0,ROUNDUP(L215/Parametres!$B$7,0)+1,0)</f>
        <v>2</v>
      </c>
      <c r="N215" s="3" t="n">
        <f aca="false">SUMIFS(Equipes!$D$2:$D$60,Equipes!$A$2:$A$60,"LOT-07",Equipes!$B$2:$B$60,"&lt;="&amp;$A215,Equipes!$C$2:$C$60,"&gt;="&amp;$A215)</f>
        <v>30</v>
      </c>
      <c r="O215" s="3" t="n">
        <f aca="false">IF(N215&gt;0,ROUNDUP(N215/Parametres!$B$7,0)+1,0)</f>
        <v>4</v>
      </c>
      <c r="P215" s="3" t="n">
        <f aca="false">SUMIFS(Equipes!$D$2:$D$60,Equipes!$A$2:$A$60,"LOT-08",Equipes!$B$2:$B$60,"&lt;="&amp;$A215,Equipes!$C$2:$C$60,"&gt;="&amp;$A215)</f>
        <v>0</v>
      </c>
      <c r="Q215" s="3" t="n">
        <f aca="false">IF(P215&gt;0,ROUNDUP(P215/Parametres!$B$7,0)+1,0)</f>
        <v>0</v>
      </c>
    </row>
    <row r="216" customFormat="false" ht="15" hidden="false" customHeight="false" outlineLevel="0" collapsed="false">
      <c r="A216" s="2" t="n">
        <v>46297</v>
      </c>
      <c r="B216" s="3" t="n">
        <f aca="false">SUMIFS(Equipes!$D$2:$D$60,Equipes!$A$2:$A$60,"LOT-01",Equipes!$B$2:$B$60,"&lt;="&amp;$A216,Equipes!$C$2:$C$60,"&gt;="&amp;$A216)</f>
        <v>0</v>
      </c>
      <c r="C216" s="3" t="n">
        <f aca="false">IF(B216&gt;0,ROUNDUP(B216/Parametres!$B$7,0)+1,0)</f>
        <v>0</v>
      </c>
      <c r="D216" s="3" t="n">
        <f aca="false">SUMIFS(Equipes!$D$2:$D$60,Equipes!$A$2:$A$60,"LOT-02",Equipes!$B$2:$B$60,"&lt;="&amp;$A216,Equipes!$C$2:$C$60,"&gt;="&amp;$A216)</f>
        <v>0</v>
      </c>
      <c r="E216" s="3" t="n">
        <f aca="false">IF(D216&gt;0,ROUNDUP(D216/Parametres!$B$7,0)+1,0)</f>
        <v>0</v>
      </c>
      <c r="F216" s="3" t="n">
        <f aca="false">SUMIFS(Equipes!$D$2:$D$60,Equipes!$A$2:$A$60,"LOT-03",Equipes!$B$2:$B$60,"&lt;="&amp;$A216,Equipes!$C$2:$C$60,"&gt;="&amp;$A216)</f>
        <v>0</v>
      </c>
      <c r="G216" s="3" t="n">
        <f aca="false">IF(F216&gt;0,ROUNDUP(F216/Parametres!$B$7,0)+1,0)</f>
        <v>0</v>
      </c>
      <c r="H216" s="3" t="n">
        <f aca="false">SUMIFS(Equipes!$D$2:$D$60,Equipes!$A$2:$A$60,"LOT-04",Equipes!$B$2:$B$60,"&lt;="&amp;$A216,Equipes!$C$2:$C$60,"&gt;="&amp;$A216)</f>
        <v>28</v>
      </c>
      <c r="I216" s="3" t="n">
        <f aca="false">IF(H216&gt;0,ROUNDUP(H216/Parametres!$B$7,0)+1,0)</f>
        <v>4</v>
      </c>
      <c r="J216" s="3" t="n">
        <f aca="false">SUMIFS(Equipes!$D$2:$D$60,Equipes!$A$2:$A$60,"LOT-05",Equipes!$B$2:$B$60,"&lt;="&amp;$A216,Equipes!$C$2:$C$60,"&gt;="&amp;$A216)</f>
        <v>0</v>
      </c>
      <c r="K216" s="3" t="n">
        <f aca="false">IF(J216&gt;0,ROUNDUP(J216/Parametres!$B$7,0)+1,0)</f>
        <v>0</v>
      </c>
      <c r="L216" s="3" t="n">
        <f aca="false">SUMIFS(Equipes!$D$2:$D$60,Equipes!$A$2:$A$60,"LOT-06",Equipes!$B$2:$B$60,"&lt;="&amp;$A216,Equipes!$C$2:$C$60,"&gt;="&amp;$A216)</f>
        <v>12</v>
      </c>
      <c r="M216" s="3" t="n">
        <f aca="false">IF(L216&gt;0,ROUNDUP(L216/Parametres!$B$7,0)+1,0)</f>
        <v>2</v>
      </c>
      <c r="N216" s="3" t="n">
        <f aca="false">SUMIFS(Equipes!$D$2:$D$60,Equipes!$A$2:$A$60,"LOT-07",Equipes!$B$2:$B$60,"&lt;="&amp;$A216,Equipes!$C$2:$C$60,"&gt;="&amp;$A216)</f>
        <v>30</v>
      </c>
      <c r="O216" s="3" t="n">
        <f aca="false">IF(N216&gt;0,ROUNDUP(N216/Parametres!$B$7,0)+1,0)</f>
        <v>4</v>
      </c>
      <c r="P216" s="3" t="n">
        <f aca="false">SUMIFS(Equipes!$D$2:$D$60,Equipes!$A$2:$A$60,"LOT-08",Equipes!$B$2:$B$60,"&lt;="&amp;$A216,Equipes!$C$2:$C$60,"&gt;="&amp;$A216)</f>
        <v>0</v>
      </c>
      <c r="Q216" s="3" t="n">
        <f aca="false">IF(P216&gt;0,ROUNDUP(P216/Parametres!$B$7,0)+1,0)</f>
        <v>0</v>
      </c>
    </row>
    <row r="217" customFormat="false" ht="15" hidden="false" customHeight="false" outlineLevel="0" collapsed="false">
      <c r="A217" s="2" t="n">
        <v>46298</v>
      </c>
      <c r="B217" s="3" t="n">
        <f aca="false">SUMIFS(Equipes!$D$2:$D$60,Equipes!$A$2:$A$60,"LOT-01",Equipes!$B$2:$B$60,"&lt;="&amp;$A217,Equipes!$C$2:$C$60,"&gt;="&amp;$A217)</f>
        <v>0</v>
      </c>
      <c r="C217" s="3" t="n">
        <f aca="false">IF(B217&gt;0,ROUNDUP(B217/Parametres!$B$7,0)+1,0)</f>
        <v>0</v>
      </c>
      <c r="D217" s="3" t="n">
        <f aca="false">SUMIFS(Equipes!$D$2:$D$60,Equipes!$A$2:$A$60,"LOT-02",Equipes!$B$2:$B$60,"&lt;="&amp;$A217,Equipes!$C$2:$C$60,"&gt;="&amp;$A217)</f>
        <v>0</v>
      </c>
      <c r="E217" s="3" t="n">
        <f aca="false">IF(D217&gt;0,ROUNDUP(D217/Parametres!$B$7,0)+1,0)</f>
        <v>0</v>
      </c>
      <c r="F217" s="3" t="n">
        <f aca="false">SUMIFS(Equipes!$D$2:$D$60,Equipes!$A$2:$A$60,"LOT-03",Equipes!$B$2:$B$60,"&lt;="&amp;$A217,Equipes!$C$2:$C$60,"&gt;="&amp;$A217)</f>
        <v>0</v>
      </c>
      <c r="G217" s="3" t="n">
        <f aca="false">IF(F217&gt;0,ROUNDUP(F217/Parametres!$B$7,0)+1,0)</f>
        <v>0</v>
      </c>
      <c r="H217" s="3" t="n">
        <f aca="false">SUMIFS(Equipes!$D$2:$D$60,Equipes!$A$2:$A$60,"LOT-04",Equipes!$B$2:$B$60,"&lt;="&amp;$A217,Equipes!$C$2:$C$60,"&gt;="&amp;$A217)</f>
        <v>28</v>
      </c>
      <c r="I217" s="3" t="n">
        <f aca="false">IF(H217&gt;0,ROUNDUP(H217/Parametres!$B$7,0)+1,0)</f>
        <v>4</v>
      </c>
      <c r="J217" s="3" t="n">
        <f aca="false">SUMIFS(Equipes!$D$2:$D$60,Equipes!$A$2:$A$60,"LOT-05",Equipes!$B$2:$B$60,"&lt;="&amp;$A217,Equipes!$C$2:$C$60,"&gt;="&amp;$A217)</f>
        <v>0</v>
      </c>
      <c r="K217" s="3" t="n">
        <f aca="false">IF(J217&gt;0,ROUNDUP(J217/Parametres!$B$7,0)+1,0)</f>
        <v>0</v>
      </c>
      <c r="L217" s="3" t="n">
        <f aca="false">SUMIFS(Equipes!$D$2:$D$60,Equipes!$A$2:$A$60,"LOT-06",Equipes!$B$2:$B$60,"&lt;="&amp;$A217,Equipes!$C$2:$C$60,"&gt;="&amp;$A217)</f>
        <v>12</v>
      </c>
      <c r="M217" s="3" t="n">
        <f aca="false">IF(L217&gt;0,ROUNDUP(L217/Parametres!$B$7,0)+1,0)</f>
        <v>2</v>
      </c>
      <c r="N217" s="3" t="n">
        <f aca="false">SUMIFS(Equipes!$D$2:$D$60,Equipes!$A$2:$A$60,"LOT-07",Equipes!$B$2:$B$60,"&lt;="&amp;$A217,Equipes!$C$2:$C$60,"&gt;="&amp;$A217)</f>
        <v>30</v>
      </c>
      <c r="O217" s="3" t="n">
        <f aca="false">IF(N217&gt;0,ROUNDUP(N217/Parametres!$B$7,0)+1,0)</f>
        <v>4</v>
      </c>
      <c r="P217" s="3" t="n">
        <f aca="false">SUMIFS(Equipes!$D$2:$D$60,Equipes!$A$2:$A$60,"LOT-08",Equipes!$B$2:$B$60,"&lt;="&amp;$A217,Equipes!$C$2:$C$60,"&gt;="&amp;$A217)</f>
        <v>0</v>
      </c>
      <c r="Q217" s="3" t="n">
        <f aca="false">IF(P217&gt;0,ROUNDUP(P217/Parametres!$B$7,0)+1,0)</f>
        <v>0</v>
      </c>
    </row>
    <row r="218" customFormat="false" ht="15" hidden="false" customHeight="false" outlineLevel="0" collapsed="false">
      <c r="A218" s="2" t="n">
        <v>46299</v>
      </c>
      <c r="B218" s="3" t="n">
        <f aca="false">SUMIFS(Equipes!$D$2:$D$60,Equipes!$A$2:$A$60,"LOT-01",Equipes!$B$2:$B$60,"&lt;="&amp;$A218,Equipes!$C$2:$C$60,"&gt;="&amp;$A218)</f>
        <v>0</v>
      </c>
      <c r="C218" s="3" t="n">
        <f aca="false">IF(B218&gt;0,ROUNDUP(B218/Parametres!$B$7,0)+1,0)</f>
        <v>0</v>
      </c>
      <c r="D218" s="3" t="n">
        <f aca="false">SUMIFS(Equipes!$D$2:$D$60,Equipes!$A$2:$A$60,"LOT-02",Equipes!$B$2:$B$60,"&lt;="&amp;$A218,Equipes!$C$2:$C$60,"&gt;="&amp;$A218)</f>
        <v>0</v>
      </c>
      <c r="E218" s="3" t="n">
        <f aca="false">IF(D218&gt;0,ROUNDUP(D218/Parametres!$B$7,0)+1,0)</f>
        <v>0</v>
      </c>
      <c r="F218" s="3" t="n">
        <f aca="false">SUMIFS(Equipes!$D$2:$D$60,Equipes!$A$2:$A$60,"LOT-03",Equipes!$B$2:$B$60,"&lt;="&amp;$A218,Equipes!$C$2:$C$60,"&gt;="&amp;$A218)</f>
        <v>0</v>
      </c>
      <c r="G218" s="3" t="n">
        <f aca="false">IF(F218&gt;0,ROUNDUP(F218/Parametres!$B$7,0)+1,0)</f>
        <v>0</v>
      </c>
      <c r="H218" s="3" t="n">
        <f aca="false">SUMIFS(Equipes!$D$2:$D$60,Equipes!$A$2:$A$60,"LOT-04",Equipes!$B$2:$B$60,"&lt;="&amp;$A218,Equipes!$C$2:$C$60,"&gt;="&amp;$A218)</f>
        <v>28</v>
      </c>
      <c r="I218" s="3" t="n">
        <f aca="false">IF(H218&gt;0,ROUNDUP(H218/Parametres!$B$7,0)+1,0)</f>
        <v>4</v>
      </c>
      <c r="J218" s="3" t="n">
        <f aca="false">SUMIFS(Equipes!$D$2:$D$60,Equipes!$A$2:$A$60,"LOT-05",Equipes!$B$2:$B$60,"&lt;="&amp;$A218,Equipes!$C$2:$C$60,"&gt;="&amp;$A218)</f>
        <v>0</v>
      </c>
      <c r="K218" s="3" t="n">
        <f aca="false">IF(J218&gt;0,ROUNDUP(J218/Parametres!$B$7,0)+1,0)</f>
        <v>0</v>
      </c>
      <c r="L218" s="3" t="n">
        <f aca="false">SUMIFS(Equipes!$D$2:$D$60,Equipes!$A$2:$A$60,"LOT-06",Equipes!$B$2:$B$60,"&lt;="&amp;$A218,Equipes!$C$2:$C$60,"&gt;="&amp;$A218)</f>
        <v>12</v>
      </c>
      <c r="M218" s="3" t="n">
        <f aca="false">IF(L218&gt;0,ROUNDUP(L218/Parametres!$B$7,0)+1,0)</f>
        <v>2</v>
      </c>
      <c r="N218" s="3" t="n">
        <f aca="false">SUMIFS(Equipes!$D$2:$D$60,Equipes!$A$2:$A$60,"LOT-07",Equipes!$B$2:$B$60,"&lt;="&amp;$A218,Equipes!$C$2:$C$60,"&gt;="&amp;$A218)</f>
        <v>30</v>
      </c>
      <c r="O218" s="3" t="n">
        <f aca="false">IF(N218&gt;0,ROUNDUP(N218/Parametres!$B$7,0)+1,0)</f>
        <v>4</v>
      </c>
      <c r="P218" s="3" t="n">
        <f aca="false">SUMIFS(Equipes!$D$2:$D$60,Equipes!$A$2:$A$60,"LOT-08",Equipes!$B$2:$B$60,"&lt;="&amp;$A218,Equipes!$C$2:$C$60,"&gt;="&amp;$A218)</f>
        <v>0</v>
      </c>
      <c r="Q218" s="3" t="n">
        <f aca="false">IF(P218&gt;0,ROUNDUP(P218/Parametres!$B$7,0)+1,0)</f>
        <v>0</v>
      </c>
    </row>
    <row r="219" customFormat="false" ht="15" hidden="false" customHeight="false" outlineLevel="0" collapsed="false">
      <c r="A219" s="2" t="n">
        <v>46300</v>
      </c>
      <c r="B219" s="3" t="n">
        <f aca="false">SUMIFS(Equipes!$D$2:$D$60,Equipes!$A$2:$A$60,"LOT-01",Equipes!$B$2:$B$60,"&lt;="&amp;$A219,Equipes!$C$2:$C$60,"&gt;="&amp;$A219)</f>
        <v>0</v>
      </c>
      <c r="C219" s="3" t="n">
        <f aca="false">IF(B219&gt;0,ROUNDUP(B219/Parametres!$B$7,0)+1,0)</f>
        <v>0</v>
      </c>
      <c r="D219" s="3" t="n">
        <f aca="false">SUMIFS(Equipes!$D$2:$D$60,Equipes!$A$2:$A$60,"LOT-02",Equipes!$B$2:$B$60,"&lt;="&amp;$A219,Equipes!$C$2:$C$60,"&gt;="&amp;$A219)</f>
        <v>0</v>
      </c>
      <c r="E219" s="3" t="n">
        <f aca="false">IF(D219&gt;0,ROUNDUP(D219/Parametres!$B$7,0)+1,0)</f>
        <v>0</v>
      </c>
      <c r="F219" s="3" t="n">
        <f aca="false">SUMIFS(Equipes!$D$2:$D$60,Equipes!$A$2:$A$60,"LOT-03",Equipes!$B$2:$B$60,"&lt;="&amp;$A219,Equipes!$C$2:$C$60,"&gt;="&amp;$A219)</f>
        <v>0</v>
      </c>
      <c r="G219" s="3" t="n">
        <f aca="false">IF(F219&gt;0,ROUNDUP(F219/Parametres!$B$7,0)+1,0)</f>
        <v>0</v>
      </c>
      <c r="H219" s="3" t="n">
        <f aca="false">SUMIFS(Equipes!$D$2:$D$60,Equipes!$A$2:$A$60,"LOT-04",Equipes!$B$2:$B$60,"&lt;="&amp;$A219,Equipes!$C$2:$C$60,"&gt;="&amp;$A219)</f>
        <v>28</v>
      </c>
      <c r="I219" s="3" t="n">
        <f aca="false">IF(H219&gt;0,ROUNDUP(H219/Parametres!$B$7,0)+1,0)</f>
        <v>4</v>
      </c>
      <c r="J219" s="3" t="n">
        <f aca="false">SUMIFS(Equipes!$D$2:$D$60,Equipes!$A$2:$A$60,"LOT-05",Equipes!$B$2:$B$60,"&lt;="&amp;$A219,Equipes!$C$2:$C$60,"&gt;="&amp;$A219)</f>
        <v>0</v>
      </c>
      <c r="K219" s="3" t="n">
        <f aca="false">IF(J219&gt;0,ROUNDUP(J219/Parametres!$B$7,0)+1,0)</f>
        <v>0</v>
      </c>
      <c r="L219" s="3" t="n">
        <f aca="false">SUMIFS(Equipes!$D$2:$D$60,Equipes!$A$2:$A$60,"LOT-06",Equipes!$B$2:$B$60,"&lt;="&amp;$A219,Equipes!$C$2:$C$60,"&gt;="&amp;$A219)</f>
        <v>12</v>
      </c>
      <c r="M219" s="3" t="n">
        <f aca="false">IF(L219&gt;0,ROUNDUP(L219/Parametres!$B$7,0)+1,0)</f>
        <v>2</v>
      </c>
      <c r="N219" s="3" t="n">
        <f aca="false">SUMIFS(Equipes!$D$2:$D$60,Equipes!$A$2:$A$60,"LOT-07",Equipes!$B$2:$B$60,"&lt;="&amp;$A219,Equipes!$C$2:$C$60,"&gt;="&amp;$A219)</f>
        <v>30</v>
      </c>
      <c r="O219" s="3" t="n">
        <f aca="false">IF(N219&gt;0,ROUNDUP(N219/Parametres!$B$7,0)+1,0)</f>
        <v>4</v>
      </c>
      <c r="P219" s="3" t="n">
        <f aca="false">SUMIFS(Equipes!$D$2:$D$60,Equipes!$A$2:$A$60,"LOT-08",Equipes!$B$2:$B$60,"&lt;="&amp;$A219,Equipes!$C$2:$C$60,"&gt;="&amp;$A219)</f>
        <v>0</v>
      </c>
      <c r="Q219" s="3" t="n">
        <f aca="false">IF(P219&gt;0,ROUNDUP(P219/Parametres!$B$7,0)+1,0)</f>
        <v>0</v>
      </c>
    </row>
    <row r="220" customFormat="false" ht="15" hidden="false" customHeight="false" outlineLevel="0" collapsed="false">
      <c r="A220" s="2" t="n">
        <v>46301</v>
      </c>
      <c r="B220" s="3" t="n">
        <f aca="false">SUMIFS(Equipes!$D$2:$D$60,Equipes!$A$2:$A$60,"LOT-01",Equipes!$B$2:$B$60,"&lt;="&amp;$A220,Equipes!$C$2:$C$60,"&gt;="&amp;$A220)</f>
        <v>0</v>
      </c>
      <c r="C220" s="3" t="n">
        <f aca="false">IF(B220&gt;0,ROUNDUP(B220/Parametres!$B$7,0)+1,0)</f>
        <v>0</v>
      </c>
      <c r="D220" s="3" t="n">
        <f aca="false">SUMIFS(Equipes!$D$2:$D$60,Equipes!$A$2:$A$60,"LOT-02",Equipes!$B$2:$B$60,"&lt;="&amp;$A220,Equipes!$C$2:$C$60,"&gt;="&amp;$A220)</f>
        <v>0</v>
      </c>
      <c r="E220" s="3" t="n">
        <f aca="false">IF(D220&gt;0,ROUNDUP(D220/Parametres!$B$7,0)+1,0)</f>
        <v>0</v>
      </c>
      <c r="F220" s="3" t="n">
        <f aca="false">SUMIFS(Equipes!$D$2:$D$60,Equipes!$A$2:$A$60,"LOT-03",Equipes!$B$2:$B$60,"&lt;="&amp;$A220,Equipes!$C$2:$C$60,"&gt;="&amp;$A220)</f>
        <v>0</v>
      </c>
      <c r="G220" s="3" t="n">
        <f aca="false">IF(F220&gt;0,ROUNDUP(F220/Parametres!$B$7,0)+1,0)</f>
        <v>0</v>
      </c>
      <c r="H220" s="3" t="n">
        <f aca="false">SUMIFS(Equipes!$D$2:$D$60,Equipes!$A$2:$A$60,"LOT-04",Equipes!$B$2:$B$60,"&lt;="&amp;$A220,Equipes!$C$2:$C$60,"&gt;="&amp;$A220)</f>
        <v>14</v>
      </c>
      <c r="I220" s="3" t="n">
        <f aca="false">IF(H220&gt;0,ROUNDUP(H220/Parametres!$B$7,0)+1,0)</f>
        <v>3</v>
      </c>
      <c r="J220" s="3" t="n">
        <f aca="false">SUMIFS(Equipes!$D$2:$D$60,Equipes!$A$2:$A$60,"LOT-05",Equipes!$B$2:$B$60,"&lt;="&amp;$A220,Equipes!$C$2:$C$60,"&gt;="&amp;$A220)</f>
        <v>0</v>
      </c>
      <c r="K220" s="3" t="n">
        <f aca="false">IF(J220&gt;0,ROUNDUP(J220/Parametres!$B$7,0)+1,0)</f>
        <v>0</v>
      </c>
      <c r="L220" s="3" t="n">
        <f aca="false">SUMIFS(Equipes!$D$2:$D$60,Equipes!$A$2:$A$60,"LOT-06",Equipes!$B$2:$B$60,"&lt;="&amp;$A220,Equipes!$C$2:$C$60,"&gt;="&amp;$A220)</f>
        <v>12</v>
      </c>
      <c r="M220" s="3" t="n">
        <f aca="false">IF(L220&gt;0,ROUNDUP(L220/Parametres!$B$7,0)+1,0)</f>
        <v>2</v>
      </c>
      <c r="N220" s="3" t="n">
        <f aca="false">SUMIFS(Equipes!$D$2:$D$60,Equipes!$A$2:$A$60,"LOT-07",Equipes!$B$2:$B$60,"&lt;="&amp;$A220,Equipes!$C$2:$C$60,"&gt;="&amp;$A220)</f>
        <v>30</v>
      </c>
      <c r="O220" s="3" t="n">
        <f aca="false">IF(N220&gt;0,ROUNDUP(N220/Parametres!$B$7,0)+1,0)</f>
        <v>4</v>
      </c>
      <c r="P220" s="3" t="n">
        <f aca="false">SUMIFS(Equipes!$D$2:$D$60,Equipes!$A$2:$A$60,"LOT-08",Equipes!$B$2:$B$60,"&lt;="&amp;$A220,Equipes!$C$2:$C$60,"&gt;="&amp;$A220)</f>
        <v>0</v>
      </c>
      <c r="Q220" s="3" t="n">
        <f aca="false">IF(P220&gt;0,ROUNDUP(P220/Parametres!$B$7,0)+1,0)</f>
        <v>0</v>
      </c>
    </row>
    <row r="221" customFormat="false" ht="15" hidden="false" customHeight="false" outlineLevel="0" collapsed="false">
      <c r="A221" s="2" t="n">
        <v>46302</v>
      </c>
      <c r="B221" s="3" t="n">
        <f aca="false">SUMIFS(Equipes!$D$2:$D$60,Equipes!$A$2:$A$60,"LOT-01",Equipes!$B$2:$B$60,"&lt;="&amp;$A221,Equipes!$C$2:$C$60,"&gt;="&amp;$A221)</f>
        <v>0</v>
      </c>
      <c r="C221" s="3" t="n">
        <f aca="false">IF(B221&gt;0,ROUNDUP(B221/Parametres!$B$7,0)+1,0)</f>
        <v>0</v>
      </c>
      <c r="D221" s="3" t="n">
        <f aca="false">SUMIFS(Equipes!$D$2:$D$60,Equipes!$A$2:$A$60,"LOT-02",Equipes!$B$2:$B$60,"&lt;="&amp;$A221,Equipes!$C$2:$C$60,"&gt;="&amp;$A221)</f>
        <v>0</v>
      </c>
      <c r="E221" s="3" t="n">
        <f aca="false">IF(D221&gt;0,ROUNDUP(D221/Parametres!$B$7,0)+1,0)</f>
        <v>0</v>
      </c>
      <c r="F221" s="3" t="n">
        <f aca="false">SUMIFS(Equipes!$D$2:$D$60,Equipes!$A$2:$A$60,"LOT-03",Equipes!$B$2:$B$60,"&lt;="&amp;$A221,Equipes!$C$2:$C$60,"&gt;="&amp;$A221)</f>
        <v>0</v>
      </c>
      <c r="G221" s="3" t="n">
        <f aca="false">IF(F221&gt;0,ROUNDUP(F221/Parametres!$B$7,0)+1,0)</f>
        <v>0</v>
      </c>
      <c r="H221" s="3" t="n">
        <f aca="false">SUMIFS(Equipes!$D$2:$D$60,Equipes!$A$2:$A$60,"LOT-04",Equipes!$B$2:$B$60,"&lt;="&amp;$A221,Equipes!$C$2:$C$60,"&gt;="&amp;$A221)</f>
        <v>14</v>
      </c>
      <c r="I221" s="3" t="n">
        <f aca="false">IF(H221&gt;0,ROUNDUP(H221/Parametres!$B$7,0)+1,0)</f>
        <v>3</v>
      </c>
      <c r="J221" s="3" t="n">
        <f aca="false">SUMIFS(Equipes!$D$2:$D$60,Equipes!$A$2:$A$60,"LOT-05",Equipes!$B$2:$B$60,"&lt;="&amp;$A221,Equipes!$C$2:$C$60,"&gt;="&amp;$A221)</f>
        <v>0</v>
      </c>
      <c r="K221" s="3" t="n">
        <f aca="false">IF(J221&gt;0,ROUNDUP(J221/Parametres!$B$7,0)+1,0)</f>
        <v>0</v>
      </c>
      <c r="L221" s="3" t="n">
        <f aca="false">SUMIFS(Equipes!$D$2:$D$60,Equipes!$A$2:$A$60,"LOT-06",Equipes!$B$2:$B$60,"&lt;="&amp;$A221,Equipes!$C$2:$C$60,"&gt;="&amp;$A221)</f>
        <v>12</v>
      </c>
      <c r="M221" s="3" t="n">
        <f aca="false">IF(L221&gt;0,ROUNDUP(L221/Parametres!$B$7,0)+1,0)</f>
        <v>2</v>
      </c>
      <c r="N221" s="3" t="n">
        <f aca="false">SUMIFS(Equipes!$D$2:$D$60,Equipes!$A$2:$A$60,"LOT-07",Equipes!$B$2:$B$60,"&lt;="&amp;$A221,Equipes!$C$2:$C$60,"&gt;="&amp;$A221)</f>
        <v>30</v>
      </c>
      <c r="O221" s="3" t="n">
        <f aca="false">IF(N221&gt;0,ROUNDUP(N221/Parametres!$B$7,0)+1,0)</f>
        <v>4</v>
      </c>
      <c r="P221" s="3" t="n">
        <f aca="false">SUMIFS(Equipes!$D$2:$D$60,Equipes!$A$2:$A$60,"LOT-08",Equipes!$B$2:$B$60,"&lt;="&amp;$A221,Equipes!$C$2:$C$60,"&gt;="&amp;$A221)</f>
        <v>0</v>
      </c>
      <c r="Q221" s="3" t="n">
        <f aca="false">IF(P221&gt;0,ROUNDUP(P221/Parametres!$B$7,0)+1,0)</f>
        <v>0</v>
      </c>
    </row>
    <row r="222" customFormat="false" ht="15" hidden="false" customHeight="false" outlineLevel="0" collapsed="false">
      <c r="A222" s="2" t="n">
        <v>46303</v>
      </c>
      <c r="B222" s="3" t="n">
        <f aca="false">SUMIFS(Equipes!$D$2:$D$60,Equipes!$A$2:$A$60,"LOT-01",Equipes!$B$2:$B$60,"&lt;="&amp;$A222,Equipes!$C$2:$C$60,"&gt;="&amp;$A222)</f>
        <v>0</v>
      </c>
      <c r="C222" s="3" t="n">
        <f aca="false">IF(B222&gt;0,ROUNDUP(B222/Parametres!$B$7,0)+1,0)</f>
        <v>0</v>
      </c>
      <c r="D222" s="3" t="n">
        <f aca="false">SUMIFS(Equipes!$D$2:$D$60,Equipes!$A$2:$A$60,"LOT-02",Equipes!$B$2:$B$60,"&lt;="&amp;$A222,Equipes!$C$2:$C$60,"&gt;="&amp;$A222)</f>
        <v>0</v>
      </c>
      <c r="E222" s="3" t="n">
        <f aca="false">IF(D222&gt;0,ROUNDUP(D222/Parametres!$B$7,0)+1,0)</f>
        <v>0</v>
      </c>
      <c r="F222" s="3" t="n">
        <f aca="false">SUMIFS(Equipes!$D$2:$D$60,Equipes!$A$2:$A$60,"LOT-03",Equipes!$B$2:$B$60,"&lt;="&amp;$A222,Equipes!$C$2:$C$60,"&gt;="&amp;$A222)</f>
        <v>0</v>
      </c>
      <c r="G222" s="3" t="n">
        <f aca="false">IF(F222&gt;0,ROUNDUP(F222/Parametres!$B$7,0)+1,0)</f>
        <v>0</v>
      </c>
      <c r="H222" s="3" t="n">
        <f aca="false">SUMIFS(Equipes!$D$2:$D$60,Equipes!$A$2:$A$60,"LOT-04",Equipes!$B$2:$B$60,"&lt;="&amp;$A222,Equipes!$C$2:$C$60,"&gt;="&amp;$A222)</f>
        <v>14</v>
      </c>
      <c r="I222" s="3" t="n">
        <f aca="false">IF(H222&gt;0,ROUNDUP(H222/Parametres!$B$7,0)+1,0)</f>
        <v>3</v>
      </c>
      <c r="J222" s="3" t="n">
        <f aca="false">SUMIFS(Equipes!$D$2:$D$60,Equipes!$A$2:$A$60,"LOT-05",Equipes!$B$2:$B$60,"&lt;="&amp;$A222,Equipes!$C$2:$C$60,"&gt;="&amp;$A222)</f>
        <v>0</v>
      </c>
      <c r="K222" s="3" t="n">
        <f aca="false">IF(J222&gt;0,ROUNDUP(J222/Parametres!$B$7,0)+1,0)</f>
        <v>0</v>
      </c>
      <c r="L222" s="3" t="n">
        <f aca="false">SUMIFS(Equipes!$D$2:$D$60,Equipes!$A$2:$A$60,"LOT-06",Equipes!$B$2:$B$60,"&lt;="&amp;$A222,Equipes!$C$2:$C$60,"&gt;="&amp;$A222)</f>
        <v>12</v>
      </c>
      <c r="M222" s="3" t="n">
        <f aca="false">IF(L222&gt;0,ROUNDUP(L222/Parametres!$B$7,0)+1,0)</f>
        <v>2</v>
      </c>
      <c r="N222" s="3" t="n">
        <f aca="false">SUMIFS(Equipes!$D$2:$D$60,Equipes!$A$2:$A$60,"LOT-07",Equipes!$B$2:$B$60,"&lt;="&amp;$A222,Equipes!$C$2:$C$60,"&gt;="&amp;$A222)</f>
        <v>30</v>
      </c>
      <c r="O222" s="3" t="n">
        <f aca="false">IF(N222&gt;0,ROUNDUP(N222/Parametres!$B$7,0)+1,0)</f>
        <v>4</v>
      </c>
      <c r="P222" s="3" t="n">
        <f aca="false">SUMIFS(Equipes!$D$2:$D$60,Equipes!$A$2:$A$60,"LOT-08",Equipes!$B$2:$B$60,"&lt;="&amp;$A222,Equipes!$C$2:$C$60,"&gt;="&amp;$A222)</f>
        <v>0</v>
      </c>
      <c r="Q222" s="3" t="n">
        <f aca="false">IF(P222&gt;0,ROUNDUP(P222/Parametres!$B$7,0)+1,0)</f>
        <v>0</v>
      </c>
    </row>
    <row r="223" customFormat="false" ht="15" hidden="false" customHeight="false" outlineLevel="0" collapsed="false">
      <c r="A223" s="2" t="n">
        <v>46304</v>
      </c>
      <c r="B223" s="3" t="n">
        <f aca="false">SUMIFS(Equipes!$D$2:$D$60,Equipes!$A$2:$A$60,"LOT-01",Equipes!$B$2:$B$60,"&lt;="&amp;$A223,Equipes!$C$2:$C$60,"&gt;="&amp;$A223)</f>
        <v>0</v>
      </c>
      <c r="C223" s="3" t="n">
        <f aca="false">IF(B223&gt;0,ROUNDUP(B223/Parametres!$B$7,0)+1,0)</f>
        <v>0</v>
      </c>
      <c r="D223" s="3" t="n">
        <f aca="false">SUMIFS(Equipes!$D$2:$D$60,Equipes!$A$2:$A$60,"LOT-02",Equipes!$B$2:$B$60,"&lt;="&amp;$A223,Equipes!$C$2:$C$60,"&gt;="&amp;$A223)</f>
        <v>0</v>
      </c>
      <c r="E223" s="3" t="n">
        <f aca="false">IF(D223&gt;0,ROUNDUP(D223/Parametres!$B$7,0)+1,0)</f>
        <v>0</v>
      </c>
      <c r="F223" s="3" t="n">
        <f aca="false">SUMIFS(Equipes!$D$2:$D$60,Equipes!$A$2:$A$60,"LOT-03",Equipes!$B$2:$B$60,"&lt;="&amp;$A223,Equipes!$C$2:$C$60,"&gt;="&amp;$A223)</f>
        <v>0</v>
      </c>
      <c r="G223" s="3" t="n">
        <f aca="false">IF(F223&gt;0,ROUNDUP(F223/Parametres!$B$7,0)+1,0)</f>
        <v>0</v>
      </c>
      <c r="H223" s="3" t="n">
        <f aca="false">SUMIFS(Equipes!$D$2:$D$60,Equipes!$A$2:$A$60,"LOT-04",Equipes!$B$2:$B$60,"&lt;="&amp;$A223,Equipes!$C$2:$C$60,"&gt;="&amp;$A223)</f>
        <v>14</v>
      </c>
      <c r="I223" s="3" t="n">
        <f aca="false">IF(H223&gt;0,ROUNDUP(H223/Parametres!$B$7,0)+1,0)</f>
        <v>3</v>
      </c>
      <c r="J223" s="3" t="n">
        <f aca="false">SUMIFS(Equipes!$D$2:$D$60,Equipes!$A$2:$A$60,"LOT-05",Equipes!$B$2:$B$60,"&lt;="&amp;$A223,Equipes!$C$2:$C$60,"&gt;="&amp;$A223)</f>
        <v>0</v>
      </c>
      <c r="K223" s="3" t="n">
        <f aca="false">IF(J223&gt;0,ROUNDUP(J223/Parametres!$B$7,0)+1,0)</f>
        <v>0</v>
      </c>
      <c r="L223" s="3" t="n">
        <f aca="false">SUMIFS(Equipes!$D$2:$D$60,Equipes!$A$2:$A$60,"LOT-06",Equipes!$B$2:$B$60,"&lt;="&amp;$A223,Equipes!$C$2:$C$60,"&gt;="&amp;$A223)</f>
        <v>12</v>
      </c>
      <c r="M223" s="3" t="n">
        <f aca="false">IF(L223&gt;0,ROUNDUP(L223/Parametres!$B$7,0)+1,0)</f>
        <v>2</v>
      </c>
      <c r="N223" s="3" t="n">
        <f aca="false">SUMIFS(Equipes!$D$2:$D$60,Equipes!$A$2:$A$60,"LOT-07",Equipes!$B$2:$B$60,"&lt;="&amp;$A223,Equipes!$C$2:$C$60,"&gt;="&amp;$A223)</f>
        <v>30</v>
      </c>
      <c r="O223" s="3" t="n">
        <f aca="false">IF(N223&gt;0,ROUNDUP(N223/Parametres!$B$7,0)+1,0)</f>
        <v>4</v>
      </c>
      <c r="P223" s="3" t="n">
        <f aca="false">SUMIFS(Equipes!$D$2:$D$60,Equipes!$A$2:$A$60,"LOT-08",Equipes!$B$2:$B$60,"&lt;="&amp;$A223,Equipes!$C$2:$C$60,"&gt;="&amp;$A223)</f>
        <v>0</v>
      </c>
      <c r="Q223" s="3" t="n">
        <f aca="false">IF(P223&gt;0,ROUNDUP(P223/Parametres!$B$7,0)+1,0)</f>
        <v>0</v>
      </c>
    </row>
    <row r="224" customFormat="false" ht="15" hidden="false" customHeight="false" outlineLevel="0" collapsed="false">
      <c r="A224" s="2" t="n">
        <v>46305</v>
      </c>
      <c r="B224" s="3" t="n">
        <f aca="false">SUMIFS(Equipes!$D$2:$D$60,Equipes!$A$2:$A$60,"LOT-01",Equipes!$B$2:$B$60,"&lt;="&amp;$A224,Equipes!$C$2:$C$60,"&gt;="&amp;$A224)</f>
        <v>0</v>
      </c>
      <c r="C224" s="3" t="n">
        <f aca="false">IF(B224&gt;0,ROUNDUP(B224/Parametres!$B$7,0)+1,0)</f>
        <v>0</v>
      </c>
      <c r="D224" s="3" t="n">
        <f aca="false">SUMIFS(Equipes!$D$2:$D$60,Equipes!$A$2:$A$60,"LOT-02",Equipes!$B$2:$B$60,"&lt;="&amp;$A224,Equipes!$C$2:$C$60,"&gt;="&amp;$A224)</f>
        <v>0</v>
      </c>
      <c r="E224" s="3" t="n">
        <f aca="false">IF(D224&gt;0,ROUNDUP(D224/Parametres!$B$7,0)+1,0)</f>
        <v>0</v>
      </c>
      <c r="F224" s="3" t="n">
        <f aca="false">SUMIFS(Equipes!$D$2:$D$60,Equipes!$A$2:$A$60,"LOT-03",Equipes!$B$2:$B$60,"&lt;="&amp;$A224,Equipes!$C$2:$C$60,"&gt;="&amp;$A224)</f>
        <v>0</v>
      </c>
      <c r="G224" s="3" t="n">
        <f aca="false">IF(F224&gt;0,ROUNDUP(F224/Parametres!$B$7,0)+1,0)</f>
        <v>0</v>
      </c>
      <c r="H224" s="3" t="n">
        <f aca="false">SUMIFS(Equipes!$D$2:$D$60,Equipes!$A$2:$A$60,"LOT-04",Equipes!$B$2:$B$60,"&lt;="&amp;$A224,Equipes!$C$2:$C$60,"&gt;="&amp;$A224)</f>
        <v>14</v>
      </c>
      <c r="I224" s="3" t="n">
        <f aca="false">IF(H224&gt;0,ROUNDUP(H224/Parametres!$B$7,0)+1,0)</f>
        <v>3</v>
      </c>
      <c r="J224" s="3" t="n">
        <f aca="false">SUMIFS(Equipes!$D$2:$D$60,Equipes!$A$2:$A$60,"LOT-05",Equipes!$B$2:$B$60,"&lt;="&amp;$A224,Equipes!$C$2:$C$60,"&gt;="&amp;$A224)</f>
        <v>0</v>
      </c>
      <c r="K224" s="3" t="n">
        <f aca="false">IF(J224&gt;0,ROUNDUP(J224/Parametres!$B$7,0)+1,0)</f>
        <v>0</v>
      </c>
      <c r="L224" s="3" t="n">
        <f aca="false">SUMIFS(Equipes!$D$2:$D$60,Equipes!$A$2:$A$60,"LOT-06",Equipes!$B$2:$B$60,"&lt;="&amp;$A224,Equipes!$C$2:$C$60,"&gt;="&amp;$A224)</f>
        <v>12</v>
      </c>
      <c r="M224" s="3" t="n">
        <f aca="false">IF(L224&gt;0,ROUNDUP(L224/Parametres!$B$7,0)+1,0)</f>
        <v>2</v>
      </c>
      <c r="N224" s="3" t="n">
        <f aca="false">SUMIFS(Equipes!$D$2:$D$60,Equipes!$A$2:$A$60,"LOT-07",Equipes!$B$2:$B$60,"&lt;="&amp;$A224,Equipes!$C$2:$C$60,"&gt;="&amp;$A224)</f>
        <v>30</v>
      </c>
      <c r="O224" s="3" t="n">
        <f aca="false">IF(N224&gt;0,ROUNDUP(N224/Parametres!$B$7,0)+1,0)</f>
        <v>4</v>
      </c>
      <c r="P224" s="3" t="n">
        <f aca="false">SUMIFS(Equipes!$D$2:$D$60,Equipes!$A$2:$A$60,"LOT-08",Equipes!$B$2:$B$60,"&lt;="&amp;$A224,Equipes!$C$2:$C$60,"&gt;="&amp;$A224)</f>
        <v>0</v>
      </c>
      <c r="Q224" s="3" t="n">
        <f aca="false">IF(P224&gt;0,ROUNDUP(P224/Parametres!$B$7,0)+1,0)</f>
        <v>0</v>
      </c>
    </row>
    <row r="225" customFormat="false" ht="15" hidden="false" customHeight="false" outlineLevel="0" collapsed="false">
      <c r="A225" s="2" t="n">
        <v>46306</v>
      </c>
      <c r="B225" s="3" t="n">
        <f aca="false">SUMIFS(Equipes!$D$2:$D$60,Equipes!$A$2:$A$60,"LOT-01",Equipes!$B$2:$B$60,"&lt;="&amp;$A225,Equipes!$C$2:$C$60,"&gt;="&amp;$A225)</f>
        <v>0</v>
      </c>
      <c r="C225" s="3" t="n">
        <f aca="false">IF(B225&gt;0,ROUNDUP(B225/Parametres!$B$7,0)+1,0)</f>
        <v>0</v>
      </c>
      <c r="D225" s="3" t="n">
        <f aca="false">SUMIFS(Equipes!$D$2:$D$60,Equipes!$A$2:$A$60,"LOT-02",Equipes!$B$2:$B$60,"&lt;="&amp;$A225,Equipes!$C$2:$C$60,"&gt;="&amp;$A225)</f>
        <v>0</v>
      </c>
      <c r="E225" s="3" t="n">
        <f aca="false">IF(D225&gt;0,ROUNDUP(D225/Parametres!$B$7,0)+1,0)</f>
        <v>0</v>
      </c>
      <c r="F225" s="3" t="n">
        <f aca="false">SUMIFS(Equipes!$D$2:$D$60,Equipes!$A$2:$A$60,"LOT-03",Equipes!$B$2:$B$60,"&lt;="&amp;$A225,Equipes!$C$2:$C$60,"&gt;="&amp;$A225)</f>
        <v>0</v>
      </c>
      <c r="G225" s="3" t="n">
        <f aca="false">IF(F225&gt;0,ROUNDUP(F225/Parametres!$B$7,0)+1,0)</f>
        <v>0</v>
      </c>
      <c r="H225" s="3" t="n">
        <f aca="false">SUMIFS(Equipes!$D$2:$D$60,Equipes!$A$2:$A$60,"LOT-04",Equipes!$B$2:$B$60,"&lt;="&amp;$A225,Equipes!$C$2:$C$60,"&gt;="&amp;$A225)</f>
        <v>14</v>
      </c>
      <c r="I225" s="3" t="n">
        <f aca="false">IF(H225&gt;0,ROUNDUP(H225/Parametres!$B$7,0)+1,0)</f>
        <v>3</v>
      </c>
      <c r="J225" s="3" t="n">
        <f aca="false">SUMIFS(Equipes!$D$2:$D$60,Equipes!$A$2:$A$60,"LOT-05",Equipes!$B$2:$B$60,"&lt;="&amp;$A225,Equipes!$C$2:$C$60,"&gt;="&amp;$A225)</f>
        <v>0</v>
      </c>
      <c r="K225" s="3" t="n">
        <f aca="false">IF(J225&gt;0,ROUNDUP(J225/Parametres!$B$7,0)+1,0)</f>
        <v>0</v>
      </c>
      <c r="L225" s="3" t="n">
        <f aca="false">SUMIFS(Equipes!$D$2:$D$60,Equipes!$A$2:$A$60,"LOT-06",Equipes!$B$2:$B$60,"&lt;="&amp;$A225,Equipes!$C$2:$C$60,"&gt;="&amp;$A225)</f>
        <v>12</v>
      </c>
      <c r="M225" s="3" t="n">
        <f aca="false">IF(L225&gt;0,ROUNDUP(L225/Parametres!$B$7,0)+1,0)</f>
        <v>2</v>
      </c>
      <c r="N225" s="3" t="n">
        <f aca="false">SUMIFS(Equipes!$D$2:$D$60,Equipes!$A$2:$A$60,"LOT-07",Equipes!$B$2:$B$60,"&lt;="&amp;$A225,Equipes!$C$2:$C$60,"&gt;="&amp;$A225)</f>
        <v>30</v>
      </c>
      <c r="O225" s="3" t="n">
        <f aca="false">IF(N225&gt;0,ROUNDUP(N225/Parametres!$B$7,0)+1,0)</f>
        <v>4</v>
      </c>
      <c r="P225" s="3" t="n">
        <f aca="false">SUMIFS(Equipes!$D$2:$D$60,Equipes!$A$2:$A$60,"LOT-08",Equipes!$B$2:$B$60,"&lt;="&amp;$A225,Equipes!$C$2:$C$60,"&gt;="&amp;$A225)</f>
        <v>0</v>
      </c>
      <c r="Q225" s="3" t="n">
        <f aca="false">IF(P225&gt;0,ROUNDUP(P225/Parametres!$B$7,0)+1,0)</f>
        <v>0</v>
      </c>
    </row>
    <row r="226" customFormat="false" ht="15" hidden="false" customHeight="false" outlineLevel="0" collapsed="false">
      <c r="A226" s="2" t="n">
        <v>46307</v>
      </c>
      <c r="B226" s="3" t="n">
        <f aca="false">SUMIFS(Equipes!$D$2:$D$60,Equipes!$A$2:$A$60,"LOT-01",Equipes!$B$2:$B$60,"&lt;="&amp;$A226,Equipes!$C$2:$C$60,"&gt;="&amp;$A226)</f>
        <v>0</v>
      </c>
      <c r="C226" s="3" t="n">
        <f aca="false">IF(B226&gt;0,ROUNDUP(B226/Parametres!$B$7,0)+1,0)</f>
        <v>0</v>
      </c>
      <c r="D226" s="3" t="n">
        <f aca="false">SUMIFS(Equipes!$D$2:$D$60,Equipes!$A$2:$A$60,"LOT-02",Equipes!$B$2:$B$60,"&lt;="&amp;$A226,Equipes!$C$2:$C$60,"&gt;="&amp;$A226)</f>
        <v>0</v>
      </c>
      <c r="E226" s="3" t="n">
        <f aca="false">IF(D226&gt;0,ROUNDUP(D226/Parametres!$B$7,0)+1,0)</f>
        <v>0</v>
      </c>
      <c r="F226" s="3" t="n">
        <f aca="false">SUMIFS(Equipes!$D$2:$D$60,Equipes!$A$2:$A$60,"LOT-03",Equipes!$B$2:$B$60,"&lt;="&amp;$A226,Equipes!$C$2:$C$60,"&gt;="&amp;$A226)</f>
        <v>0</v>
      </c>
      <c r="G226" s="3" t="n">
        <f aca="false">IF(F226&gt;0,ROUNDUP(F226/Parametres!$B$7,0)+1,0)</f>
        <v>0</v>
      </c>
      <c r="H226" s="3" t="n">
        <f aca="false">SUMIFS(Equipes!$D$2:$D$60,Equipes!$A$2:$A$60,"LOT-04",Equipes!$B$2:$B$60,"&lt;="&amp;$A226,Equipes!$C$2:$C$60,"&gt;="&amp;$A226)</f>
        <v>14</v>
      </c>
      <c r="I226" s="3" t="n">
        <f aca="false">IF(H226&gt;0,ROUNDUP(H226/Parametres!$B$7,0)+1,0)</f>
        <v>3</v>
      </c>
      <c r="J226" s="3" t="n">
        <f aca="false">SUMIFS(Equipes!$D$2:$D$60,Equipes!$A$2:$A$60,"LOT-05",Equipes!$B$2:$B$60,"&lt;="&amp;$A226,Equipes!$C$2:$C$60,"&gt;="&amp;$A226)</f>
        <v>0</v>
      </c>
      <c r="K226" s="3" t="n">
        <f aca="false">IF(J226&gt;0,ROUNDUP(J226/Parametres!$B$7,0)+1,0)</f>
        <v>0</v>
      </c>
      <c r="L226" s="3" t="n">
        <f aca="false">SUMIFS(Equipes!$D$2:$D$60,Equipes!$A$2:$A$60,"LOT-06",Equipes!$B$2:$B$60,"&lt;="&amp;$A226,Equipes!$C$2:$C$60,"&gt;="&amp;$A226)</f>
        <v>12</v>
      </c>
      <c r="M226" s="3" t="n">
        <f aca="false">IF(L226&gt;0,ROUNDUP(L226/Parametres!$B$7,0)+1,0)</f>
        <v>2</v>
      </c>
      <c r="N226" s="3" t="n">
        <f aca="false">SUMIFS(Equipes!$D$2:$D$60,Equipes!$A$2:$A$60,"LOT-07",Equipes!$B$2:$B$60,"&lt;="&amp;$A226,Equipes!$C$2:$C$60,"&gt;="&amp;$A226)</f>
        <v>20</v>
      </c>
      <c r="O226" s="3" t="n">
        <f aca="false">IF(N226&gt;0,ROUNDUP(N226/Parametres!$B$7,0)+1,0)</f>
        <v>3</v>
      </c>
      <c r="P226" s="3" t="n">
        <f aca="false">SUMIFS(Equipes!$D$2:$D$60,Equipes!$A$2:$A$60,"LOT-08",Equipes!$B$2:$B$60,"&lt;="&amp;$A226,Equipes!$C$2:$C$60,"&gt;="&amp;$A226)</f>
        <v>0</v>
      </c>
      <c r="Q226" s="3" t="n">
        <f aca="false">IF(P226&gt;0,ROUNDUP(P226/Parametres!$B$7,0)+1,0)</f>
        <v>0</v>
      </c>
    </row>
    <row r="227" customFormat="false" ht="15" hidden="false" customHeight="false" outlineLevel="0" collapsed="false">
      <c r="A227" s="2" t="n">
        <v>46308</v>
      </c>
      <c r="B227" s="3" t="n">
        <f aca="false">SUMIFS(Equipes!$D$2:$D$60,Equipes!$A$2:$A$60,"LOT-01",Equipes!$B$2:$B$60,"&lt;="&amp;$A227,Equipes!$C$2:$C$60,"&gt;="&amp;$A227)</f>
        <v>0</v>
      </c>
      <c r="C227" s="3" t="n">
        <f aca="false">IF(B227&gt;0,ROUNDUP(B227/Parametres!$B$7,0)+1,0)</f>
        <v>0</v>
      </c>
      <c r="D227" s="3" t="n">
        <f aca="false">SUMIFS(Equipes!$D$2:$D$60,Equipes!$A$2:$A$60,"LOT-02",Equipes!$B$2:$B$60,"&lt;="&amp;$A227,Equipes!$C$2:$C$60,"&gt;="&amp;$A227)</f>
        <v>0</v>
      </c>
      <c r="E227" s="3" t="n">
        <f aca="false">IF(D227&gt;0,ROUNDUP(D227/Parametres!$B$7,0)+1,0)</f>
        <v>0</v>
      </c>
      <c r="F227" s="3" t="n">
        <f aca="false">SUMIFS(Equipes!$D$2:$D$60,Equipes!$A$2:$A$60,"LOT-03",Equipes!$B$2:$B$60,"&lt;="&amp;$A227,Equipes!$C$2:$C$60,"&gt;="&amp;$A227)</f>
        <v>0</v>
      </c>
      <c r="G227" s="3" t="n">
        <f aca="false">IF(F227&gt;0,ROUNDUP(F227/Parametres!$B$7,0)+1,0)</f>
        <v>0</v>
      </c>
      <c r="H227" s="3" t="n">
        <f aca="false">SUMIFS(Equipes!$D$2:$D$60,Equipes!$A$2:$A$60,"LOT-04",Equipes!$B$2:$B$60,"&lt;="&amp;$A227,Equipes!$C$2:$C$60,"&gt;="&amp;$A227)</f>
        <v>14</v>
      </c>
      <c r="I227" s="3" t="n">
        <f aca="false">IF(H227&gt;0,ROUNDUP(H227/Parametres!$B$7,0)+1,0)</f>
        <v>3</v>
      </c>
      <c r="J227" s="3" t="n">
        <f aca="false">SUMIFS(Equipes!$D$2:$D$60,Equipes!$A$2:$A$60,"LOT-05",Equipes!$B$2:$B$60,"&lt;="&amp;$A227,Equipes!$C$2:$C$60,"&gt;="&amp;$A227)</f>
        <v>0</v>
      </c>
      <c r="K227" s="3" t="n">
        <f aca="false">IF(J227&gt;0,ROUNDUP(J227/Parametres!$B$7,0)+1,0)</f>
        <v>0</v>
      </c>
      <c r="L227" s="3" t="n">
        <f aca="false">SUMIFS(Equipes!$D$2:$D$60,Equipes!$A$2:$A$60,"LOT-06",Equipes!$B$2:$B$60,"&lt;="&amp;$A227,Equipes!$C$2:$C$60,"&gt;="&amp;$A227)</f>
        <v>12</v>
      </c>
      <c r="M227" s="3" t="n">
        <f aca="false">IF(L227&gt;0,ROUNDUP(L227/Parametres!$B$7,0)+1,0)</f>
        <v>2</v>
      </c>
      <c r="N227" s="3" t="n">
        <f aca="false">SUMIFS(Equipes!$D$2:$D$60,Equipes!$A$2:$A$60,"LOT-07",Equipes!$B$2:$B$60,"&lt;="&amp;$A227,Equipes!$C$2:$C$60,"&gt;="&amp;$A227)</f>
        <v>20</v>
      </c>
      <c r="O227" s="3" t="n">
        <f aca="false">IF(N227&gt;0,ROUNDUP(N227/Parametres!$B$7,0)+1,0)</f>
        <v>3</v>
      </c>
      <c r="P227" s="3" t="n">
        <f aca="false">SUMIFS(Equipes!$D$2:$D$60,Equipes!$A$2:$A$60,"LOT-08",Equipes!$B$2:$B$60,"&lt;="&amp;$A227,Equipes!$C$2:$C$60,"&gt;="&amp;$A227)</f>
        <v>0</v>
      </c>
      <c r="Q227" s="3" t="n">
        <f aca="false">IF(P227&gt;0,ROUNDUP(P227/Parametres!$B$7,0)+1,0)</f>
        <v>0</v>
      </c>
    </row>
    <row r="228" customFormat="false" ht="15" hidden="false" customHeight="false" outlineLevel="0" collapsed="false">
      <c r="A228" s="2" t="n">
        <v>46309</v>
      </c>
      <c r="B228" s="3" t="n">
        <f aca="false">SUMIFS(Equipes!$D$2:$D$60,Equipes!$A$2:$A$60,"LOT-01",Equipes!$B$2:$B$60,"&lt;="&amp;$A228,Equipes!$C$2:$C$60,"&gt;="&amp;$A228)</f>
        <v>0</v>
      </c>
      <c r="C228" s="3" t="n">
        <f aca="false">IF(B228&gt;0,ROUNDUP(B228/Parametres!$B$7,0)+1,0)</f>
        <v>0</v>
      </c>
      <c r="D228" s="3" t="n">
        <f aca="false">SUMIFS(Equipes!$D$2:$D$60,Equipes!$A$2:$A$60,"LOT-02",Equipes!$B$2:$B$60,"&lt;="&amp;$A228,Equipes!$C$2:$C$60,"&gt;="&amp;$A228)</f>
        <v>0</v>
      </c>
      <c r="E228" s="3" t="n">
        <f aca="false">IF(D228&gt;0,ROUNDUP(D228/Parametres!$B$7,0)+1,0)</f>
        <v>0</v>
      </c>
      <c r="F228" s="3" t="n">
        <f aca="false">SUMIFS(Equipes!$D$2:$D$60,Equipes!$A$2:$A$60,"LOT-03",Equipes!$B$2:$B$60,"&lt;="&amp;$A228,Equipes!$C$2:$C$60,"&gt;="&amp;$A228)</f>
        <v>0</v>
      </c>
      <c r="G228" s="3" t="n">
        <f aca="false">IF(F228&gt;0,ROUNDUP(F228/Parametres!$B$7,0)+1,0)</f>
        <v>0</v>
      </c>
      <c r="H228" s="3" t="n">
        <f aca="false">SUMIFS(Equipes!$D$2:$D$60,Equipes!$A$2:$A$60,"LOT-04",Equipes!$B$2:$B$60,"&lt;="&amp;$A228,Equipes!$C$2:$C$60,"&gt;="&amp;$A228)</f>
        <v>14</v>
      </c>
      <c r="I228" s="3" t="n">
        <f aca="false">IF(H228&gt;0,ROUNDUP(H228/Parametres!$B$7,0)+1,0)</f>
        <v>3</v>
      </c>
      <c r="J228" s="3" t="n">
        <f aca="false">SUMIFS(Equipes!$D$2:$D$60,Equipes!$A$2:$A$60,"LOT-05",Equipes!$B$2:$B$60,"&lt;="&amp;$A228,Equipes!$C$2:$C$60,"&gt;="&amp;$A228)</f>
        <v>0</v>
      </c>
      <c r="K228" s="3" t="n">
        <f aca="false">IF(J228&gt;0,ROUNDUP(J228/Parametres!$B$7,0)+1,0)</f>
        <v>0</v>
      </c>
      <c r="L228" s="3" t="n">
        <f aca="false">SUMIFS(Equipes!$D$2:$D$60,Equipes!$A$2:$A$60,"LOT-06",Equipes!$B$2:$B$60,"&lt;="&amp;$A228,Equipes!$C$2:$C$60,"&gt;="&amp;$A228)</f>
        <v>12</v>
      </c>
      <c r="M228" s="3" t="n">
        <f aca="false">IF(L228&gt;0,ROUNDUP(L228/Parametres!$B$7,0)+1,0)</f>
        <v>2</v>
      </c>
      <c r="N228" s="3" t="n">
        <f aca="false">SUMIFS(Equipes!$D$2:$D$60,Equipes!$A$2:$A$60,"LOT-07",Equipes!$B$2:$B$60,"&lt;="&amp;$A228,Equipes!$C$2:$C$60,"&gt;="&amp;$A228)</f>
        <v>20</v>
      </c>
      <c r="O228" s="3" t="n">
        <f aca="false">IF(N228&gt;0,ROUNDUP(N228/Parametres!$B$7,0)+1,0)</f>
        <v>3</v>
      </c>
      <c r="P228" s="3" t="n">
        <f aca="false">SUMIFS(Equipes!$D$2:$D$60,Equipes!$A$2:$A$60,"LOT-08",Equipes!$B$2:$B$60,"&lt;="&amp;$A228,Equipes!$C$2:$C$60,"&gt;="&amp;$A228)</f>
        <v>0</v>
      </c>
      <c r="Q228" s="3" t="n">
        <f aca="false">IF(P228&gt;0,ROUNDUP(P228/Parametres!$B$7,0)+1,0)</f>
        <v>0</v>
      </c>
    </row>
    <row r="229" customFormat="false" ht="15" hidden="false" customHeight="false" outlineLevel="0" collapsed="false">
      <c r="A229" s="2" t="n">
        <v>46310</v>
      </c>
      <c r="B229" s="3" t="n">
        <f aca="false">SUMIFS(Equipes!$D$2:$D$60,Equipes!$A$2:$A$60,"LOT-01",Equipes!$B$2:$B$60,"&lt;="&amp;$A229,Equipes!$C$2:$C$60,"&gt;="&amp;$A229)</f>
        <v>0</v>
      </c>
      <c r="C229" s="3" t="n">
        <f aca="false">IF(B229&gt;0,ROUNDUP(B229/Parametres!$B$7,0)+1,0)</f>
        <v>0</v>
      </c>
      <c r="D229" s="3" t="n">
        <f aca="false">SUMIFS(Equipes!$D$2:$D$60,Equipes!$A$2:$A$60,"LOT-02",Equipes!$B$2:$B$60,"&lt;="&amp;$A229,Equipes!$C$2:$C$60,"&gt;="&amp;$A229)</f>
        <v>0</v>
      </c>
      <c r="E229" s="3" t="n">
        <f aca="false">IF(D229&gt;0,ROUNDUP(D229/Parametres!$B$7,0)+1,0)</f>
        <v>0</v>
      </c>
      <c r="F229" s="3" t="n">
        <f aca="false">SUMIFS(Equipes!$D$2:$D$60,Equipes!$A$2:$A$60,"LOT-03",Equipes!$B$2:$B$60,"&lt;="&amp;$A229,Equipes!$C$2:$C$60,"&gt;="&amp;$A229)</f>
        <v>0</v>
      </c>
      <c r="G229" s="3" t="n">
        <f aca="false">IF(F229&gt;0,ROUNDUP(F229/Parametres!$B$7,0)+1,0)</f>
        <v>0</v>
      </c>
      <c r="H229" s="3" t="n">
        <f aca="false">SUMIFS(Equipes!$D$2:$D$60,Equipes!$A$2:$A$60,"LOT-04",Equipes!$B$2:$B$60,"&lt;="&amp;$A229,Equipes!$C$2:$C$60,"&gt;="&amp;$A229)</f>
        <v>14</v>
      </c>
      <c r="I229" s="3" t="n">
        <f aca="false">IF(H229&gt;0,ROUNDUP(H229/Parametres!$B$7,0)+1,0)</f>
        <v>3</v>
      </c>
      <c r="J229" s="3" t="n">
        <f aca="false">SUMIFS(Equipes!$D$2:$D$60,Equipes!$A$2:$A$60,"LOT-05",Equipes!$B$2:$B$60,"&lt;="&amp;$A229,Equipes!$C$2:$C$60,"&gt;="&amp;$A229)</f>
        <v>0</v>
      </c>
      <c r="K229" s="3" t="n">
        <f aca="false">IF(J229&gt;0,ROUNDUP(J229/Parametres!$B$7,0)+1,0)</f>
        <v>0</v>
      </c>
      <c r="L229" s="3" t="n">
        <f aca="false">SUMIFS(Equipes!$D$2:$D$60,Equipes!$A$2:$A$60,"LOT-06",Equipes!$B$2:$B$60,"&lt;="&amp;$A229,Equipes!$C$2:$C$60,"&gt;="&amp;$A229)</f>
        <v>12</v>
      </c>
      <c r="M229" s="3" t="n">
        <f aca="false">IF(L229&gt;0,ROUNDUP(L229/Parametres!$B$7,0)+1,0)</f>
        <v>2</v>
      </c>
      <c r="N229" s="3" t="n">
        <f aca="false">SUMIFS(Equipes!$D$2:$D$60,Equipes!$A$2:$A$60,"LOT-07",Equipes!$B$2:$B$60,"&lt;="&amp;$A229,Equipes!$C$2:$C$60,"&gt;="&amp;$A229)</f>
        <v>20</v>
      </c>
      <c r="O229" s="3" t="n">
        <f aca="false">IF(N229&gt;0,ROUNDUP(N229/Parametres!$B$7,0)+1,0)</f>
        <v>3</v>
      </c>
      <c r="P229" s="3" t="n">
        <f aca="false">SUMIFS(Equipes!$D$2:$D$60,Equipes!$A$2:$A$60,"LOT-08",Equipes!$B$2:$B$60,"&lt;="&amp;$A229,Equipes!$C$2:$C$60,"&gt;="&amp;$A229)</f>
        <v>0</v>
      </c>
      <c r="Q229" s="3" t="n">
        <f aca="false">IF(P229&gt;0,ROUNDUP(P229/Parametres!$B$7,0)+1,0)</f>
        <v>0</v>
      </c>
    </row>
    <row r="230" customFormat="false" ht="15" hidden="false" customHeight="false" outlineLevel="0" collapsed="false">
      <c r="A230" s="2" t="n">
        <v>46311</v>
      </c>
      <c r="B230" s="3" t="n">
        <f aca="false">SUMIFS(Equipes!$D$2:$D$60,Equipes!$A$2:$A$60,"LOT-01",Equipes!$B$2:$B$60,"&lt;="&amp;$A230,Equipes!$C$2:$C$60,"&gt;="&amp;$A230)</f>
        <v>0</v>
      </c>
      <c r="C230" s="3" t="n">
        <f aca="false">IF(B230&gt;0,ROUNDUP(B230/Parametres!$B$7,0)+1,0)</f>
        <v>0</v>
      </c>
      <c r="D230" s="3" t="n">
        <f aca="false">SUMIFS(Equipes!$D$2:$D$60,Equipes!$A$2:$A$60,"LOT-02",Equipes!$B$2:$B$60,"&lt;="&amp;$A230,Equipes!$C$2:$C$60,"&gt;="&amp;$A230)</f>
        <v>0</v>
      </c>
      <c r="E230" s="3" t="n">
        <f aca="false">IF(D230&gt;0,ROUNDUP(D230/Parametres!$B$7,0)+1,0)</f>
        <v>0</v>
      </c>
      <c r="F230" s="3" t="n">
        <f aca="false">SUMIFS(Equipes!$D$2:$D$60,Equipes!$A$2:$A$60,"LOT-03",Equipes!$B$2:$B$60,"&lt;="&amp;$A230,Equipes!$C$2:$C$60,"&gt;="&amp;$A230)</f>
        <v>0</v>
      </c>
      <c r="G230" s="3" t="n">
        <f aca="false">IF(F230&gt;0,ROUNDUP(F230/Parametres!$B$7,0)+1,0)</f>
        <v>0</v>
      </c>
      <c r="H230" s="3" t="n">
        <f aca="false">SUMIFS(Equipes!$D$2:$D$60,Equipes!$A$2:$A$60,"LOT-04",Equipes!$B$2:$B$60,"&lt;="&amp;$A230,Equipes!$C$2:$C$60,"&gt;="&amp;$A230)</f>
        <v>14</v>
      </c>
      <c r="I230" s="3" t="n">
        <f aca="false">IF(H230&gt;0,ROUNDUP(H230/Parametres!$B$7,0)+1,0)</f>
        <v>3</v>
      </c>
      <c r="J230" s="3" t="n">
        <f aca="false">SUMIFS(Equipes!$D$2:$D$60,Equipes!$A$2:$A$60,"LOT-05",Equipes!$B$2:$B$60,"&lt;="&amp;$A230,Equipes!$C$2:$C$60,"&gt;="&amp;$A230)</f>
        <v>0</v>
      </c>
      <c r="K230" s="3" t="n">
        <f aca="false">IF(J230&gt;0,ROUNDUP(J230/Parametres!$B$7,0)+1,0)</f>
        <v>0</v>
      </c>
      <c r="L230" s="3" t="n">
        <f aca="false">SUMIFS(Equipes!$D$2:$D$60,Equipes!$A$2:$A$60,"LOT-06",Equipes!$B$2:$B$60,"&lt;="&amp;$A230,Equipes!$C$2:$C$60,"&gt;="&amp;$A230)</f>
        <v>12</v>
      </c>
      <c r="M230" s="3" t="n">
        <f aca="false">IF(L230&gt;0,ROUNDUP(L230/Parametres!$B$7,0)+1,0)</f>
        <v>2</v>
      </c>
      <c r="N230" s="3" t="n">
        <f aca="false">SUMIFS(Equipes!$D$2:$D$60,Equipes!$A$2:$A$60,"LOT-07",Equipes!$B$2:$B$60,"&lt;="&amp;$A230,Equipes!$C$2:$C$60,"&gt;="&amp;$A230)</f>
        <v>10</v>
      </c>
      <c r="O230" s="3" t="n">
        <f aca="false">IF(N230&gt;0,ROUNDUP(N230/Parametres!$B$7,0)+1,0)</f>
        <v>2</v>
      </c>
      <c r="P230" s="3" t="n">
        <f aca="false">SUMIFS(Equipes!$D$2:$D$60,Equipes!$A$2:$A$60,"LOT-08",Equipes!$B$2:$B$60,"&lt;="&amp;$A230,Equipes!$C$2:$C$60,"&gt;="&amp;$A230)</f>
        <v>0</v>
      </c>
      <c r="Q230" s="3" t="n">
        <f aca="false">IF(P230&gt;0,ROUNDUP(P230/Parametres!$B$7,0)+1,0)</f>
        <v>0</v>
      </c>
    </row>
    <row r="231" customFormat="false" ht="15" hidden="false" customHeight="false" outlineLevel="0" collapsed="false">
      <c r="A231" s="2" t="n">
        <v>46312</v>
      </c>
      <c r="B231" s="3" t="n">
        <f aca="false">SUMIFS(Equipes!$D$2:$D$60,Equipes!$A$2:$A$60,"LOT-01",Equipes!$B$2:$B$60,"&lt;="&amp;$A231,Equipes!$C$2:$C$60,"&gt;="&amp;$A231)</f>
        <v>0</v>
      </c>
      <c r="C231" s="3" t="n">
        <f aca="false">IF(B231&gt;0,ROUNDUP(B231/Parametres!$B$7,0)+1,0)</f>
        <v>0</v>
      </c>
      <c r="D231" s="3" t="n">
        <f aca="false">SUMIFS(Equipes!$D$2:$D$60,Equipes!$A$2:$A$60,"LOT-02",Equipes!$B$2:$B$60,"&lt;="&amp;$A231,Equipes!$C$2:$C$60,"&gt;="&amp;$A231)</f>
        <v>0</v>
      </c>
      <c r="E231" s="3" t="n">
        <f aca="false">IF(D231&gt;0,ROUNDUP(D231/Parametres!$B$7,0)+1,0)</f>
        <v>0</v>
      </c>
      <c r="F231" s="3" t="n">
        <f aca="false">SUMIFS(Equipes!$D$2:$D$60,Equipes!$A$2:$A$60,"LOT-03",Equipes!$B$2:$B$60,"&lt;="&amp;$A231,Equipes!$C$2:$C$60,"&gt;="&amp;$A231)</f>
        <v>0</v>
      </c>
      <c r="G231" s="3" t="n">
        <f aca="false">IF(F231&gt;0,ROUNDUP(F231/Parametres!$B$7,0)+1,0)</f>
        <v>0</v>
      </c>
      <c r="H231" s="3" t="n">
        <f aca="false">SUMIFS(Equipes!$D$2:$D$60,Equipes!$A$2:$A$60,"LOT-04",Equipes!$B$2:$B$60,"&lt;="&amp;$A231,Equipes!$C$2:$C$60,"&gt;="&amp;$A231)</f>
        <v>14</v>
      </c>
      <c r="I231" s="3" t="n">
        <f aca="false">IF(H231&gt;0,ROUNDUP(H231/Parametres!$B$7,0)+1,0)</f>
        <v>3</v>
      </c>
      <c r="J231" s="3" t="n">
        <f aca="false">SUMIFS(Equipes!$D$2:$D$60,Equipes!$A$2:$A$60,"LOT-05",Equipes!$B$2:$B$60,"&lt;="&amp;$A231,Equipes!$C$2:$C$60,"&gt;="&amp;$A231)</f>
        <v>0</v>
      </c>
      <c r="K231" s="3" t="n">
        <f aca="false">IF(J231&gt;0,ROUNDUP(J231/Parametres!$B$7,0)+1,0)</f>
        <v>0</v>
      </c>
      <c r="L231" s="3" t="n">
        <f aca="false">SUMIFS(Equipes!$D$2:$D$60,Equipes!$A$2:$A$60,"LOT-06",Equipes!$B$2:$B$60,"&lt;="&amp;$A231,Equipes!$C$2:$C$60,"&gt;="&amp;$A231)</f>
        <v>12</v>
      </c>
      <c r="M231" s="3" t="n">
        <f aca="false">IF(L231&gt;0,ROUNDUP(L231/Parametres!$B$7,0)+1,0)</f>
        <v>2</v>
      </c>
      <c r="N231" s="3" t="n">
        <f aca="false">SUMIFS(Equipes!$D$2:$D$60,Equipes!$A$2:$A$60,"LOT-07",Equipes!$B$2:$B$60,"&lt;="&amp;$A231,Equipes!$C$2:$C$60,"&gt;="&amp;$A231)</f>
        <v>10</v>
      </c>
      <c r="O231" s="3" t="n">
        <f aca="false">IF(N231&gt;0,ROUNDUP(N231/Parametres!$B$7,0)+1,0)</f>
        <v>2</v>
      </c>
      <c r="P231" s="3" t="n">
        <f aca="false">SUMIFS(Equipes!$D$2:$D$60,Equipes!$A$2:$A$60,"LOT-08",Equipes!$B$2:$B$60,"&lt;="&amp;$A231,Equipes!$C$2:$C$60,"&gt;="&amp;$A231)</f>
        <v>0</v>
      </c>
      <c r="Q231" s="3" t="n">
        <f aca="false">IF(P231&gt;0,ROUNDUP(P231/Parametres!$B$7,0)+1,0)</f>
        <v>0</v>
      </c>
    </row>
    <row r="232" customFormat="false" ht="15" hidden="false" customHeight="false" outlineLevel="0" collapsed="false">
      <c r="A232" s="2" t="n">
        <v>46313</v>
      </c>
      <c r="B232" s="3" t="n">
        <f aca="false">SUMIFS(Equipes!$D$2:$D$60,Equipes!$A$2:$A$60,"LOT-01",Equipes!$B$2:$B$60,"&lt;="&amp;$A232,Equipes!$C$2:$C$60,"&gt;="&amp;$A232)</f>
        <v>0</v>
      </c>
      <c r="C232" s="3" t="n">
        <f aca="false">IF(B232&gt;0,ROUNDUP(B232/Parametres!$B$7,0)+1,0)</f>
        <v>0</v>
      </c>
      <c r="D232" s="3" t="n">
        <f aca="false">SUMIFS(Equipes!$D$2:$D$60,Equipes!$A$2:$A$60,"LOT-02",Equipes!$B$2:$B$60,"&lt;="&amp;$A232,Equipes!$C$2:$C$60,"&gt;="&amp;$A232)</f>
        <v>0</v>
      </c>
      <c r="E232" s="3" t="n">
        <f aca="false">IF(D232&gt;0,ROUNDUP(D232/Parametres!$B$7,0)+1,0)</f>
        <v>0</v>
      </c>
      <c r="F232" s="3" t="n">
        <f aca="false">SUMIFS(Equipes!$D$2:$D$60,Equipes!$A$2:$A$60,"LOT-03",Equipes!$B$2:$B$60,"&lt;="&amp;$A232,Equipes!$C$2:$C$60,"&gt;="&amp;$A232)</f>
        <v>0</v>
      </c>
      <c r="G232" s="3" t="n">
        <f aca="false">IF(F232&gt;0,ROUNDUP(F232/Parametres!$B$7,0)+1,0)</f>
        <v>0</v>
      </c>
      <c r="H232" s="3" t="n">
        <f aca="false">SUMIFS(Equipes!$D$2:$D$60,Equipes!$A$2:$A$60,"LOT-04",Equipes!$B$2:$B$60,"&lt;="&amp;$A232,Equipes!$C$2:$C$60,"&gt;="&amp;$A232)</f>
        <v>14</v>
      </c>
      <c r="I232" s="3" t="n">
        <f aca="false">IF(H232&gt;0,ROUNDUP(H232/Parametres!$B$7,0)+1,0)</f>
        <v>3</v>
      </c>
      <c r="J232" s="3" t="n">
        <f aca="false">SUMIFS(Equipes!$D$2:$D$60,Equipes!$A$2:$A$60,"LOT-05",Equipes!$B$2:$B$60,"&lt;="&amp;$A232,Equipes!$C$2:$C$60,"&gt;="&amp;$A232)</f>
        <v>0</v>
      </c>
      <c r="K232" s="3" t="n">
        <f aca="false">IF(J232&gt;0,ROUNDUP(J232/Parametres!$B$7,0)+1,0)</f>
        <v>0</v>
      </c>
      <c r="L232" s="3" t="n">
        <f aca="false">SUMIFS(Equipes!$D$2:$D$60,Equipes!$A$2:$A$60,"LOT-06",Equipes!$B$2:$B$60,"&lt;="&amp;$A232,Equipes!$C$2:$C$60,"&gt;="&amp;$A232)</f>
        <v>12</v>
      </c>
      <c r="M232" s="3" t="n">
        <f aca="false">IF(L232&gt;0,ROUNDUP(L232/Parametres!$B$7,0)+1,0)</f>
        <v>2</v>
      </c>
      <c r="N232" s="3" t="n">
        <f aca="false">SUMIFS(Equipes!$D$2:$D$60,Equipes!$A$2:$A$60,"LOT-07",Equipes!$B$2:$B$60,"&lt;="&amp;$A232,Equipes!$C$2:$C$60,"&gt;="&amp;$A232)</f>
        <v>0</v>
      </c>
      <c r="O232" s="3" t="n">
        <f aca="false">IF(N232&gt;0,ROUNDUP(N232/Parametres!$B$7,0)+1,0)</f>
        <v>0</v>
      </c>
      <c r="P232" s="3" t="n">
        <f aca="false">SUMIFS(Equipes!$D$2:$D$60,Equipes!$A$2:$A$60,"LOT-08",Equipes!$B$2:$B$60,"&lt;="&amp;$A232,Equipes!$C$2:$C$60,"&gt;="&amp;$A232)</f>
        <v>0</v>
      </c>
      <c r="Q232" s="3" t="n">
        <f aca="false">IF(P232&gt;0,ROUNDUP(P232/Parametres!$B$7,0)+1,0)</f>
        <v>0</v>
      </c>
    </row>
    <row r="233" customFormat="false" ht="15" hidden="false" customHeight="false" outlineLevel="0" collapsed="false">
      <c r="A233" s="2" t="n">
        <v>46314</v>
      </c>
      <c r="B233" s="3" t="n">
        <f aca="false">SUMIFS(Equipes!$D$2:$D$60,Equipes!$A$2:$A$60,"LOT-01",Equipes!$B$2:$B$60,"&lt;="&amp;$A233,Equipes!$C$2:$C$60,"&gt;="&amp;$A233)</f>
        <v>0</v>
      </c>
      <c r="C233" s="3" t="n">
        <f aca="false">IF(B233&gt;0,ROUNDUP(B233/Parametres!$B$7,0)+1,0)</f>
        <v>0</v>
      </c>
      <c r="D233" s="3" t="n">
        <f aca="false">SUMIFS(Equipes!$D$2:$D$60,Equipes!$A$2:$A$60,"LOT-02",Equipes!$B$2:$B$60,"&lt;="&amp;$A233,Equipes!$C$2:$C$60,"&gt;="&amp;$A233)</f>
        <v>0</v>
      </c>
      <c r="E233" s="3" t="n">
        <f aca="false">IF(D233&gt;0,ROUNDUP(D233/Parametres!$B$7,0)+1,0)</f>
        <v>0</v>
      </c>
      <c r="F233" s="3" t="n">
        <f aca="false">SUMIFS(Equipes!$D$2:$D$60,Equipes!$A$2:$A$60,"LOT-03",Equipes!$B$2:$B$60,"&lt;="&amp;$A233,Equipes!$C$2:$C$60,"&gt;="&amp;$A233)</f>
        <v>0</v>
      </c>
      <c r="G233" s="3" t="n">
        <f aca="false">IF(F233&gt;0,ROUNDUP(F233/Parametres!$B$7,0)+1,0)</f>
        <v>0</v>
      </c>
      <c r="H233" s="3" t="n">
        <f aca="false">SUMIFS(Equipes!$D$2:$D$60,Equipes!$A$2:$A$60,"LOT-04",Equipes!$B$2:$B$60,"&lt;="&amp;$A233,Equipes!$C$2:$C$60,"&gt;="&amp;$A233)</f>
        <v>14</v>
      </c>
      <c r="I233" s="3" t="n">
        <f aca="false">IF(H233&gt;0,ROUNDUP(H233/Parametres!$B$7,0)+1,0)</f>
        <v>3</v>
      </c>
      <c r="J233" s="3" t="n">
        <f aca="false">SUMIFS(Equipes!$D$2:$D$60,Equipes!$A$2:$A$60,"LOT-05",Equipes!$B$2:$B$60,"&lt;="&amp;$A233,Equipes!$C$2:$C$60,"&gt;="&amp;$A233)</f>
        <v>0</v>
      </c>
      <c r="K233" s="3" t="n">
        <f aca="false">IF(J233&gt;0,ROUNDUP(J233/Parametres!$B$7,0)+1,0)</f>
        <v>0</v>
      </c>
      <c r="L233" s="3" t="n">
        <f aca="false">SUMIFS(Equipes!$D$2:$D$60,Equipes!$A$2:$A$60,"LOT-06",Equipes!$B$2:$B$60,"&lt;="&amp;$A233,Equipes!$C$2:$C$60,"&gt;="&amp;$A233)</f>
        <v>12</v>
      </c>
      <c r="M233" s="3" t="n">
        <f aca="false">IF(L233&gt;0,ROUNDUP(L233/Parametres!$B$7,0)+1,0)</f>
        <v>2</v>
      </c>
      <c r="N233" s="3" t="n">
        <f aca="false">SUMIFS(Equipes!$D$2:$D$60,Equipes!$A$2:$A$60,"LOT-07",Equipes!$B$2:$B$60,"&lt;="&amp;$A233,Equipes!$C$2:$C$60,"&gt;="&amp;$A233)</f>
        <v>0</v>
      </c>
      <c r="O233" s="3" t="n">
        <f aca="false">IF(N233&gt;0,ROUNDUP(N233/Parametres!$B$7,0)+1,0)</f>
        <v>0</v>
      </c>
      <c r="P233" s="3" t="n">
        <f aca="false">SUMIFS(Equipes!$D$2:$D$60,Equipes!$A$2:$A$60,"LOT-08",Equipes!$B$2:$B$60,"&lt;="&amp;$A233,Equipes!$C$2:$C$60,"&gt;="&amp;$A233)</f>
        <v>0</v>
      </c>
      <c r="Q233" s="3" t="n">
        <f aca="false">IF(P233&gt;0,ROUNDUP(P233/Parametres!$B$7,0)+1,0)</f>
        <v>0</v>
      </c>
    </row>
    <row r="234" customFormat="false" ht="15" hidden="false" customHeight="false" outlineLevel="0" collapsed="false">
      <c r="A234" s="2" t="n">
        <v>46315</v>
      </c>
      <c r="B234" s="3" t="n">
        <f aca="false">SUMIFS(Equipes!$D$2:$D$60,Equipes!$A$2:$A$60,"LOT-01",Equipes!$B$2:$B$60,"&lt;="&amp;$A234,Equipes!$C$2:$C$60,"&gt;="&amp;$A234)</f>
        <v>0</v>
      </c>
      <c r="C234" s="3" t="n">
        <f aca="false">IF(B234&gt;0,ROUNDUP(B234/Parametres!$B$7,0)+1,0)</f>
        <v>0</v>
      </c>
      <c r="D234" s="3" t="n">
        <f aca="false">SUMIFS(Equipes!$D$2:$D$60,Equipes!$A$2:$A$60,"LOT-02",Equipes!$B$2:$B$60,"&lt;="&amp;$A234,Equipes!$C$2:$C$60,"&gt;="&amp;$A234)</f>
        <v>0</v>
      </c>
      <c r="E234" s="3" t="n">
        <f aca="false">IF(D234&gt;0,ROUNDUP(D234/Parametres!$B$7,0)+1,0)</f>
        <v>0</v>
      </c>
      <c r="F234" s="3" t="n">
        <f aca="false">SUMIFS(Equipes!$D$2:$D$60,Equipes!$A$2:$A$60,"LOT-03",Equipes!$B$2:$B$60,"&lt;="&amp;$A234,Equipes!$C$2:$C$60,"&gt;="&amp;$A234)</f>
        <v>0</v>
      </c>
      <c r="G234" s="3" t="n">
        <f aca="false">IF(F234&gt;0,ROUNDUP(F234/Parametres!$B$7,0)+1,0)</f>
        <v>0</v>
      </c>
      <c r="H234" s="3" t="n">
        <f aca="false">SUMIFS(Equipes!$D$2:$D$60,Equipes!$A$2:$A$60,"LOT-04",Equipes!$B$2:$B$60,"&lt;="&amp;$A234,Equipes!$C$2:$C$60,"&gt;="&amp;$A234)</f>
        <v>14</v>
      </c>
      <c r="I234" s="3" t="n">
        <f aca="false">IF(H234&gt;0,ROUNDUP(H234/Parametres!$B$7,0)+1,0)</f>
        <v>3</v>
      </c>
      <c r="J234" s="3" t="n">
        <f aca="false">SUMIFS(Equipes!$D$2:$D$60,Equipes!$A$2:$A$60,"LOT-05",Equipes!$B$2:$B$60,"&lt;="&amp;$A234,Equipes!$C$2:$C$60,"&gt;="&amp;$A234)</f>
        <v>0</v>
      </c>
      <c r="K234" s="3" t="n">
        <f aca="false">IF(J234&gt;0,ROUNDUP(J234/Parametres!$B$7,0)+1,0)</f>
        <v>0</v>
      </c>
      <c r="L234" s="3" t="n">
        <f aca="false">SUMIFS(Equipes!$D$2:$D$60,Equipes!$A$2:$A$60,"LOT-06",Equipes!$B$2:$B$60,"&lt;="&amp;$A234,Equipes!$C$2:$C$60,"&gt;="&amp;$A234)</f>
        <v>12</v>
      </c>
      <c r="M234" s="3" t="n">
        <f aca="false">IF(L234&gt;0,ROUNDUP(L234/Parametres!$B$7,0)+1,0)</f>
        <v>2</v>
      </c>
      <c r="N234" s="3" t="n">
        <f aca="false">SUMIFS(Equipes!$D$2:$D$60,Equipes!$A$2:$A$60,"LOT-07",Equipes!$B$2:$B$60,"&lt;="&amp;$A234,Equipes!$C$2:$C$60,"&gt;="&amp;$A234)</f>
        <v>0</v>
      </c>
      <c r="O234" s="3" t="n">
        <f aca="false">IF(N234&gt;0,ROUNDUP(N234/Parametres!$B$7,0)+1,0)</f>
        <v>0</v>
      </c>
      <c r="P234" s="3" t="n">
        <f aca="false">SUMIFS(Equipes!$D$2:$D$60,Equipes!$A$2:$A$60,"LOT-08",Equipes!$B$2:$B$60,"&lt;="&amp;$A234,Equipes!$C$2:$C$60,"&gt;="&amp;$A234)</f>
        <v>0</v>
      </c>
      <c r="Q234" s="3" t="n">
        <f aca="false">IF(P234&gt;0,ROUNDUP(P234/Parametres!$B$7,0)+1,0)</f>
        <v>0</v>
      </c>
    </row>
    <row r="235" customFormat="false" ht="15" hidden="false" customHeight="false" outlineLevel="0" collapsed="false">
      <c r="A235" s="2" t="n">
        <v>46316</v>
      </c>
      <c r="B235" s="3" t="n">
        <f aca="false">SUMIFS(Equipes!$D$2:$D$60,Equipes!$A$2:$A$60,"LOT-01",Equipes!$B$2:$B$60,"&lt;="&amp;$A235,Equipes!$C$2:$C$60,"&gt;="&amp;$A235)</f>
        <v>0</v>
      </c>
      <c r="C235" s="3" t="n">
        <f aca="false">IF(B235&gt;0,ROUNDUP(B235/Parametres!$B$7,0)+1,0)</f>
        <v>0</v>
      </c>
      <c r="D235" s="3" t="n">
        <f aca="false">SUMIFS(Equipes!$D$2:$D$60,Equipes!$A$2:$A$60,"LOT-02",Equipes!$B$2:$B$60,"&lt;="&amp;$A235,Equipes!$C$2:$C$60,"&gt;="&amp;$A235)</f>
        <v>0</v>
      </c>
      <c r="E235" s="3" t="n">
        <f aca="false">IF(D235&gt;0,ROUNDUP(D235/Parametres!$B$7,0)+1,0)</f>
        <v>0</v>
      </c>
      <c r="F235" s="3" t="n">
        <f aca="false">SUMIFS(Equipes!$D$2:$D$60,Equipes!$A$2:$A$60,"LOT-03",Equipes!$B$2:$B$60,"&lt;="&amp;$A235,Equipes!$C$2:$C$60,"&gt;="&amp;$A235)</f>
        <v>0</v>
      </c>
      <c r="G235" s="3" t="n">
        <f aca="false">IF(F235&gt;0,ROUNDUP(F235/Parametres!$B$7,0)+1,0)</f>
        <v>0</v>
      </c>
      <c r="H235" s="3" t="n">
        <f aca="false">SUMIFS(Equipes!$D$2:$D$60,Equipes!$A$2:$A$60,"LOT-04",Equipes!$B$2:$B$60,"&lt;="&amp;$A235,Equipes!$C$2:$C$60,"&gt;="&amp;$A235)</f>
        <v>14</v>
      </c>
      <c r="I235" s="3" t="n">
        <f aca="false">IF(H235&gt;0,ROUNDUP(H235/Parametres!$B$7,0)+1,0)</f>
        <v>3</v>
      </c>
      <c r="J235" s="3" t="n">
        <f aca="false">SUMIFS(Equipes!$D$2:$D$60,Equipes!$A$2:$A$60,"LOT-05",Equipes!$B$2:$B$60,"&lt;="&amp;$A235,Equipes!$C$2:$C$60,"&gt;="&amp;$A235)</f>
        <v>0</v>
      </c>
      <c r="K235" s="3" t="n">
        <f aca="false">IF(J235&gt;0,ROUNDUP(J235/Parametres!$B$7,0)+1,0)</f>
        <v>0</v>
      </c>
      <c r="L235" s="3" t="n">
        <f aca="false">SUMIFS(Equipes!$D$2:$D$60,Equipes!$A$2:$A$60,"LOT-06",Equipes!$B$2:$B$60,"&lt;="&amp;$A235,Equipes!$C$2:$C$60,"&gt;="&amp;$A235)</f>
        <v>12</v>
      </c>
      <c r="M235" s="3" t="n">
        <f aca="false">IF(L235&gt;0,ROUNDUP(L235/Parametres!$B$7,0)+1,0)</f>
        <v>2</v>
      </c>
      <c r="N235" s="3" t="n">
        <f aca="false">SUMIFS(Equipes!$D$2:$D$60,Equipes!$A$2:$A$60,"LOT-07",Equipes!$B$2:$B$60,"&lt;="&amp;$A235,Equipes!$C$2:$C$60,"&gt;="&amp;$A235)</f>
        <v>0</v>
      </c>
      <c r="O235" s="3" t="n">
        <f aca="false">IF(N235&gt;0,ROUNDUP(N235/Parametres!$B$7,0)+1,0)</f>
        <v>0</v>
      </c>
      <c r="P235" s="3" t="n">
        <f aca="false">SUMIFS(Equipes!$D$2:$D$60,Equipes!$A$2:$A$60,"LOT-08",Equipes!$B$2:$B$60,"&lt;="&amp;$A235,Equipes!$C$2:$C$60,"&gt;="&amp;$A235)</f>
        <v>0</v>
      </c>
      <c r="Q235" s="3" t="n">
        <f aca="false">IF(P235&gt;0,ROUNDUP(P235/Parametres!$B$7,0)+1,0)</f>
        <v>0</v>
      </c>
    </row>
    <row r="236" customFormat="false" ht="15" hidden="false" customHeight="false" outlineLevel="0" collapsed="false">
      <c r="A236" s="2" t="n">
        <v>46317</v>
      </c>
      <c r="B236" s="3" t="n">
        <f aca="false">SUMIFS(Equipes!$D$2:$D$60,Equipes!$A$2:$A$60,"LOT-01",Equipes!$B$2:$B$60,"&lt;="&amp;$A236,Equipes!$C$2:$C$60,"&gt;="&amp;$A236)</f>
        <v>0</v>
      </c>
      <c r="C236" s="3" t="n">
        <f aca="false">IF(B236&gt;0,ROUNDUP(B236/Parametres!$B$7,0)+1,0)</f>
        <v>0</v>
      </c>
      <c r="D236" s="3" t="n">
        <f aca="false">SUMIFS(Equipes!$D$2:$D$60,Equipes!$A$2:$A$60,"LOT-02",Equipes!$B$2:$B$60,"&lt;="&amp;$A236,Equipes!$C$2:$C$60,"&gt;="&amp;$A236)</f>
        <v>0</v>
      </c>
      <c r="E236" s="3" t="n">
        <f aca="false">IF(D236&gt;0,ROUNDUP(D236/Parametres!$B$7,0)+1,0)</f>
        <v>0</v>
      </c>
      <c r="F236" s="3" t="n">
        <f aca="false">SUMIFS(Equipes!$D$2:$D$60,Equipes!$A$2:$A$60,"LOT-03",Equipes!$B$2:$B$60,"&lt;="&amp;$A236,Equipes!$C$2:$C$60,"&gt;="&amp;$A236)</f>
        <v>0</v>
      </c>
      <c r="G236" s="3" t="n">
        <f aca="false">IF(F236&gt;0,ROUNDUP(F236/Parametres!$B$7,0)+1,0)</f>
        <v>0</v>
      </c>
      <c r="H236" s="3" t="n">
        <f aca="false">SUMIFS(Equipes!$D$2:$D$60,Equipes!$A$2:$A$60,"LOT-04",Equipes!$B$2:$B$60,"&lt;="&amp;$A236,Equipes!$C$2:$C$60,"&gt;="&amp;$A236)</f>
        <v>14</v>
      </c>
      <c r="I236" s="3" t="n">
        <f aca="false">IF(H236&gt;0,ROUNDUP(H236/Parametres!$B$7,0)+1,0)</f>
        <v>3</v>
      </c>
      <c r="J236" s="3" t="n">
        <f aca="false">SUMIFS(Equipes!$D$2:$D$60,Equipes!$A$2:$A$60,"LOT-05",Equipes!$B$2:$B$60,"&lt;="&amp;$A236,Equipes!$C$2:$C$60,"&gt;="&amp;$A236)</f>
        <v>0</v>
      </c>
      <c r="K236" s="3" t="n">
        <f aca="false">IF(J236&gt;0,ROUNDUP(J236/Parametres!$B$7,0)+1,0)</f>
        <v>0</v>
      </c>
      <c r="L236" s="3" t="n">
        <f aca="false">SUMIFS(Equipes!$D$2:$D$60,Equipes!$A$2:$A$60,"LOT-06",Equipes!$B$2:$B$60,"&lt;="&amp;$A236,Equipes!$C$2:$C$60,"&gt;="&amp;$A236)</f>
        <v>12</v>
      </c>
      <c r="M236" s="3" t="n">
        <f aca="false">IF(L236&gt;0,ROUNDUP(L236/Parametres!$B$7,0)+1,0)</f>
        <v>2</v>
      </c>
      <c r="N236" s="3" t="n">
        <f aca="false">SUMIFS(Equipes!$D$2:$D$60,Equipes!$A$2:$A$60,"LOT-07",Equipes!$B$2:$B$60,"&lt;="&amp;$A236,Equipes!$C$2:$C$60,"&gt;="&amp;$A236)</f>
        <v>0</v>
      </c>
      <c r="O236" s="3" t="n">
        <f aca="false">IF(N236&gt;0,ROUNDUP(N236/Parametres!$B$7,0)+1,0)</f>
        <v>0</v>
      </c>
      <c r="P236" s="3" t="n">
        <f aca="false">SUMIFS(Equipes!$D$2:$D$60,Equipes!$A$2:$A$60,"LOT-08",Equipes!$B$2:$B$60,"&lt;="&amp;$A236,Equipes!$C$2:$C$60,"&gt;="&amp;$A236)</f>
        <v>0</v>
      </c>
      <c r="Q236" s="3" t="n">
        <f aca="false">IF(P236&gt;0,ROUNDUP(P236/Parametres!$B$7,0)+1,0)</f>
        <v>0</v>
      </c>
    </row>
    <row r="237" customFormat="false" ht="15" hidden="false" customHeight="false" outlineLevel="0" collapsed="false">
      <c r="A237" s="2" t="n">
        <v>46318</v>
      </c>
      <c r="B237" s="3" t="n">
        <f aca="false">SUMIFS(Equipes!$D$2:$D$60,Equipes!$A$2:$A$60,"LOT-01",Equipes!$B$2:$B$60,"&lt;="&amp;$A237,Equipes!$C$2:$C$60,"&gt;="&amp;$A237)</f>
        <v>0</v>
      </c>
      <c r="C237" s="3" t="n">
        <f aca="false">IF(B237&gt;0,ROUNDUP(B237/Parametres!$B$7,0)+1,0)</f>
        <v>0</v>
      </c>
      <c r="D237" s="3" t="n">
        <f aca="false">SUMIFS(Equipes!$D$2:$D$60,Equipes!$A$2:$A$60,"LOT-02",Equipes!$B$2:$B$60,"&lt;="&amp;$A237,Equipes!$C$2:$C$60,"&gt;="&amp;$A237)</f>
        <v>0</v>
      </c>
      <c r="E237" s="3" t="n">
        <f aca="false">IF(D237&gt;0,ROUNDUP(D237/Parametres!$B$7,0)+1,0)</f>
        <v>0</v>
      </c>
      <c r="F237" s="3" t="n">
        <f aca="false">SUMIFS(Equipes!$D$2:$D$60,Equipes!$A$2:$A$60,"LOT-03",Equipes!$B$2:$B$60,"&lt;="&amp;$A237,Equipes!$C$2:$C$60,"&gt;="&amp;$A237)</f>
        <v>0</v>
      </c>
      <c r="G237" s="3" t="n">
        <f aca="false">IF(F237&gt;0,ROUNDUP(F237/Parametres!$B$7,0)+1,0)</f>
        <v>0</v>
      </c>
      <c r="H237" s="3" t="n">
        <f aca="false">SUMIFS(Equipes!$D$2:$D$60,Equipes!$A$2:$A$60,"LOT-04",Equipes!$B$2:$B$60,"&lt;="&amp;$A237,Equipes!$C$2:$C$60,"&gt;="&amp;$A237)</f>
        <v>14</v>
      </c>
      <c r="I237" s="3" t="n">
        <f aca="false">IF(H237&gt;0,ROUNDUP(H237/Parametres!$B$7,0)+1,0)</f>
        <v>3</v>
      </c>
      <c r="J237" s="3" t="n">
        <f aca="false">SUMIFS(Equipes!$D$2:$D$60,Equipes!$A$2:$A$60,"LOT-05",Equipes!$B$2:$B$60,"&lt;="&amp;$A237,Equipes!$C$2:$C$60,"&gt;="&amp;$A237)</f>
        <v>0</v>
      </c>
      <c r="K237" s="3" t="n">
        <f aca="false">IF(J237&gt;0,ROUNDUP(J237/Parametres!$B$7,0)+1,0)</f>
        <v>0</v>
      </c>
      <c r="L237" s="3" t="n">
        <f aca="false">SUMIFS(Equipes!$D$2:$D$60,Equipes!$A$2:$A$60,"LOT-06",Equipes!$B$2:$B$60,"&lt;="&amp;$A237,Equipes!$C$2:$C$60,"&gt;="&amp;$A237)</f>
        <v>12</v>
      </c>
      <c r="M237" s="3" t="n">
        <f aca="false">IF(L237&gt;0,ROUNDUP(L237/Parametres!$B$7,0)+1,0)</f>
        <v>2</v>
      </c>
      <c r="N237" s="3" t="n">
        <f aca="false">SUMIFS(Equipes!$D$2:$D$60,Equipes!$A$2:$A$60,"LOT-07",Equipes!$B$2:$B$60,"&lt;="&amp;$A237,Equipes!$C$2:$C$60,"&gt;="&amp;$A237)</f>
        <v>0</v>
      </c>
      <c r="O237" s="3" t="n">
        <f aca="false">IF(N237&gt;0,ROUNDUP(N237/Parametres!$B$7,0)+1,0)</f>
        <v>0</v>
      </c>
      <c r="P237" s="3" t="n">
        <f aca="false">SUMIFS(Equipes!$D$2:$D$60,Equipes!$A$2:$A$60,"LOT-08",Equipes!$B$2:$B$60,"&lt;="&amp;$A237,Equipes!$C$2:$C$60,"&gt;="&amp;$A237)</f>
        <v>0</v>
      </c>
      <c r="Q237" s="3" t="n">
        <f aca="false">IF(P237&gt;0,ROUNDUP(P237/Parametres!$B$7,0)+1,0)</f>
        <v>0</v>
      </c>
    </row>
    <row r="238" customFormat="false" ht="15" hidden="false" customHeight="false" outlineLevel="0" collapsed="false">
      <c r="A238" s="2" t="n">
        <v>46319</v>
      </c>
      <c r="B238" s="3" t="n">
        <f aca="false">SUMIFS(Equipes!$D$2:$D$60,Equipes!$A$2:$A$60,"LOT-01",Equipes!$B$2:$B$60,"&lt;="&amp;$A238,Equipes!$C$2:$C$60,"&gt;="&amp;$A238)</f>
        <v>0</v>
      </c>
      <c r="C238" s="3" t="n">
        <f aca="false">IF(B238&gt;0,ROUNDUP(B238/Parametres!$B$7,0)+1,0)</f>
        <v>0</v>
      </c>
      <c r="D238" s="3" t="n">
        <f aca="false">SUMIFS(Equipes!$D$2:$D$60,Equipes!$A$2:$A$60,"LOT-02",Equipes!$B$2:$B$60,"&lt;="&amp;$A238,Equipes!$C$2:$C$60,"&gt;="&amp;$A238)</f>
        <v>0</v>
      </c>
      <c r="E238" s="3" t="n">
        <f aca="false">IF(D238&gt;0,ROUNDUP(D238/Parametres!$B$7,0)+1,0)</f>
        <v>0</v>
      </c>
      <c r="F238" s="3" t="n">
        <f aca="false">SUMIFS(Equipes!$D$2:$D$60,Equipes!$A$2:$A$60,"LOT-03",Equipes!$B$2:$B$60,"&lt;="&amp;$A238,Equipes!$C$2:$C$60,"&gt;="&amp;$A238)</f>
        <v>0</v>
      </c>
      <c r="G238" s="3" t="n">
        <f aca="false">IF(F238&gt;0,ROUNDUP(F238/Parametres!$B$7,0)+1,0)</f>
        <v>0</v>
      </c>
      <c r="H238" s="3" t="n">
        <f aca="false">SUMIFS(Equipes!$D$2:$D$60,Equipes!$A$2:$A$60,"LOT-04",Equipes!$B$2:$B$60,"&lt;="&amp;$A238,Equipes!$C$2:$C$60,"&gt;="&amp;$A238)</f>
        <v>14</v>
      </c>
      <c r="I238" s="3" t="n">
        <f aca="false">IF(H238&gt;0,ROUNDUP(H238/Parametres!$B$7,0)+1,0)</f>
        <v>3</v>
      </c>
      <c r="J238" s="3" t="n">
        <f aca="false">SUMIFS(Equipes!$D$2:$D$60,Equipes!$A$2:$A$60,"LOT-05",Equipes!$B$2:$B$60,"&lt;="&amp;$A238,Equipes!$C$2:$C$60,"&gt;="&amp;$A238)</f>
        <v>0</v>
      </c>
      <c r="K238" s="3" t="n">
        <f aca="false">IF(J238&gt;0,ROUNDUP(J238/Parametres!$B$7,0)+1,0)</f>
        <v>0</v>
      </c>
      <c r="L238" s="3" t="n">
        <f aca="false">SUMIFS(Equipes!$D$2:$D$60,Equipes!$A$2:$A$60,"LOT-06",Equipes!$B$2:$B$60,"&lt;="&amp;$A238,Equipes!$C$2:$C$60,"&gt;="&amp;$A238)</f>
        <v>12</v>
      </c>
      <c r="M238" s="3" t="n">
        <f aca="false">IF(L238&gt;0,ROUNDUP(L238/Parametres!$B$7,0)+1,0)</f>
        <v>2</v>
      </c>
      <c r="N238" s="3" t="n">
        <f aca="false">SUMIFS(Equipes!$D$2:$D$60,Equipes!$A$2:$A$60,"LOT-07",Equipes!$B$2:$B$60,"&lt;="&amp;$A238,Equipes!$C$2:$C$60,"&gt;="&amp;$A238)</f>
        <v>0</v>
      </c>
      <c r="O238" s="3" t="n">
        <f aca="false">IF(N238&gt;0,ROUNDUP(N238/Parametres!$B$7,0)+1,0)</f>
        <v>0</v>
      </c>
      <c r="P238" s="3" t="n">
        <f aca="false">SUMIFS(Equipes!$D$2:$D$60,Equipes!$A$2:$A$60,"LOT-08",Equipes!$B$2:$B$60,"&lt;="&amp;$A238,Equipes!$C$2:$C$60,"&gt;="&amp;$A238)</f>
        <v>0</v>
      </c>
      <c r="Q238" s="3" t="n">
        <f aca="false">IF(P238&gt;0,ROUNDUP(P238/Parametres!$B$7,0)+1,0)</f>
        <v>0</v>
      </c>
    </row>
    <row r="239" customFormat="false" ht="15" hidden="false" customHeight="false" outlineLevel="0" collapsed="false">
      <c r="A239" s="2" t="n">
        <v>46320</v>
      </c>
      <c r="B239" s="3" t="n">
        <f aca="false">SUMIFS(Equipes!$D$2:$D$60,Equipes!$A$2:$A$60,"LOT-01",Equipes!$B$2:$B$60,"&lt;="&amp;$A239,Equipes!$C$2:$C$60,"&gt;="&amp;$A239)</f>
        <v>0</v>
      </c>
      <c r="C239" s="3" t="n">
        <f aca="false">IF(B239&gt;0,ROUNDUP(B239/Parametres!$B$7,0)+1,0)</f>
        <v>0</v>
      </c>
      <c r="D239" s="3" t="n">
        <f aca="false">SUMIFS(Equipes!$D$2:$D$60,Equipes!$A$2:$A$60,"LOT-02",Equipes!$B$2:$B$60,"&lt;="&amp;$A239,Equipes!$C$2:$C$60,"&gt;="&amp;$A239)</f>
        <v>0</v>
      </c>
      <c r="E239" s="3" t="n">
        <f aca="false">IF(D239&gt;0,ROUNDUP(D239/Parametres!$B$7,0)+1,0)</f>
        <v>0</v>
      </c>
      <c r="F239" s="3" t="n">
        <f aca="false">SUMIFS(Equipes!$D$2:$D$60,Equipes!$A$2:$A$60,"LOT-03",Equipes!$B$2:$B$60,"&lt;="&amp;$A239,Equipes!$C$2:$C$60,"&gt;="&amp;$A239)</f>
        <v>0</v>
      </c>
      <c r="G239" s="3" t="n">
        <f aca="false">IF(F239&gt;0,ROUNDUP(F239/Parametres!$B$7,0)+1,0)</f>
        <v>0</v>
      </c>
      <c r="H239" s="3" t="n">
        <f aca="false">SUMIFS(Equipes!$D$2:$D$60,Equipes!$A$2:$A$60,"LOT-04",Equipes!$B$2:$B$60,"&lt;="&amp;$A239,Equipes!$C$2:$C$60,"&gt;="&amp;$A239)</f>
        <v>14</v>
      </c>
      <c r="I239" s="3" t="n">
        <f aca="false">IF(H239&gt;0,ROUNDUP(H239/Parametres!$B$7,0)+1,0)</f>
        <v>3</v>
      </c>
      <c r="J239" s="3" t="n">
        <f aca="false">SUMIFS(Equipes!$D$2:$D$60,Equipes!$A$2:$A$60,"LOT-05",Equipes!$B$2:$B$60,"&lt;="&amp;$A239,Equipes!$C$2:$C$60,"&gt;="&amp;$A239)</f>
        <v>0</v>
      </c>
      <c r="K239" s="3" t="n">
        <f aca="false">IF(J239&gt;0,ROUNDUP(J239/Parametres!$B$7,0)+1,0)</f>
        <v>0</v>
      </c>
      <c r="L239" s="3" t="n">
        <f aca="false">SUMIFS(Equipes!$D$2:$D$60,Equipes!$A$2:$A$60,"LOT-06",Equipes!$B$2:$B$60,"&lt;="&amp;$A239,Equipes!$C$2:$C$60,"&gt;="&amp;$A239)</f>
        <v>12</v>
      </c>
      <c r="M239" s="3" t="n">
        <f aca="false">IF(L239&gt;0,ROUNDUP(L239/Parametres!$B$7,0)+1,0)</f>
        <v>2</v>
      </c>
      <c r="N239" s="3" t="n">
        <f aca="false">SUMIFS(Equipes!$D$2:$D$60,Equipes!$A$2:$A$60,"LOT-07",Equipes!$B$2:$B$60,"&lt;="&amp;$A239,Equipes!$C$2:$C$60,"&gt;="&amp;$A239)</f>
        <v>0</v>
      </c>
      <c r="O239" s="3" t="n">
        <f aca="false">IF(N239&gt;0,ROUNDUP(N239/Parametres!$B$7,0)+1,0)</f>
        <v>0</v>
      </c>
      <c r="P239" s="3" t="n">
        <f aca="false">SUMIFS(Equipes!$D$2:$D$60,Equipes!$A$2:$A$60,"LOT-08",Equipes!$B$2:$B$60,"&lt;="&amp;$A239,Equipes!$C$2:$C$60,"&gt;="&amp;$A239)</f>
        <v>0</v>
      </c>
      <c r="Q239" s="3" t="n">
        <f aca="false">IF(P239&gt;0,ROUNDUP(P239/Parametres!$B$7,0)+1,0)</f>
        <v>0</v>
      </c>
    </row>
    <row r="240" customFormat="false" ht="15" hidden="false" customHeight="false" outlineLevel="0" collapsed="false">
      <c r="A240" s="2" t="n">
        <v>46321</v>
      </c>
      <c r="B240" s="3" t="n">
        <f aca="false">SUMIFS(Equipes!$D$2:$D$60,Equipes!$A$2:$A$60,"LOT-01",Equipes!$B$2:$B$60,"&lt;="&amp;$A240,Equipes!$C$2:$C$60,"&gt;="&amp;$A240)</f>
        <v>0</v>
      </c>
      <c r="C240" s="3" t="n">
        <f aca="false">IF(B240&gt;0,ROUNDUP(B240/Parametres!$B$7,0)+1,0)</f>
        <v>0</v>
      </c>
      <c r="D240" s="3" t="n">
        <f aca="false">SUMIFS(Equipes!$D$2:$D$60,Equipes!$A$2:$A$60,"LOT-02",Equipes!$B$2:$B$60,"&lt;="&amp;$A240,Equipes!$C$2:$C$60,"&gt;="&amp;$A240)</f>
        <v>0</v>
      </c>
      <c r="E240" s="3" t="n">
        <f aca="false">IF(D240&gt;0,ROUNDUP(D240/Parametres!$B$7,0)+1,0)</f>
        <v>0</v>
      </c>
      <c r="F240" s="3" t="n">
        <f aca="false">SUMIFS(Equipes!$D$2:$D$60,Equipes!$A$2:$A$60,"LOT-03",Equipes!$B$2:$B$60,"&lt;="&amp;$A240,Equipes!$C$2:$C$60,"&gt;="&amp;$A240)</f>
        <v>0</v>
      </c>
      <c r="G240" s="3" t="n">
        <f aca="false">IF(F240&gt;0,ROUNDUP(F240/Parametres!$B$7,0)+1,0)</f>
        <v>0</v>
      </c>
      <c r="H240" s="3" t="n">
        <f aca="false">SUMIFS(Equipes!$D$2:$D$60,Equipes!$A$2:$A$60,"LOT-04",Equipes!$B$2:$B$60,"&lt;="&amp;$A240,Equipes!$C$2:$C$60,"&gt;="&amp;$A240)</f>
        <v>14</v>
      </c>
      <c r="I240" s="3" t="n">
        <f aca="false">IF(H240&gt;0,ROUNDUP(H240/Parametres!$B$7,0)+1,0)</f>
        <v>3</v>
      </c>
      <c r="J240" s="3" t="n">
        <f aca="false">SUMIFS(Equipes!$D$2:$D$60,Equipes!$A$2:$A$60,"LOT-05",Equipes!$B$2:$B$60,"&lt;="&amp;$A240,Equipes!$C$2:$C$60,"&gt;="&amp;$A240)</f>
        <v>0</v>
      </c>
      <c r="K240" s="3" t="n">
        <f aca="false">IF(J240&gt;0,ROUNDUP(J240/Parametres!$B$7,0)+1,0)</f>
        <v>0</v>
      </c>
      <c r="L240" s="3" t="n">
        <f aca="false">SUMIFS(Equipes!$D$2:$D$60,Equipes!$A$2:$A$60,"LOT-06",Equipes!$B$2:$B$60,"&lt;="&amp;$A240,Equipes!$C$2:$C$60,"&gt;="&amp;$A240)</f>
        <v>12</v>
      </c>
      <c r="M240" s="3" t="n">
        <f aca="false">IF(L240&gt;0,ROUNDUP(L240/Parametres!$B$7,0)+1,0)</f>
        <v>2</v>
      </c>
      <c r="N240" s="3" t="n">
        <f aca="false">SUMIFS(Equipes!$D$2:$D$60,Equipes!$A$2:$A$60,"LOT-07",Equipes!$B$2:$B$60,"&lt;="&amp;$A240,Equipes!$C$2:$C$60,"&gt;="&amp;$A240)</f>
        <v>0</v>
      </c>
      <c r="O240" s="3" t="n">
        <f aca="false">IF(N240&gt;0,ROUNDUP(N240/Parametres!$B$7,0)+1,0)</f>
        <v>0</v>
      </c>
      <c r="P240" s="3" t="n">
        <f aca="false">SUMIFS(Equipes!$D$2:$D$60,Equipes!$A$2:$A$60,"LOT-08",Equipes!$B$2:$B$60,"&lt;="&amp;$A240,Equipes!$C$2:$C$60,"&gt;="&amp;$A240)</f>
        <v>0</v>
      </c>
      <c r="Q240" s="3" t="n">
        <f aca="false">IF(P240&gt;0,ROUNDUP(P240/Parametres!$B$7,0)+1,0)</f>
        <v>0</v>
      </c>
    </row>
    <row r="241" customFormat="false" ht="15" hidden="false" customHeight="false" outlineLevel="0" collapsed="false">
      <c r="A241" s="2" t="n">
        <v>46322</v>
      </c>
      <c r="B241" s="3" t="n">
        <f aca="false">SUMIFS(Equipes!$D$2:$D$60,Equipes!$A$2:$A$60,"LOT-01",Equipes!$B$2:$B$60,"&lt;="&amp;$A241,Equipes!$C$2:$C$60,"&gt;="&amp;$A241)</f>
        <v>0</v>
      </c>
      <c r="C241" s="3" t="n">
        <f aca="false">IF(B241&gt;0,ROUNDUP(B241/Parametres!$B$7,0)+1,0)</f>
        <v>0</v>
      </c>
      <c r="D241" s="3" t="n">
        <f aca="false">SUMIFS(Equipes!$D$2:$D$60,Equipes!$A$2:$A$60,"LOT-02",Equipes!$B$2:$B$60,"&lt;="&amp;$A241,Equipes!$C$2:$C$60,"&gt;="&amp;$A241)</f>
        <v>0</v>
      </c>
      <c r="E241" s="3" t="n">
        <f aca="false">IF(D241&gt;0,ROUNDUP(D241/Parametres!$B$7,0)+1,0)</f>
        <v>0</v>
      </c>
      <c r="F241" s="3" t="n">
        <f aca="false">SUMIFS(Equipes!$D$2:$D$60,Equipes!$A$2:$A$60,"LOT-03",Equipes!$B$2:$B$60,"&lt;="&amp;$A241,Equipes!$C$2:$C$60,"&gt;="&amp;$A241)</f>
        <v>0</v>
      </c>
      <c r="G241" s="3" t="n">
        <f aca="false">IF(F241&gt;0,ROUNDUP(F241/Parametres!$B$7,0)+1,0)</f>
        <v>0</v>
      </c>
      <c r="H241" s="3" t="n">
        <f aca="false">SUMIFS(Equipes!$D$2:$D$60,Equipes!$A$2:$A$60,"LOT-04",Equipes!$B$2:$B$60,"&lt;="&amp;$A241,Equipes!$C$2:$C$60,"&gt;="&amp;$A241)</f>
        <v>14</v>
      </c>
      <c r="I241" s="3" t="n">
        <f aca="false">IF(H241&gt;0,ROUNDUP(H241/Parametres!$B$7,0)+1,0)</f>
        <v>3</v>
      </c>
      <c r="J241" s="3" t="n">
        <f aca="false">SUMIFS(Equipes!$D$2:$D$60,Equipes!$A$2:$A$60,"LOT-05",Equipes!$B$2:$B$60,"&lt;="&amp;$A241,Equipes!$C$2:$C$60,"&gt;="&amp;$A241)</f>
        <v>0</v>
      </c>
      <c r="K241" s="3" t="n">
        <f aca="false">IF(J241&gt;0,ROUNDUP(J241/Parametres!$B$7,0)+1,0)</f>
        <v>0</v>
      </c>
      <c r="L241" s="3" t="n">
        <f aca="false">SUMIFS(Equipes!$D$2:$D$60,Equipes!$A$2:$A$60,"LOT-06",Equipes!$B$2:$B$60,"&lt;="&amp;$A241,Equipes!$C$2:$C$60,"&gt;="&amp;$A241)</f>
        <v>12</v>
      </c>
      <c r="M241" s="3" t="n">
        <f aca="false">IF(L241&gt;0,ROUNDUP(L241/Parametres!$B$7,0)+1,0)</f>
        <v>2</v>
      </c>
      <c r="N241" s="3" t="n">
        <f aca="false">SUMIFS(Equipes!$D$2:$D$60,Equipes!$A$2:$A$60,"LOT-07",Equipes!$B$2:$B$60,"&lt;="&amp;$A241,Equipes!$C$2:$C$60,"&gt;="&amp;$A241)</f>
        <v>0</v>
      </c>
      <c r="O241" s="3" t="n">
        <f aca="false">IF(N241&gt;0,ROUNDUP(N241/Parametres!$B$7,0)+1,0)</f>
        <v>0</v>
      </c>
      <c r="P241" s="3" t="n">
        <f aca="false">SUMIFS(Equipes!$D$2:$D$60,Equipes!$A$2:$A$60,"LOT-08",Equipes!$B$2:$B$60,"&lt;="&amp;$A241,Equipes!$C$2:$C$60,"&gt;="&amp;$A241)</f>
        <v>0</v>
      </c>
      <c r="Q241" s="3" t="n">
        <f aca="false">IF(P241&gt;0,ROUNDUP(P241/Parametres!$B$7,0)+1,0)</f>
        <v>0</v>
      </c>
    </row>
    <row r="242" customFormat="false" ht="15" hidden="false" customHeight="false" outlineLevel="0" collapsed="false">
      <c r="A242" s="2" t="n">
        <v>46323</v>
      </c>
      <c r="B242" s="3" t="n">
        <f aca="false">SUMIFS(Equipes!$D$2:$D$60,Equipes!$A$2:$A$60,"LOT-01",Equipes!$B$2:$B$60,"&lt;="&amp;$A242,Equipes!$C$2:$C$60,"&gt;="&amp;$A242)</f>
        <v>0</v>
      </c>
      <c r="C242" s="3" t="n">
        <f aca="false">IF(B242&gt;0,ROUNDUP(B242/Parametres!$B$7,0)+1,0)</f>
        <v>0</v>
      </c>
      <c r="D242" s="3" t="n">
        <f aca="false">SUMIFS(Equipes!$D$2:$D$60,Equipes!$A$2:$A$60,"LOT-02",Equipes!$B$2:$B$60,"&lt;="&amp;$A242,Equipes!$C$2:$C$60,"&gt;="&amp;$A242)</f>
        <v>0</v>
      </c>
      <c r="E242" s="3" t="n">
        <f aca="false">IF(D242&gt;0,ROUNDUP(D242/Parametres!$B$7,0)+1,0)</f>
        <v>0</v>
      </c>
      <c r="F242" s="3" t="n">
        <f aca="false">SUMIFS(Equipes!$D$2:$D$60,Equipes!$A$2:$A$60,"LOT-03",Equipes!$B$2:$B$60,"&lt;="&amp;$A242,Equipes!$C$2:$C$60,"&gt;="&amp;$A242)</f>
        <v>0</v>
      </c>
      <c r="G242" s="3" t="n">
        <f aca="false">IF(F242&gt;0,ROUNDUP(F242/Parametres!$B$7,0)+1,0)</f>
        <v>0</v>
      </c>
      <c r="H242" s="3" t="n">
        <f aca="false">SUMIFS(Equipes!$D$2:$D$60,Equipes!$A$2:$A$60,"LOT-04",Equipes!$B$2:$B$60,"&lt;="&amp;$A242,Equipes!$C$2:$C$60,"&gt;="&amp;$A242)</f>
        <v>14</v>
      </c>
      <c r="I242" s="3" t="n">
        <f aca="false">IF(H242&gt;0,ROUNDUP(H242/Parametres!$B$7,0)+1,0)</f>
        <v>3</v>
      </c>
      <c r="J242" s="3" t="n">
        <f aca="false">SUMIFS(Equipes!$D$2:$D$60,Equipes!$A$2:$A$60,"LOT-05",Equipes!$B$2:$B$60,"&lt;="&amp;$A242,Equipes!$C$2:$C$60,"&gt;="&amp;$A242)</f>
        <v>0</v>
      </c>
      <c r="K242" s="3" t="n">
        <f aca="false">IF(J242&gt;0,ROUNDUP(J242/Parametres!$B$7,0)+1,0)</f>
        <v>0</v>
      </c>
      <c r="L242" s="3" t="n">
        <f aca="false">SUMIFS(Equipes!$D$2:$D$60,Equipes!$A$2:$A$60,"LOT-06",Equipes!$B$2:$B$60,"&lt;="&amp;$A242,Equipes!$C$2:$C$60,"&gt;="&amp;$A242)</f>
        <v>10</v>
      </c>
      <c r="M242" s="3" t="n">
        <f aca="false">IF(L242&gt;0,ROUNDUP(L242/Parametres!$B$7,0)+1,0)</f>
        <v>2</v>
      </c>
      <c r="N242" s="3" t="n">
        <f aca="false">SUMIFS(Equipes!$D$2:$D$60,Equipes!$A$2:$A$60,"LOT-07",Equipes!$B$2:$B$60,"&lt;="&amp;$A242,Equipes!$C$2:$C$60,"&gt;="&amp;$A242)</f>
        <v>0</v>
      </c>
      <c r="O242" s="3" t="n">
        <f aca="false">IF(N242&gt;0,ROUNDUP(N242/Parametres!$B$7,0)+1,0)</f>
        <v>0</v>
      </c>
      <c r="P242" s="3" t="n">
        <f aca="false">SUMIFS(Equipes!$D$2:$D$60,Equipes!$A$2:$A$60,"LOT-08",Equipes!$B$2:$B$60,"&lt;="&amp;$A242,Equipes!$C$2:$C$60,"&gt;="&amp;$A242)</f>
        <v>0</v>
      </c>
      <c r="Q242" s="3" t="n">
        <f aca="false">IF(P242&gt;0,ROUNDUP(P242/Parametres!$B$7,0)+1,0)</f>
        <v>0</v>
      </c>
    </row>
    <row r="243" customFormat="false" ht="15" hidden="false" customHeight="false" outlineLevel="0" collapsed="false">
      <c r="A243" s="2" t="n">
        <v>46324</v>
      </c>
      <c r="B243" s="3" t="n">
        <f aca="false">SUMIFS(Equipes!$D$2:$D$60,Equipes!$A$2:$A$60,"LOT-01",Equipes!$B$2:$B$60,"&lt;="&amp;$A243,Equipes!$C$2:$C$60,"&gt;="&amp;$A243)</f>
        <v>0</v>
      </c>
      <c r="C243" s="3" t="n">
        <f aca="false">IF(B243&gt;0,ROUNDUP(B243/Parametres!$B$7,0)+1,0)</f>
        <v>0</v>
      </c>
      <c r="D243" s="3" t="n">
        <f aca="false">SUMIFS(Equipes!$D$2:$D$60,Equipes!$A$2:$A$60,"LOT-02",Equipes!$B$2:$B$60,"&lt;="&amp;$A243,Equipes!$C$2:$C$60,"&gt;="&amp;$A243)</f>
        <v>0</v>
      </c>
      <c r="E243" s="3" t="n">
        <f aca="false">IF(D243&gt;0,ROUNDUP(D243/Parametres!$B$7,0)+1,0)</f>
        <v>0</v>
      </c>
      <c r="F243" s="3" t="n">
        <f aca="false">SUMIFS(Equipes!$D$2:$D$60,Equipes!$A$2:$A$60,"LOT-03",Equipes!$B$2:$B$60,"&lt;="&amp;$A243,Equipes!$C$2:$C$60,"&gt;="&amp;$A243)</f>
        <v>0</v>
      </c>
      <c r="G243" s="3" t="n">
        <f aca="false">IF(F243&gt;0,ROUNDUP(F243/Parametres!$B$7,0)+1,0)</f>
        <v>0</v>
      </c>
      <c r="H243" s="3" t="n">
        <f aca="false">SUMIFS(Equipes!$D$2:$D$60,Equipes!$A$2:$A$60,"LOT-04",Equipes!$B$2:$B$60,"&lt;="&amp;$A243,Equipes!$C$2:$C$60,"&gt;="&amp;$A243)</f>
        <v>14</v>
      </c>
      <c r="I243" s="3" t="n">
        <f aca="false">IF(H243&gt;0,ROUNDUP(H243/Parametres!$B$7,0)+1,0)</f>
        <v>3</v>
      </c>
      <c r="J243" s="3" t="n">
        <f aca="false">SUMIFS(Equipes!$D$2:$D$60,Equipes!$A$2:$A$60,"LOT-05",Equipes!$B$2:$B$60,"&lt;="&amp;$A243,Equipes!$C$2:$C$60,"&gt;="&amp;$A243)</f>
        <v>0</v>
      </c>
      <c r="K243" s="3" t="n">
        <f aca="false">IF(J243&gt;0,ROUNDUP(J243/Parametres!$B$7,0)+1,0)</f>
        <v>0</v>
      </c>
      <c r="L243" s="3" t="n">
        <f aca="false">SUMIFS(Equipes!$D$2:$D$60,Equipes!$A$2:$A$60,"LOT-06",Equipes!$B$2:$B$60,"&lt;="&amp;$A243,Equipes!$C$2:$C$60,"&gt;="&amp;$A243)</f>
        <v>10</v>
      </c>
      <c r="M243" s="3" t="n">
        <f aca="false">IF(L243&gt;0,ROUNDUP(L243/Parametres!$B$7,0)+1,0)</f>
        <v>2</v>
      </c>
      <c r="N243" s="3" t="n">
        <f aca="false">SUMIFS(Equipes!$D$2:$D$60,Equipes!$A$2:$A$60,"LOT-07",Equipes!$B$2:$B$60,"&lt;="&amp;$A243,Equipes!$C$2:$C$60,"&gt;="&amp;$A243)</f>
        <v>0</v>
      </c>
      <c r="O243" s="3" t="n">
        <f aca="false">IF(N243&gt;0,ROUNDUP(N243/Parametres!$B$7,0)+1,0)</f>
        <v>0</v>
      </c>
      <c r="P243" s="3" t="n">
        <f aca="false">SUMIFS(Equipes!$D$2:$D$60,Equipes!$A$2:$A$60,"LOT-08",Equipes!$B$2:$B$60,"&lt;="&amp;$A243,Equipes!$C$2:$C$60,"&gt;="&amp;$A243)</f>
        <v>0</v>
      </c>
      <c r="Q243" s="3" t="n">
        <f aca="false">IF(P243&gt;0,ROUNDUP(P243/Parametres!$B$7,0)+1,0)</f>
        <v>0</v>
      </c>
    </row>
    <row r="244" customFormat="false" ht="15" hidden="false" customHeight="false" outlineLevel="0" collapsed="false">
      <c r="A244" s="2" t="n">
        <v>46325</v>
      </c>
      <c r="B244" s="3" t="n">
        <f aca="false">SUMIFS(Equipes!$D$2:$D$60,Equipes!$A$2:$A$60,"LOT-01",Equipes!$B$2:$B$60,"&lt;="&amp;$A244,Equipes!$C$2:$C$60,"&gt;="&amp;$A244)</f>
        <v>0</v>
      </c>
      <c r="C244" s="3" t="n">
        <f aca="false">IF(B244&gt;0,ROUNDUP(B244/Parametres!$B$7,0)+1,0)</f>
        <v>0</v>
      </c>
      <c r="D244" s="3" t="n">
        <f aca="false">SUMIFS(Equipes!$D$2:$D$60,Equipes!$A$2:$A$60,"LOT-02",Equipes!$B$2:$B$60,"&lt;="&amp;$A244,Equipes!$C$2:$C$60,"&gt;="&amp;$A244)</f>
        <v>0</v>
      </c>
      <c r="E244" s="3" t="n">
        <f aca="false">IF(D244&gt;0,ROUNDUP(D244/Parametres!$B$7,0)+1,0)</f>
        <v>0</v>
      </c>
      <c r="F244" s="3" t="n">
        <f aca="false">SUMIFS(Equipes!$D$2:$D$60,Equipes!$A$2:$A$60,"LOT-03",Equipes!$B$2:$B$60,"&lt;="&amp;$A244,Equipes!$C$2:$C$60,"&gt;="&amp;$A244)</f>
        <v>0</v>
      </c>
      <c r="G244" s="3" t="n">
        <f aca="false">IF(F244&gt;0,ROUNDUP(F244/Parametres!$B$7,0)+1,0)</f>
        <v>0</v>
      </c>
      <c r="H244" s="3" t="n">
        <f aca="false">SUMIFS(Equipes!$D$2:$D$60,Equipes!$A$2:$A$60,"LOT-04",Equipes!$B$2:$B$60,"&lt;="&amp;$A244,Equipes!$C$2:$C$60,"&gt;="&amp;$A244)</f>
        <v>28</v>
      </c>
      <c r="I244" s="3" t="n">
        <f aca="false">IF(H244&gt;0,ROUNDUP(H244/Parametres!$B$7,0)+1,0)</f>
        <v>4</v>
      </c>
      <c r="J244" s="3" t="n">
        <f aca="false">SUMIFS(Equipes!$D$2:$D$60,Equipes!$A$2:$A$60,"LOT-05",Equipes!$B$2:$B$60,"&lt;="&amp;$A244,Equipes!$C$2:$C$60,"&gt;="&amp;$A244)</f>
        <v>8</v>
      </c>
      <c r="K244" s="3" t="n">
        <f aca="false">IF(J244&gt;0,ROUNDUP(J244/Parametres!$B$7,0)+1,0)</f>
        <v>2</v>
      </c>
      <c r="L244" s="3" t="n">
        <f aca="false">SUMIFS(Equipes!$D$2:$D$60,Equipes!$A$2:$A$60,"LOT-06",Equipes!$B$2:$B$60,"&lt;="&amp;$A244,Equipes!$C$2:$C$60,"&gt;="&amp;$A244)</f>
        <v>10</v>
      </c>
      <c r="M244" s="3" t="n">
        <f aca="false">IF(L244&gt;0,ROUNDUP(L244/Parametres!$B$7,0)+1,0)</f>
        <v>2</v>
      </c>
      <c r="N244" s="3" t="n">
        <f aca="false">SUMIFS(Equipes!$D$2:$D$60,Equipes!$A$2:$A$60,"LOT-07",Equipes!$B$2:$B$60,"&lt;="&amp;$A244,Equipes!$C$2:$C$60,"&gt;="&amp;$A244)</f>
        <v>0</v>
      </c>
      <c r="O244" s="3" t="n">
        <f aca="false">IF(N244&gt;0,ROUNDUP(N244/Parametres!$B$7,0)+1,0)</f>
        <v>0</v>
      </c>
      <c r="P244" s="3" t="n">
        <f aca="false">SUMIFS(Equipes!$D$2:$D$60,Equipes!$A$2:$A$60,"LOT-08",Equipes!$B$2:$B$60,"&lt;="&amp;$A244,Equipes!$C$2:$C$60,"&gt;="&amp;$A244)</f>
        <v>0</v>
      </c>
      <c r="Q244" s="3" t="n">
        <f aca="false">IF(P244&gt;0,ROUNDUP(P244/Parametres!$B$7,0)+1,0)</f>
        <v>0</v>
      </c>
    </row>
    <row r="245" customFormat="false" ht="15" hidden="false" customHeight="false" outlineLevel="0" collapsed="false">
      <c r="A245" s="2" t="n">
        <v>46326</v>
      </c>
      <c r="B245" s="3" t="n">
        <f aca="false">SUMIFS(Equipes!$D$2:$D$60,Equipes!$A$2:$A$60,"LOT-01",Equipes!$B$2:$B$60,"&lt;="&amp;$A245,Equipes!$C$2:$C$60,"&gt;="&amp;$A245)</f>
        <v>0</v>
      </c>
      <c r="C245" s="3" t="n">
        <f aca="false">IF(B245&gt;0,ROUNDUP(B245/Parametres!$B$7,0)+1,0)</f>
        <v>0</v>
      </c>
      <c r="D245" s="3" t="n">
        <f aca="false">SUMIFS(Equipes!$D$2:$D$60,Equipes!$A$2:$A$60,"LOT-02",Equipes!$B$2:$B$60,"&lt;="&amp;$A245,Equipes!$C$2:$C$60,"&gt;="&amp;$A245)</f>
        <v>0</v>
      </c>
      <c r="E245" s="3" t="n">
        <f aca="false">IF(D245&gt;0,ROUNDUP(D245/Parametres!$B$7,0)+1,0)</f>
        <v>0</v>
      </c>
      <c r="F245" s="3" t="n">
        <f aca="false">SUMIFS(Equipes!$D$2:$D$60,Equipes!$A$2:$A$60,"LOT-03",Equipes!$B$2:$B$60,"&lt;="&amp;$A245,Equipes!$C$2:$C$60,"&gt;="&amp;$A245)</f>
        <v>0</v>
      </c>
      <c r="G245" s="3" t="n">
        <f aca="false">IF(F245&gt;0,ROUNDUP(F245/Parametres!$B$7,0)+1,0)</f>
        <v>0</v>
      </c>
      <c r="H245" s="3" t="n">
        <f aca="false">SUMIFS(Equipes!$D$2:$D$60,Equipes!$A$2:$A$60,"LOT-04",Equipes!$B$2:$B$60,"&lt;="&amp;$A245,Equipes!$C$2:$C$60,"&gt;="&amp;$A245)</f>
        <v>28</v>
      </c>
      <c r="I245" s="3" t="n">
        <f aca="false">IF(H245&gt;0,ROUNDUP(H245/Parametres!$B$7,0)+1,0)</f>
        <v>4</v>
      </c>
      <c r="J245" s="3" t="n">
        <f aca="false">SUMIFS(Equipes!$D$2:$D$60,Equipes!$A$2:$A$60,"LOT-05",Equipes!$B$2:$B$60,"&lt;="&amp;$A245,Equipes!$C$2:$C$60,"&gt;="&amp;$A245)</f>
        <v>8</v>
      </c>
      <c r="K245" s="3" t="n">
        <f aca="false">IF(J245&gt;0,ROUNDUP(J245/Parametres!$B$7,0)+1,0)</f>
        <v>2</v>
      </c>
      <c r="L245" s="3" t="n">
        <f aca="false">SUMIFS(Equipes!$D$2:$D$60,Equipes!$A$2:$A$60,"LOT-06",Equipes!$B$2:$B$60,"&lt;="&amp;$A245,Equipes!$C$2:$C$60,"&gt;="&amp;$A245)</f>
        <v>10</v>
      </c>
      <c r="M245" s="3" t="n">
        <f aca="false">IF(L245&gt;0,ROUNDUP(L245/Parametres!$B$7,0)+1,0)</f>
        <v>2</v>
      </c>
      <c r="N245" s="3" t="n">
        <f aca="false">SUMIFS(Equipes!$D$2:$D$60,Equipes!$A$2:$A$60,"LOT-07",Equipes!$B$2:$B$60,"&lt;="&amp;$A245,Equipes!$C$2:$C$60,"&gt;="&amp;$A245)</f>
        <v>0</v>
      </c>
      <c r="O245" s="3" t="n">
        <f aca="false">IF(N245&gt;0,ROUNDUP(N245/Parametres!$B$7,0)+1,0)</f>
        <v>0</v>
      </c>
      <c r="P245" s="3" t="n">
        <f aca="false">SUMIFS(Equipes!$D$2:$D$60,Equipes!$A$2:$A$60,"LOT-08",Equipes!$B$2:$B$60,"&lt;="&amp;$A245,Equipes!$C$2:$C$60,"&gt;="&amp;$A245)</f>
        <v>0</v>
      </c>
      <c r="Q245" s="3" t="n">
        <f aca="false">IF(P245&gt;0,ROUNDUP(P245/Parametres!$B$7,0)+1,0)</f>
        <v>0</v>
      </c>
    </row>
    <row r="246" customFormat="false" ht="15" hidden="false" customHeight="false" outlineLevel="0" collapsed="false">
      <c r="A246" s="2" t="n">
        <v>46327</v>
      </c>
      <c r="B246" s="3" t="n">
        <f aca="false">SUMIFS(Equipes!$D$2:$D$60,Equipes!$A$2:$A$60,"LOT-01",Equipes!$B$2:$B$60,"&lt;="&amp;$A246,Equipes!$C$2:$C$60,"&gt;="&amp;$A246)</f>
        <v>0</v>
      </c>
      <c r="C246" s="3" t="n">
        <f aca="false">IF(B246&gt;0,ROUNDUP(B246/Parametres!$B$7,0)+1,0)</f>
        <v>0</v>
      </c>
      <c r="D246" s="3" t="n">
        <f aca="false">SUMIFS(Equipes!$D$2:$D$60,Equipes!$A$2:$A$60,"LOT-02",Equipes!$B$2:$B$60,"&lt;="&amp;$A246,Equipes!$C$2:$C$60,"&gt;="&amp;$A246)</f>
        <v>0</v>
      </c>
      <c r="E246" s="3" t="n">
        <f aca="false">IF(D246&gt;0,ROUNDUP(D246/Parametres!$B$7,0)+1,0)</f>
        <v>0</v>
      </c>
      <c r="F246" s="3" t="n">
        <f aca="false">SUMIFS(Equipes!$D$2:$D$60,Equipes!$A$2:$A$60,"LOT-03",Equipes!$B$2:$B$60,"&lt;="&amp;$A246,Equipes!$C$2:$C$60,"&gt;="&amp;$A246)</f>
        <v>0</v>
      </c>
      <c r="G246" s="3" t="n">
        <f aca="false">IF(F246&gt;0,ROUNDUP(F246/Parametres!$B$7,0)+1,0)</f>
        <v>0</v>
      </c>
      <c r="H246" s="3" t="n">
        <f aca="false">SUMIFS(Equipes!$D$2:$D$60,Equipes!$A$2:$A$60,"LOT-04",Equipes!$B$2:$B$60,"&lt;="&amp;$A246,Equipes!$C$2:$C$60,"&gt;="&amp;$A246)</f>
        <v>28</v>
      </c>
      <c r="I246" s="3" t="n">
        <f aca="false">IF(H246&gt;0,ROUNDUP(H246/Parametres!$B$7,0)+1,0)</f>
        <v>4</v>
      </c>
      <c r="J246" s="3" t="n">
        <f aca="false">SUMIFS(Equipes!$D$2:$D$60,Equipes!$A$2:$A$60,"LOT-05",Equipes!$B$2:$B$60,"&lt;="&amp;$A246,Equipes!$C$2:$C$60,"&gt;="&amp;$A246)</f>
        <v>8</v>
      </c>
      <c r="K246" s="3" t="n">
        <f aca="false">IF(J246&gt;0,ROUNDUP(J246/Parametres!$B$7,0)+1,0)</f>
        <v>2</v>
      </c>
      <c r="L246" s="3" t="n">
        <f aca="false">SUMIFS(Equipes!$D$2:$D$60,Equipes!$A$2:$A$60,"LOT-06",Equipes!$B$2:$B$60,"&lt;="&amp;$A246,Equipes!$C$2:$C$60,"&gt;="&amp;$A246)</f>
        <v>10</v>
      </c>
      <c r="M246" s="3" t="n">
        <f aca="false">IF(L246&gt;0,ROUNDUP(L246/Parametres!$B$7,0)+1,0)</f>
        <v>2</v>
      </c>
      <c r="N246" s="3" t="n">
        <f aca="false">SUMIFS(Equipes!$D$2:$D$60,Equipes!$A$2:$A$60,"LOT-07",Equipes!$B$2:$B$60,"&lt;="&amp;$A246,Equipes!$C$2:$C$60,"&gt;="&amp;$A246)</f>
        <v>0</v>
      </c>
      <c r="O246" s="3" t="n">
        <f aca="false">IF(N246&gt;0,ROUNDUP(N246/Parametres!$B$7,0)+1,0)</f>
        <v>0</v>
      </c>
      <c r="P246" s="3" t="n">
        <f aca="false">SUMIFS(Equipes!$D$2:$D$60,Equipes!$A$2:$A$60,"LOT-08",Equipes!$B$2:$B$60,"&lt;="&amp;$A246,Equipes!$C$2:$C$60,"&gt;="&amp;$A246)</f>
        <v>0</v>
      </c>
      <c r="Q246" s="3" t="n">
        <f aca="false">IF(P246&gt;0,ROUNDUP(P246/Parametres!$B$7,0)+1,0)</f>
        <v>0</v>
      </c>
    </row>
    <row r="247" customFormat="false" ht="15" hidden="false" customHeight="false" outlineLevel="0" collapsed="false">
      <c r="A247" s="2" t="n">
        <v>46328</v>
      </c>
      <c r="B247" s="3" t="n">
        <f aca="false">SUMIFS(Equipes!$D$2:$D$60,Equipes!$A$2:$A$60,"LOT-01",Equipes!$B$2:$B$60,"&lt;="&amp;$A247,Equipes!$C$2:$C$60,"&gt;="&amp;$A247)</f>
        <v>0</v>
      </c>
      <c r="C247" s="3" t="n">
        <f aca="false">IF(B247&gt;0,ROUNDUP(B247/Parametres!$B$7,0)+1,0)</f>
        <v>0</v>
      </c>
      <c r="D247" s="3" t="n">
        <f aca="false">SUMIFS(Equipes!$D$2:$D$60,Equipes!$A$2:$A$60,"LOT-02",Equipes!$B$2:$B$60,"&lt;="&amp;$A247,Equipes!$C$2:$C$60,"&gt;="&amp;$A247)</f>
        <v>0</v>
      </c>
      <c r="E247" s="3" t="n">
        <f aca="false">IF(D247&gt;0,ROUNDUP(D247/Parametres!$B$7,0)+1,0)</f>
        <v>0</v>
      </c>
      <c r="F247" s="3" t="n">
        <f aca="false">SUMIFS(Equipes!$D$2:$D$60,Equipes!$A$2:$A$60,"LOT-03",Equipes!$B$2:$B$60,"&lt;="&amp;$A247,Equipes!$C$2:$C$60,"&gt;="&amp;$A247)</f>
        <v>0</v>
      </c>
      <c r="G247" s="3" t="n">
        <f aca="false">IF(F247&gt;0,ROUNDUP(F247/Parametres!$B$7,0)+1,0)</f>
        <v>0</v>
      </c>
      <c r="H247" s="3" t="n">
        <f aca="false">SUMIFS(Equipes!$D$2:$D$60,Equipes!$A$2:$A$60,"LOT-04",Equipes!$B$2:$B$60,"&lt;="&amp;$A247,Equipes!$C$2:$C$60,"&gt;="&amp;$A247)</f>
        <v>28</v>
      </c>
      <c r="I247" s="3" t="n">
        <f aca="false">IF(H247&gt;0,ROUNDUP(H247/Parametres!$B$7,0)+1,0)</f>
        <v>4</v>
      </c>
      <c r="J247" s="3" t="n">
        <f aca="false">SUMIFS(Equipes!$D$2:$D$60,Equipes!$A$2:$A$60,"LOT-05",Equipes!$B$2:$B$60,"&lt;="&amp;$A247,Equipes!$C$2:$C$60,"&gt;="&amp;$A247)</f>
        <v>8</v>
      </c>
      <c r="K247" s="3" t="n">
        <f aca="false">IF(J247&gt;0,ROUNDUP(J247/Parametres!$B$7,0)+1,0)</f>
        <v>2</v>
      </c>
      <c r="L247" s="3" t="n">
        <f aca="false">SUMIFS(Equipes!$D$2:$D$60,Equipes!$A$2:$A$60,"LOT-06",Equipes!$B$2:$B$60,"&lt;="&amp;$A247,Equipes!$C$2:$C$60,"&gt;="&amp;$A247)</f>
        <v>10</v>
      </c>
      <c r="M247" s="3" t="n">
        <f aca="false">IF(L247&gt;0,ROUNDUP(L247/Parametres!$B$7,0)+1,0)</f>
        <v>2</v>
      </c>
      <c r="N247" s="3" t="n">
        <f aca="false">SUMIFS(Equipes!$D$2:$D$60,Equipes!$A$2:$A$60,"LOT-07",Equipes!$B$2:$B$60,"&lt;="&amp;$A247,Equipes!$C$2:$C$60,"&gt;="&amp;$A247)</f>
        <v>0</v>
      </c>
      <c r="O247" s="3" t="n">
        <f aca="false">IF(N247&gt;0,ROUNDUP(N247/Parametres!$B$7,0)+1,0)</f>
        <v>0</v>
      </c>
      <c r="P247" s="3" t="n">
        <f aca="false">SUMIFS(Equipes!$D$2:$D$60,Equipes!$A$2:$A$60,"LOT-08",Equipes!$B$2:$B$60,"&lt;="&amp;$A247,Equipes!$C$2:$C$60,"&gt;="&amp;$A247)</f>
        <v>0</v>
      </c>
      <c r="Q247" s="3" t="n">
        <f aca="false">IF(P247&gt;0,ROUNDUP(P247/Parametres!$B$7,0)+1,0)</f>
        <v>0</v>
      </c>
    </row>
    <row r="248" customFormat="false" ht="15" hidden="false" customHeight="false" outlineLevel="0" collapsed="false">
      <c r="A248" s="2" t="n">
        <v>46329</v>
      </c>
      <c r="B248" s="3" t="n">
        <f aca="false">SUMIFS(Equipes!$D$2:$D$60,Equipes!$A$2:$A$60,"LOT-01",Equipes!$B$2:$B$60,"&lt;="&amp;$A248,Equipes!$C$2:$C$60,"&gt;="&amp;$A248)</f>
        <v>0</v>
      </c>
      <c r="C248" s="3" t="n">
        <f aca="false">IF(B248&gt;0,ROUNDUP(B248/Parametres!$B$7,0)+1,0)</f>
        <v>0</v>
      </c>
      <c r="D248" s="3" t="n">
        <f aca="false">SUMIFS(Equipes!$D$2:$D$60,Equipes!$A$2:$A$60,"LOT-02",Equipes!$B$2:$B$60,"&lt;="&amp;$A248,Equipes!$C$2:$C$60,"&gt;="&amp;$A248)</f>
        <v>0</v>
      </c>
      <c r="E248" s="3" t="n">
        <f aca="false">IF(D248&gt;0,ROUNDUP(D248/Parametres!$B$7,0)+1,0)</f>
        <v>0</v>
      </c>
      <c r="F248" s="3" t="n">
        <f aca="false">SUMIFS(Equipes!$D$2:$D$60,Equipes!$A$2:$A$60,"LOT-03",Equipes!$B$2:$B$60,"&lt;="&amp;$A248,Equipes!$C$2:$C$60,"&gt;="&amp;$A248)</f>
        <v>0</v>
      </c>
      <c r="G248" s="3" t="n">
        <f aca="false">IF(F248&gt;0,ROUNDUP(F248/Parametres!$B$7,0)+1,0)</f>
        <v>0</v>
      </c>
      <c r="H248" s="3" t="n">
        <f aca="false">SUMIFS(Equipes!$D$2:$D$60,Equipes!$A$2:$A$60,"LOT-04",Equipes!$B$2:$B$60,"&lt;="&amp;$A248,Equipes!$C$2:$C$60,"&gt;="&amp;$A248)</f>
        <v>28</v>
      </c>
      <c r="I248" s="3" t="n">
        <f aca="false">IF(H248&gt;0,ROUNDUP(H248/Parametres!$B$7,0)+1,0)</f>
        <v>4</v>
      </c>
      <c r="J248" s="3" t="n">
        <f aca="false">SUMIFS(Equipes!$D$2:$D$60,Equipes!$A$2:$A$60,"LOT-05",Equipes!$B$2:$B$60,"&lt;="&amp;$A248,Equipes!$C$2:$C$60,"&gt;="&amp;$A248)</f>
        <v>8</v>
      </c>
      <c r="K248" s="3" t="n">
        <f aca="false">IF(J248&gt;0,ROUNDUP(J248/Parametres!$B$7,0)+1,0)</f>
        <v>2</v>
      </c>
      <c r="L248" s="3" t="n">
        <f aca="false">SUMIFS(Equipes!$D$2:$D$60,Equipes!$A$2:$A$60,"LOT-06",Equipes!$B$2:$B$60,"&lt;="&amp;$A248,Equipes!$C$2:$C$60,"&gt;="&amp;$A248)</f>
        <v>10</v>
      </c>
      <c r="M248" s="3" t="n">
        <f aca="false">IF(L248&gt;0,ROUNDUP(L248/Parametres!$B$7,0)+1,0)</f>
        <v>2</v>
      </c>
      <c r="N248" s="3" t="n">
        <f aca="false">SUMIFS(Equipes!$D$2:$D$60,Equipes!$A$2:$A$60,"LOT-07",Equipes!$B$2:$B$60,"&lt;="&amp;$A248,Equipes!$C$2:$C$60,"&gt;="&amp;$A248)</f>
        <v>0</v>
      </c>
      <c r="O248" s="3" t="n">
        <f aca="false">IF(N248&gt;0,ROUNDUP(N248/Parametres!$B$7,0)+1,0)</f>
        <v>0</v>
      </c>
      <c r="P248" s="3" t="n">
        <f aca="false">SUMIFS(Equipes!$D$2:$D$60,Equipes!$A$2:$A$60,"LOT-08",Equipes!$B$2:$B$60,"&lt;="&amp;$A248,Equipes!$C$2:$C$60,"&gt;="&amp;$A248)</f>
        <v>0</v>
      </c>
      <c r="Q248" s="3" t="n">
        <f aca="false">IF(P248&gt;0,ROUNDUP(P248/Parametres!$B$7,0)+1,0)</f>
        <v>0</v>
      </c>
    </row>
    <row r="249" customFormat="false" ht="15" hidden="false" customHeight="false" outlineLevel="0" collapsed="false">
      <c r="A249" s="2" t="n">
        <v>46330</v>
      </c>
      <c r="B249" s="3" t="n">
        <f aca="false">SUMIFS(Equipes!$D$2:$D$60,Equipes!$A$2:$A$60,"LOT-01",Equipes!$B$2:$B$60,"&lt;="&amp;$A249,Equipes!$C$2:$C$60,"&gt;="&amp;$A249)</f>
        <v>0</v>
      </c>
      <c r="C249" s="3" t="n">
        <f aca="false">IF(B249&gt;0,ROUNDUP(B249/Parametres!$B$7,0)+1,0)</f>
        <v>0</v>
      </c>
      <c r="D249" s="3" t="n">
        <f aca="false">SUMIFS(Equipes!$D$2:$D$60,Equipes!$A$2:$A$60,"LOT-02",Equipes!$B$2:$B$60,"&lt;="&amp;$A249,Equipes!$C$2:$C$60,"&gt;="&amp;$A249)</f>
        <v>0</v>
      </c>
      <c r="E249" s="3" t="n">
        <f aca="false">IF(D249&gt;0,ROUNDUP(D249/Parametres!$B$7,0)+1,0)</f>
        <v>0</v>
      </c>
      <c r="F249" s="3" t="n">
        <f aca="false">SUMIFS(Equipes!$D$2:$D$60,Equipes!$A$2:$A$60,"LOT-03",Equipes!$B$2:$B$60,"&lt;="&amp;$A249,Equipes!$C$2:$C$60,"&gt;="&amp;$A249)</f>
        <v>0</v>
      </c>
      <c r="G249" s="3" t="n">
        <f aca="false">IF(F249&gt;0,ROUNDUP(F249/Parametres!$B$7,0)+1,0)</f>
        <v>0</v>
      </c>
      <c r="H249" s="3" t="n">
        <f aca="false">SUMIFS(Equipes!$D$2:$D$60,Equipes!$A$2:$A$60,"LOT-04",Equipes!$B$2:$B$60,"&lt;="&amp;$A249,Equipes!$C$2:$C$60,"&gt;="&amp;$A249)</f>
        <v>28</v>
      </c>
      <c r="I249" s="3" t="n">
        <f aca="false">IF(H249&gt;0,ROUNDUP(H249/Parametres!$B$7,0)+1,0)</f>
        <v>4</v>
      </c>
      <c r="J249" s="3" t="n">
        <f aca="false">SUMIFS(Equipes!$D$2:$D$60,Equipes!$A$2:$A$60,"LOT-05",Equipes!$B$2:$B$60,"&lt;="&amp;$A249,Equipes!$C$2:$C$60,"&gt;="&amp;$A249)</f>
        <v>8</v>
      </c>
      <c r="K249" s="3" t="n">
        <f aca="false">IF(J249&gt;0,ROUNDUP(J249/Parametres!$B$7,0)+1,0)</f>
        <v>2</v>
      </c>
      <c r="L249" s="3" t="n">
        <f aca="false">SUMIFS(Equipes!$D$2:$D$60,Equipes!$A$2:$A$60,"LOT-06",Equipes!$B$2:$B$60,"&lt;="&amp;$A249,Equipes!$C$2:$C$60,"&gt;="&amp;$A249)</f>
        <v>10</v>
      </c>
      <c r="M249" s="3" t="n">
        <f aca="false">IF(L249&gt;0,ROUNDUP(L249/Parametres!$B$7,0)+1,0)</f>
        <v>2</v>
      </c>
      <c r="N249" s="3" t="n">
        <f aca="false">SUMIFS(Equipes!$D$2:$D$60,Equipes!$A$2:$A$60,"LOT-07",Equipes!$B$2:$B$60,"&lt;="&amp;$A249,Equipes!$C$2:$C$60,"&gt;="&amp;$A249)</f>
        <v>0</v>
      </c>
      <c r="O249" s="3" t="n">
        <f aca="false">IF(N249&gt;0,ROUNDUP(N249/Parametres!$B$7,0)+1,0)</f>
        <v>0</v>
      </c>
      <c r="P249" s="3" t="n">
        <f aca="false">SUMIFS(Equipes!$D$2:$D$60,Equipes!$A$2:$A$60,"LOT-08",Equipes!$B$2:$B$60,"&lt;="&amp;$A249,Equipes!$C$2:$C$60,"&gt;="&amp;$A249)</f>
        <v>0</v>
      </c>
      <c r="Q249" s="3" t="n">
        <f aca="false">IF(P249&gt;0,ROUNDUP(P249/Parametres!$B$7,0)+1,0)</f>
        <v>0</v>
      </c>
    </row>
    <row r="250" customFormat="false" ht="15" hidden="false" customHeight="false" outlineLevel="0" collapsed="false">
      <c r="A250" s="2" t="n">
        <v>46331</v>
      </c>
      <c r="B250" s="3" t="n">
        <f aca="false">SUMIFS(Equipes!$D$2:$D$60,Equipes!$A$2:$A$60,"LOT-01",Equipes!$B$2:$B$60,"&lt;="&amp;$A250,Equipes!$C$2:$C$60,"&gt;="&amp;$A250)</f>
        <v>0</v>
      </c>
      <c r="C250" s="3" t="n">
        <f aca="false">IF(B250&gt;0,ROUNDUP(B250/Parametres!$B$7,0)+1,0)</f>
        <v>0</v>
      </c>
      <c r="D250" s="3" t="n">
        <f aca="false">SUMIFS(Equipes!$D$2:$D$60,Equipes!$A$2:$A$60,"LOT-02",Equipes!$B$2:$B$60,"&lt;="&amp;$A250,Equipes!$C$2:$C$60,"&gt;="&amp;$A250)</f>
        <v>0</v>
      </c>
      <c r="E250" s="3" t="n">
        <f aca="false">IF(D250&gt;0,ROUNDUP(D250/Parametres!$B$7,0)+1,0)</f>
        <v>0</v>
      </c>
      <c r="F250" s="3" t="n">
        <f aca="false">SUMIFS(Equipes!$D$2:$D$60,Equipes!$A$2:$A$60,"LOT-03",Equipes!$B$2:$B$60,"&lt;="&amp;$A250,Equipes!$C$2:$C$60,"&gt;="&amp;$A250)</f>
        <v>0</v>
      </c>
      <c r="G250" s="3" t="n">
        <f aca="false">IF(F250&gt;0,ROUNDUP(F250/Parametres!$B$7,0)+1,0)</f>
        <v>0</v>
      </c>
      <c r="H250" s="3" t="n">
        <f aca="false">SUMIFS(Equipes!$D$2:$D$60,Equipes!$A$2:$A$60,"LOT-04",Equipes!$B$2:$B$60,"&lt;="&amp;$A250,Equipes!$C$2:$C$60,"&gt;="&amp;$A250)</f>
        <v>28</v>
      </c>
      <c r="I250" s="3" t="n">
        <f aca="false">IF(H250&gt;0,ROUNDUP(H250/Parametres!$B$7,0)+1,0)</f>
        <v>4</v>
      </c>
      <c r="J250" s="3" t="n">
        <f aca="false">SUMIFS(Equipes!$D$2:$D$60,Equipes!$A$2:$A$60,"LOT-05",Equipes!$B$2:$B$60,"&lt;="&amp;$A250,Equipes!$C$2:$C$60,"&gt;="&amp;$A250)</f>
        <v>8</v>
      </c>
      <c r="K250" s="3" t="n">
        <f aca="false">IF(J250&gt;0,ROUNDUP(J250/Parametres!$B$7,0)+1,0)</f>
        <v>2</v>
      </c>
      <c r="L250" s="3" t="n">
        <f aca="false">SUMIFS(Equipes!$D$2:$D$60,Equipes!$A$2:$A$60,"LOT-06",Equipes!$B$2:$B$60,"&lt;="&amp;$A250,Equipes!$C$2:$C$60,"&gt;="&amp;$A250)</f>
        <v>10</v>
      </c>
      <c r="M250" s="3" t="n">
        <f aca="false">IF(L250&gt;0,ROUNDUP(L250/Parametres!$B$7,0)+1,0)</f>
        <v>2</v>
      </c>
      <c r="N250" s="3" t="n">
        <f aca="false">SUMIFS(Equipes!$D$2:$D$60,Equipes!$A$2:$A$60,"LOT-07",Equipes!$B$2:$B$60,"&lt;="&amp;$A250,Equipes!$C$2:$C$60,"&gt;="&amp;$A250)</f>
        <v>0</v>
      </c>
      <c r="O250" s="3" t="n">
        <f aca="false">IF(N250&gt;0,ROUNDUP(N250/Parametres!$B$7,0)+1,0)</f>
        <v>0</v>
      </c>
      <c r="P250" s="3" t="n">
        <f aca="false">SUMIFS(Equipes!$D$2:$D$60,Equipes!$A$2:$A$60,"LOT-08",Equipes!$B$2:$B$60,"&lt;="&amp;$A250,Equipes!$C$2:$C$60,"&gt;="&amp;$A250)</f>
        <v>0</v>
      </c>
      <c r="Q250" s="3" t="n">
        <f aca="false">IF(P250&gt;0,ROUNDUP(P250/Parametres!$B$7,0)+1,0)</f>
        <v>0</v>
      </c>
    </row>
    <row r="251" customFormat="false" ht="15" hidden="false" customHeight="false" outlineLevel="0" collapsed="false">
      <c r="A251" s="2" t="n">
        <v>46332</v>
      </c>
      <c r="B251" s="3" t="n">
        <f aca="false">SUMIFS(Equipes!$D$2:$D$60,Equipes!$A$2:$A$60,"LOT-01",Equipes!$B$2:$B$60,"&lt;="&amp;$A251,Equipes!$C$2:$C$60,"&gt;="&amp;$A251)</f>
        <v>0</v>
      </c>
      <c r="C251" s="3" t="n">
        <f aca="false">IF(B251&gt;0,ROUNDUP(B251/Parametres!$B$7,0)+1,0)</f>
        <v>0</v>
      </c>
      <c r="D251" s="3" t="n">
        <f aca="false">SUMIFS(Equipes!$D$2:$D$60,Equipes!$A$2:$A$60,"LOT-02",Equipes!$B$2:$B$60,"&lt;="&amp;$A251,Equipes!$C$2:$C$60,"&gt;="&amp;$A251)</f>
        <v>0</v>
      </c>
      <c r="E251" s="3" t="n">
        <f aca="false">IF(D251&gt;0,ROUNDUP(D251/Parametres!$B$7,0)+1,0)</f>
        <v>0</v>
      </c>
      <c r="F251" s="3" t="n">
        <f aca="false">SUMIFS(Equipes!$D$2:$D$60,Equipes!$A$2:$A$60,"LOT-03",Equipes!$B$2:$B$60,"&lt;="&amp;$A251,Equipes!$C$2:$C$60,"&gt;="&amp;$A251)</f>
        <v>0</v>
      </c>
      <c r="G251" s="3" t="n">
        <f aca="false">IF(F251&gt;0,ROUNDUP(F251/Parametres!$B$7,0)+1,0)</f>
        <v>0</v>
      </c>
      <c r="H251" s="3" t="n">
        <f aca="false">SUMIFS(Equipes!$D$2:$D$60,Equipes!$A$2:$A$60,"LOT-04",Equipes!$B$2:$B$60,"&lt;="&amp;$A251,Equipes!$C$2:$C$60,"&gt;="&amp;$A251)</f>
        <v>28</v>
      </c>
      <c r="I251" s="3" t="n">
        <f aca="false">IF(H251&gt;0,ROUNDUP(H251/Parametres!$B$7,0)+1,0)</f>
        <v>4</v>
      </c>
      <c r="J251" s="3" t="n">
        <f aca="false">SUMIFS(Equipes!$D$2:$D$60,Equipes!$A$2:$A$60,"LOT-05",Equipes!$B$2:$B$60,"&lt;="&amp;$A251,Equipes!$C$2:$C$60,"&gt;="&amp;$A251)</f>
        <v>8</v>
      </c>
      <c r="K251" s="3" t="n">
        <f aca="false">IF(J251&gt;0,ROUNDUP(J251/Parametres!$B$7,0)+1,0)</f>
        <v>2</v>
      </c>
      <c r="L251" s="3" t="n">
        <f aca="false">SUMIFS(Equipes!$D$2:$D$60,Equipes!$A$2:$A$60,"LOT-06",Equipes!$B$2:$B$60,"&lt;="&amp;$A251,Equipes!$C$2:$C$60,"&gt;="&amp;$A251)</f>
        <v>10</v>
      </c>
      <c r="M251" s="3" t="n">
        <f aca="false">IF(L251&gt;0,ROUNDUP(L251/Parametres!$B$7,0)+1,0)</f>
        <v>2</v>
      </c>
      <c r="N251" s="3" t="n">
        <f aca="false">SUMIFS(Equipes!$D$2:$D$60,Equipes!$A$2:$A$60,"LOT-07",Equipes!$B$2:$B$60,"&lt;="&amp;$A251,Equipes!$C$2:$C$60,"&gt;="&amp;$A251)</f>
        <v>0</v>
      </c>
      <c r="O251" s="3" t="n">
        <f aca="false">IF(N251&gt;0,ROUNDUP(N251/Parametres!$B$7,0)+1,0)</f>
        <v>0</v>
      </c>
      <c r="P251" s="3" t="n">
        <f aca="false">SUMIFS(Equipes!$D$2:$D$60,Equipes!$A$2:$A$60,"LOT-08",Equipes!$B$2:$B$60,"&lt;="&amp;$A251,Equipes!$C$2:$C$60,"&gt;="&amp;$A251)</f>
        <v>0</v>
      </c>
      <c r="Q251" s="3" t="n">
        <f aca="false">IF(P251&gt;0,ROUNDUP(P251/Parametres!$B$7,0)+1,0)</f>
        <v>0</v>
      </c>
    </row>
    <row r="252" customFormat="false" ht="15" hidden="false" customHeight="false" outlineLevel="0" collapsed="false">
      <c r="A252" s="2" t="n">
        <v>46333</v>
      </c>
      <c r="B252" s="3" t="n">
        <f aca="false">SUMIFS(Equipes!$D$2:$D$60,Equipes!$A$2:$A$60,"LOT-01",Equipes!$B$2:$B$60,"&lt;="&amp;$A252,Equipes!$C$2:$C$60,"&gt;="&amp;$A252)</f>
        <v>0</v>
      </c>
      <c r="C252" s="3" t="n">
        <f aca="false">IF(B252&gt;0,ROUNDUP(B252/Parametres!$B$7,0)+1,0)</f>
        <v>0</v>
      </c>
      <c r="D252" s="3" t="n">
        <f aca="false">SUMIFS(Equipes!$D$2:$D$60,Equipes!$A$2:$A$60,"LOT-02",Equipes!$B$2:$B$60,"&lt;="&amp;$A252,Equipes!$C$2:$C$60,"&gt;="&amp;$A252)</f>
        <v>0</v>
      </c>
      <c r="E252" s="3" t="n">
        <f aca="false">IF(D252&gt;0,ROUNDUP(D252/Parametres!$B$7,0)+1,0)</f>
        <v>0</v>
      </c>
      <c r="F252" s="3" t="n">
        <f aca="false">SUMIFS(Equipes!$D$2:$D$60,Equipes!$A$2:$A$60,"LOT-03",Equipes!$B$2:$B$60,"&lt;="&amp;$A252,Equipes!$C$2:$C$60,"&gt;="&amp;$A252)</f>
        <v>0</v>
      </c>
      <c r="G252" s="3" t="n">
        <f aca="false">IF(F252&gt;0,ROUNDUP(F252/Parametres!$B$7,0)+1,0)</f>
        <v>0</v>
      </c>
      <c r="H252" s="3" t="n">
        <f aca="false">SUMIFS(Equipes!$D$2:$D$60,Equipes!$A$2:$A$60,"LOT-04",Equipes!$B$2:$B$60,"&lt;="&amp;$A252,Equipes!$C$2:$C$60,"&gt;="&amp;$A252)</f>
        <v>28</v>
      </c>
      <c r="I252" s="3" t="n">
        <f aca="false">IF(H252&gt;0,ROUNDUP(H252/Parametres!$B$7,0)+1,0)</f>
        <v>4</v>
      </c>
      <c r="J252" s="3" t="n">
        <f aca="false">SUMIFS(Equipes!$D$2:$D$60,Equipes!$A$2:$A$60,"LOT-05",Equipes!$B$2:$B$60,"&lt;="&amp;$A252,Equipes!$C$2:$C$60,"&gt;="&amp;$A252)</f>
        <v>8</v>
      </c>
      <c r="K252" s="3" t="n">
        <f aca="false">IF(J252&gt;0,ROUNDUP(J252/Parametres!$B$7,0)+1,0)</f>
        <v>2</v>
      </c>
      <c r="L252" s="3" t="n">
        <f aca="false">SUMIFS(Equipes!$D$2:$D$60,Equipes!$A$2:$A$60,"LOT-06",Equipes!$B$2:$B$60,"&lt;="&amp;$A252,Equipes!$C$2:$C$60,"&gt;="&amp;$A252)</f>
        <v>10</v>
      </c>
      <c r="M252" s="3" t="n">
        <f aca="false">IF(L252&gt;0,ROUNDUP(L252/Parametres!$B$7,0)+1,0)</f>
        <v>2</v>
      </c>
      <c r="N252" s="3" t="n">
        <f aca="false">SUMIFS(Equipes!$D$2:$D$60,Equipes!$A$2:$A$60,"LOT-07",Equipes!$B$2:$B$60,"&lt;="&amp;$A252,Equipes!$C$2:$C$60,"&gt;="&amp;$A252)</f>
        <v>0</v>
      </c>
      <c r="O252" s="3" t="n">
        <f aca="false">IF(N252&gt;0,ROUNDUP(N252/Parametres!$B$7,0)+1,0)</f>
        <v>0</v>
      </c>
      <c r="P252" s="3" t="n">
        <f aca="false">SUMIFS(Equipes!$D$2:$D$60,Equipes!$A$2:$A$60,"LOT-08",Equipes!$B$2:$B$60,"&lt;="&amp;$A252,Equipes!$C$2:$C$60,"&gt;="&amp;$A252)</f>
        <v>0</v>
      </c>
      <c r="Q252" s="3" t="n">
        <f aca="false">IF(P252&gt;0,ROUNDUP(P252/Parametres!$B$7,0)+1,0)</f>
        <v>0</v>
      </c>
    </row>
    <row r="253" customFormat="false" ht="15" hidden="false" customHeight="false" outlineLevel="0" collapsed="false">
      <c r="A253" s="2" t="n">
        <v>46334</v>
      </c>
      <c r="B253" s="3" t="n">
        <f aca="false">SUMIFS(Equipes!$D$2:$D$60,Equipes!$A$2:$A$60,"LOT-01",Equipes!$B$2:$B$60,"&lt;="&amp;$A253,Equipes!$C$2:$C$60,"&gt;="&amp;$A253)</f>
        <v>0</v>
      </c>
      <c r="C253" s="3" t="n">
        <f aca="false">IF(B253&gt;0,ROUNDUP(B253/Parametres!$B$7,0)+1,0)</f>
        <v>0</v>
      </c>
      <c r="D253" s="3" t="n">
        <f aca="false">SUMIFS(Equipes!$D$2:$D$60,Equipes!$A$2:$A$60,"LOT-02",Equipes!$B$2:$B$60,"&lt;="&amp;$A253,Equipes!$C$2:$C$60,"&gt;="&amp;$A253)</f>
        <v>0</v>
      </c>
      <c r="E253" s="3" t="n">
        <f aca="false">IF(D253&gt;0,ROUNDUP(D253/Parametres!$B$7,0)+1,0)</f>
        <v>0</v>
      </c>
      <c r="F253" s="3" t="n">
        <f aca="false">SUMIFS(Equipes!$D$2:$D$60,Equipes!$A$2:$A$60,"LOT-03",Equipes!$B$2:$B$60,"&lt;="&amp;$A253,Equipes!$C$2:$C$60,"&gt;="&amp;$A253)</f>
        <v>0</v>
      </c>
      <c r="G253" s="3" t="n">
        <f aca="false">IF(F253&gt;0,ROUNDUP(F253/Parametres!$B$7,0)+1,0)</f>
        <v>0</v>
      </c>
      <c r="H253" s="3" t="n">
        <f aca="false">SUMIFS(Equipes!$D$2:$D$60,Equipes!$A$2:$A$60,"LOT-04",Equipes!$B$2:$B$60,"&lt;="&amp;$A253,Equipes!$C$2:$C$60,"&gt;="&amp;$A253)</f>
        <v>28</v>
      </c>
      <c r="I253" s="3" t="n">
        <f aca="false">IF(H253&gt;0,ROUNDUP(H253/Parametres!$B$7,0)+1,0)</f>
        <v>4</v>
      </c>
      <c r="J253" s="3" t="n">
        <f aca="false">SUMIFS(Equipes!$D$2:$D$60,Equipes!$A$2:$A$60,"LOT-05",Equipes!$B$2:$B$60,"&lt;="&amp;$A253,Equipes!$C$2:$C$60,"&gt;="&amp;$A253)</f>
        <v>8</v>
      </c>
      <c r="K253" s="3" t="n">
        <f aca="false">IF(J253&gt;0,ROUNDUP(J253/Parametres!$B$7,0)+1,0)</f>
        <v>2</v>
      </c>
      <c r="L253" s="3" t="n">
        <f aca="false">SUMIFS(Equipes!$D$2:$D$60,Equipes!$A$2:$A$60,"LOT-06",Equipes!$B$2:$B$60,"&lt;="&amp;$A253,Equipes!$C$2:$C$60,"&gt;="&amp;$A253)</f>
        <v>10</v>
      </c>
      <c r="M253" s="3" t="n">
        <f aca="false">IF(L253&gt;0,ROUNDUP(L253/Parametres!$B$7,0)+1,0)</f>
        <v>2</v>
      </c>
      <c r="N253" s="3" t="n">
        <f aca="false">SUMIFS(Equipes!$D$2:$D$60,Equipes!$A$2:$A$60,"LOT-07",Equipes!$B$2:$B$60,"&lt;="&amp;$A253,Equipes!$C$2:$C$60,"&gt;="&amp;$A253)</f>
        <v>0</v>
      </c>
      <c r="O253" s="3" t="n">
        <f aca="false">IF(N253&gt;0,ROUNDUP(N253/Parametres!$B$7,0)+1,0)</f>
        <v>0</v>
      </c>
      <c r="P253" s="3" t="n">
        <f aca="false">SUMIFS(Equipes!$D$2:$D$60,Equipes!$A$2:$A$60,"LOT-08",Equipes!$B$2:$B$60,"&lt;="&amp;$A253,Equipes!$C$2:$C$60,"&gt;="&amp;$A253)</f>
        <v>0</v>
      </c>
      <c r="Q253" s="3" t="n">
        <f aca="false">IF(P253&gt;0,ROUNDUP(P253/Parametres!$B$7,0)+1,0)</f>
        <v>0</v>
      </c>
    </row>
    <row r="254" customFormat="false" ht="15" hidden="false" customHeight="false" outlineLevel="0" collapsed="false">
      <c r="A254" s="2" t="n">
        <v>46335</v>
      </c>
      <c r="B254" s="3" t="n">
        <f aca="false">SUMIFS(Equipes!$D$2:$D$60,Equipes!$A$2:$A$60,"LOT-01",Equipes!$B$2:$B$60,"&lt;="&amp;$A254,Equipes!$C$2:$C$60,"&gt;="&amp;$A254)</f>
        <v>0</v>
      </c>
      <c r="C254" s="3" t="n">
        <f aca="false">IF(B254&gt;0,ROUNDUP(B254/Parametres!$B$7,0)+1,0)</f>
        <v>0</v>
      </c>
      <c r="D254" s="3" t="n">
        <f aca="false">SUMIFS(Equipes!$D$2:$D$60,Equipes!$A$2:$A$60,"LOT-02",Equipes!$B$2:$B$60,"&lt;="&amp;$A254,Equipes!$C$2:$C$60,"&gt;="&amp;$A254)</f>
        <v>0</v>
      </c>
      <c r="E254" s="3" t="n">
        <f aca="false">IF(D254&gt;0,ROUNDUP(D254/Parametres!$B$7,0)+1,0)</f>
        <v>0</v>
      </c>
      <c r="F254" s="3" t="n">
        <f aca="false">SUMIFS(Equipes!$D$2:$D$60,Equipes!$A$2:$A$60,"LOT-03",Equipes!$B$2:$B$60,"&lt;="&amp;$A254,Equipes!$C$2:$C$60,"&gt;="&amp;$A254)</f>
        <v>0</v>
      </c>
      <c r="G254" s="3" t="n">
        <f aca="false">IF(F254&gt;0,ROUNDUP(F254/Parametres!$B$7,0)+1,0)</f>
        <v>0</v>
      </c>
      <c r="H254" s="3" t="n">
        <f aca="false">SUMIFS(Equipes!$D$2:$D$60,Equipes!$A$2:$A$60,"LOT-04",Equipes!$B$2:$B$60,"&lt;="&amp;$A254,Equipes!$C$2:$C$60,"&gt;="&amp;$A254)</f>
        <v>28</v>
      </c>
      <c r="I254" s="3" t="n">
        <f aca="false">IF(H254&gt;0,ROUNDUP(H254/Parametres!$B$7,0)+1,0)</f>
        <v>4</v>
      </c>
      <c r="J254" s="3" t="n">
        <f aca="false">SUMIFS(Equipes!$D$2:$D$60,Equipes!$A$2:$A$60,"LOT-05",Equipes!$B$2:$B$60,"&lt;="&amp;$A254,Equipes!$C$2:$C$60,"&gt;="&amp;$A254)</f>
        <v>8</v>
      </c>
      <c r="K254" s="3" t="n">
        <f aca="false">IF(J254&gt;0,ROUNDUP(J254/Parametres!$B$7,0)+1,0)</f>
        <v>2</v>
      </c>
      <c r="L254" s="3" t="n">
        <f aca="false">SUMIFS(Equipes!$D$2:$D$60,Equipes!$A$2:$A$60,"LOT-06",Equipes!$B$2:$B$60,"&lt;="&amp;$A254,Equipes!$C$2:$C$60,"&gt;="&amp;$A254)</f>
        <v>10</v>
      </c>
      <c r="M254" s="3" t="n">
        <f aca="false">IF(L254&gt;0,ROUNDUP(L254/Parametres!$B$7,0)+1,0)</f>
        <v>2</v>
      </c>
      <c r="N254" s="3" t="n">
        <f aca="false">SUMIFS(Equipes!$D$2:$D$60,Equipes!$A$2:$A$60,"LOT-07",Equipes!$B$2:$B$60,"&lt;="&amp;$A254,Equipes!$C$2:$C$60,"&gt;="&amp;$A254)</f>
        <v>0</v>
      </c>
      <c r="O254" s="3" t="n">
        <f aca="false">IF(N254&gt;0,ROUNDUP(N254/Parametres!$B$7,0)+1,0)</f>
        <v>0</v>
      </c>
      <c r="P254" s="3" t="n">
        <f aca="false">SUMIFS(Equipes!$D$2:$D$60,Equipes!$A$2:$A$60,"LOT-08",Equipes!$B$2:$B$60,"&lt;="&amp;$A254,Equipes!$C$2:$C$60,"&gt;="&amp;$A254)</f>
        <v>0</v>
      </c>
      <c r="Q254" s="3" t="n">
        <f aca="false">IF(P254&gt;0,ROUNDUP(P254/Parametres!$B$7,0)+1,0)</f>
        <v>0</v>
      </c>
    </row>
    <row r="255" customFormat="false" ht="15" hidden="false" customHeight="false" outlineLevel="0" collapsed="false">
      <c r="A255" s="2" t="n">
        <v>46336</v>
      </c>
      <c r="B255" s="3" t="n">
        <f aca="false">SUMIFS(Equipes!$D$2:$D$60,Equipes!$A$2:$A$60,"LOT-01",Equipes!$B$2:$B$60,"&lt;="&amp;$A255,Equipes!$C$2:$C$60,"&gt;="&amp;$A255)</f>
        <v>0</v>
      </c>
      <c r="C255" s="3" t="n">
        <f aca="false">IF(B255&gt;0,ROUNDUP(B255/Parametres!$B$7,0)+1,0)</f>
        <v>0</v>
      </c>
      <c r="D255" s="3" t="n">
        <f aca="false">SUMIFS(Equipes!$D$2:$D$60,Equipes!$A$2:$A$60,"LOT-02",Equipes!$B$2:$B$60,"&lt;="&amp;$A255,Equipes!$C$2:$C$60,"&gt;="&amp;$A255)</f>
        <v>0</v>
      </c>
      <c r="E255" s="3" t="n">
        <f aca="false">IF(D255&gt;0,ROUNDUP(D255/Parametres!$B$7,0)+1,0)</f>
        <v>0</v>
      </c>
      <c r="F255" s="3" t="n">
        <f aca="false">SUMIFS(Equipes!$D$2:$D$60,Equipes!$A$2:$A$60,"LOT-03",Equipes!$B$2:$B$60,"&lt;="&amp;$A255,Equipes!$C$2:$C$60,"&gt;="&amp;$A255)</f>
        <v>0</v>
      </c>
      <c r="G255" s="3" t="n">
        <f aca="false">IF(F255&gt;0,ROUNDUP(F255/Parametres!$B$7,0)+1,0)</f>
        <v>0</v>
      </c>
      <c r="H255" s="3" t="n">
        <f aca="false">SUMIFS(Equipes!$D$2:$D$60,Equipes!$A$2:$A$60,"LOT-04",Equipes!$B$2:$B$60,"&lt;="&amp;$A255,Equipes!$C$2:$C$60,"&gt;="&amp;$A255)</f>
        <v>28</v>
      </c>
      <c r="I255" s="3" t="n">
        <f aca="false">IF(H255&gt;0,ROUNDUP(H255/Parametres!$B$7,0)+1,0)</f>
        <v>4</v>
      </c>
      <c r="J255" s="3" t="n">
        <f aca="false">SUMIFS(Equipes!$D$2:$D$60,Equipes!$A$2:$A$60,"LOT-05",Equipes!$B$2:$B$60,"&lt;="&amp;$A255,Equipes!$C$2:$C$60,"&gt;="&amp;$A255)</f>
        <v>8</v>
      </c>
      <c r="K255" s="3" t="n">
        <f aca="false">IF(J255&gt;0,ROUNDUP(J255/Parametres!$B$7,0)+1,0)</f>
        <v>2</v>
      </c>
      <c r="L255" s="3" t="n">
        <f aca="false">SUMIFS(Equipes!$D$2:$D$60,Equipes!$A$2:$A$60,"LOT-06",Equipes!$B$2:$B$60,"&lt;="&amp;$A255,Equipes!$C$2:$C$60,"&gt;="&amp;$A255)</f>
        <v>10</v>
      </c>
      <c r="M255" s="3" t="n">
        <f aca="false">IF(L255&gt;0,ROUNDUP(L255/Parametres!$B$7,0)+1,0)</f>
        <v>2</v>
      </c>
      <c r="N255" s="3" t="n">
        <f aca="false">SUMIFS(Equipes!$D$2:$D$60,Equipes!$A$2:$A$60,"LOT-07",Equipes!$B$2:$B$60,"&lt;="&amp;$A255,Equipes!$C$2:$C$60,"&gt;="&amp;$A255)</f>
        <v>0</v>
      </c>
      <c r="O255" s="3" t="n">
        <f aca="false">IF(N255&gt;0,ROUNDUP(N255/Parametres!$B$7,0)+1,0)</f>
        <v>0</v>
      </c>
      <c r="P255" s="3" t="n">
        <f aca="false">SUMIFS(Equipes!$D$2:$D$60,Equipes!$A$2:$A$60,"LOT-08",Equipes!$B$2:$B$60,"&lt;="&amp;$A255,Equipes!$C$2:$C$60,"&gt;="&amp;$A255)</f>
        <v>0</v>
      </c>
      <c r="Q255" s="3" t="n">
        <f aca="false">IF(P255&gt;0,ROUNDUP(P255/Parametres!$B$7,0)+1,0)</f>
        <v>0</v>
      </c>
    </row>
    <row r="256" customFormat="false" ht="15" hidden="false" customHeight="false" outlineLevel="0" collapsed="false">
      <c r="A256" s="2" t="n">
        <v>46337</v>
      </c>
      <c r="B256" s="3" t="n">
        <f aca="false">SUMIFS(Equipes!$D$2:$D$60,Equipes!$A$2:$A$60,"LOT-01",Equipes!$B$2:$B$60,"&lt;="&amp;$A256,Equipes!$C$2:$C$60,"&gt;="&amp;$A256)</f>
        <v>0</v>
      </c>
      <c r="C256" s="3" t="n">
        <f aca="false">IF(B256&gt;0,ROUNDUP(B256/Parametres!$B$7,0)+1,0)</f>
        <v>0</v>
      </c>
      <c r="D256" s="3" t="n">
        <f aca="false">SUMIFS(Equipes!$D$2:$D$60,Equipes!$A$2:$A$60,"LOT-02",Equipes!$B$2:$B$60,"&lt;="&amp;$A256,Equipes!$C$2:$C$60,"&gt;="&amp;$A256)</f>
        <v>0</v>
      </c>
      <c r="E256" s="3" t="n">
        <f aca="false">IF(D256&gt;0,ROUNDUP(D256/Parametres!$B$7,0)+1,0)</f>
        <v>0</v>
      </c>
      <c r="F256" s="3" t="n">
        <f aca="false">SUMIFS(Equipes!$D$2:$D$60,Equipes!$A$2:$A$60,"LOT-03",Equipes!$B$2:$B$60,"&lt;="&amp;$A256,Equipes!$C$2:$C$60,"&gt;="&amp;$A256)</f>
        <v>0</v>
      </c>
      <c r="G256" s="3" t="n">
        <f aca="false">IF(F256&gt;0,ROUNDUP(F256/Parametres!$B$7,0)+1,0)</f>
        <v>0</v>
      </c>
      <c r="H256" s="3" t="n">
        <f aca="false">SUMIFS(Equipes!$D$2:$D$60,Equipes!$A$2:$A$60,"LOT-04",Equipes!$B$2:$B$60,"&lt;="&amp;$A256,Equipes!$C$2:$C$60,"&gt;="&amp;$A256)</f>
        <v>14</v>
      </c>
      <c r="I256" s="3" t="n">
        <f aca="false">IF(H256&gt;0,ROUNDUP(H256/Parametres!$B$7,0)+1,0)</f>
        <v>3</v>
      </c>
      <c r="J256" s="3" t="n">
        <f aca="false">SUMIFS(Equipes!$D$2:$D$60,Equipes!$A$2:$A$60,"LOT-05",Equipes!$B$2:$B$60,"&lt;="&amp;$A256,Equipes!$C$2:$C$60,"&gt;="&amp;$A256)</f>
        <v>14</v>
      </c>
      <c r="K256" s="3" t="n">
        <f aca="false">IF(J256&gt;0,ROUNDUP(J256/Parametres!$B$7,0)+1,0)</f>
        <v>3</v>
      </c>
      <c r="L256" s="3" t="n">
        <f aca="false">SUMIFS(Equipes!$D$2:$D$60,Equipes!$A$2:$A$60,"LOT-06",Equipes!$B$2:$B$60,"&lt;="&amp;$A256,Equipes!$C$2:$C$60,"&gt;="&amp;$A256)</f>
        <v>10</v>
      </c>
      <c r="M256" s="3" t="n">
        <f aca="false">IF(L256&gt;0,ROUNDUP(L256/Parametres!$B$7,0)+1,0)</f>
        <v>2</v>
      </c>
      <c r="N256" s="3" t="n">
        <f aca="false">SUMIFS(Equipes!$D$2:$D$60,Equipes!$A$2:$A$60,"LOT-07",Equipes!$B$2:$B$60,"&lt;="&amp;$A256,Equipes!$C$2:$C$60,"&gt;="&amp;$A256)</f>
        <v>0</v>
      </c>
      <c r="O256" s="3" t="n">
        <f aca="false">IF(N256&gt;0,ROUNDUP(N256/Parametres!$B$7,0)+1,0)</f>
        <v>0</v>
      </c>
      <c r="P256" s="3" t="n">
        <f aca="false">SUMIFS(Equipes!$D$2:$D$60,Equipes!$A$2:$A$60,"LOT-08",Equipes!$B$2:$B$60,"&lt;="&amp;$A256,Equipes!$C$2:$C$60,"&gt;="&amp;$A256)</f>
        <v>0</v>
      </c>
      <c r="Q256" s="3" t="n">
        <f aca="false">IF(P256&gt;0,ROUNDUP(P256/Parametres!$B$7,0)+1,0)</f>
        <v>0</v>
      </c>
    </row>
    <row r="257" customFormat="false" ht="15" hidden="false" customHeight="false" outlineLevel="0" collapsed="false">
      <c r="A257" s="2" t="n">
        <v>46338</v>
      </c>
      <c r="B257" s="3" t="n">
        <f aca="false">SUMIFS(Equipes!$D$2:$D$60,Equipes!$A$2:$A$60,"LOT-01",Equipes!$B$2:$B$60,"&lt;="&amp;$A257,Equipes!$C$2:$C$60,"&gt;="&amp;$A257)</f>
        <v>0</v>
      </c>
      <c r="C257" s="3" t="n">
        <f aca="false">IF(B257&gt;0,ROUNDUP(B257/Parametres!$B$7,0)+1,0)</f>
        <v>0</v>
      </c>
      <c r="D257" s="3" t="n">
        <f aca="false">SUMIFS(Equipes!$D$2:$D$60,Equipes!$A$2:$A$60,"LOT-02",Equipes!$B$2:$B$60,"&lt;="&amp;$A257,Equipes!$C$2:$C$60,"&gt;="&amp;$A257)</f>
        <v>0</v>
      </c>
      <c r="E257" s="3" t="n">
        <f aca="false">IF(D257&gt;0,ROUNDUP(D257/Parametres!$B$7,0)+1,0)</f>
        <v>0</v>
      </c>
      <c r="F257" s="3" t="n">
        <f aca="false">SUMIFS(Equipes!$D$2:$D$60,Equipes!$A$2:$A$60,"LOT-03",Equipes!$B$2:$B$60,"&lt;="&amp;$A257,Equipes!$C$2:$C$60,"&gt;="&amp;$A257)</f>
        <v>0</v>
      </c>
      <c r="G257" s="3" t="n">
        <f aca="false">IF(F257&gt;0,ROUNDUP(F257/Parametres!$B$7,0)+1,0)</f>
        <v>0</v>
      </c>
      <c r="H257" s="3" t="n">
        <f aca="false">SUMIFS(Equipes!$D$2:$D$60,Equipes!$A$2:$A$60,"LOT-04",Equipes!$B$2:$B$60,"&lt;="&amp;$A257,Equipes!$C$2:$C$60,"&gt;="&amp;$A257)</f>
        <v>14</v>
      </c>
      <c r="I257" s="3" t="n">
        <f aca="false">IF(H257&gt;0,ROUNDUP(H257/Parametres!$B$7,0)+1,0)</f>
        <v>3</v>
      </c>
      <c r="J257" s="3" t="n">
        <f aca="false">SUMIFS(Equipes!$D$2:$D$60,Equipes!$A$2:$A$60,"LOT-05",Equipes!$B$2:$B$60,"&lt;="&amp;$A257,Equipes!$C$2:$C$60,"&gt;="&amp;$A257)</f>
        <v>14</v>
      </c>
      <c r="K257" s="3" t="n">
        <f aca="false">IF(J257&gt;0,ROUNDUP(J257/Parametres!$B$7,0)+1,0)</f>
        <v>3</v>
      </c>
      <c r="L257" s="3" t="n">
        <f aca="false">SUMIFS(Equipes!$D$2:$D$60,Equipes!$A$2:$A$60,"LOT-06",Equipes!$B$2:$B$60,"&lt;="&amp;$A257,Equipes!$C$2:$C$60,"&gt;="&amp;$A257)</f>
        <v>10</v>
      </c>
      <c r="M257" s="3" t="n">
        <f aca="false">IF(L257&gt;0,ROUNDUP(L257/Parametres!$B$7,0)+1,0)</f>
        <v>2</v>
      </c>
      <c r="N257" s="3" t="n">
        <f aca="false">SUMIFS(Equipes!$D$2:$D$60,Equipes!$A$2:$A$60,"LOT-07",Equipes!$B$2:$B$60,"&lt;="&amp;$A257,Equipes!$C$2:$C$60,"&gt;="&amp;$A257)</f>
        <v>0</v>
      </c>
      <c r="O257" s="3" t="n">
        <f aca="false">IF(N257&gt;0,ROUNDUP(N257/Parametres!$B$7,0)+1,0)</f>
        <v>0</v>
      </c>
      <c r="P257" s="3" t="n">
        <f aca="false">SUMIFS(Equipes!$D$2:$D$60,Equipes!$A$2:$A$60,"LOT-08",Equipes!$B$2:$B$60,"&lt;="&amp;$A257,Equipes!$C$2:$C$60,"&gt;="&amp;$A257)</f>
        <v>0</v>
      </c>
      <c r="Q257" s="3" t="n">
        <f aca="false">IF(P257&gt;0,ROUNDUP(P257/Parametres!$B$7,0)+1,0)</f>
        <v>0</v>
      </c>
    </row>
    <row r="258" customFormat="false" ht="15" hidden="false" customHeight="false" outlineLevel="0" collapsed="false">
      <c r="A258" s="2" t="n">
        <v>46339</v>
      </c>
      <c r="B258" s="3" t="n">
        <f aca="false">SUMIFS(Equipes!$D$2:$D$60,Equipes!$A$2:$A$60,"LOT-01",Equipes!$B$2:$B$60,"&lt;="&amp;$A258,Equipes!$C$2:$C$60,"&gt;="&amp;$A258)</f>
        <v>0</v>
      </c>
      <c r="C258" s="3" t="n">
        <f aca="false">IF(B258&gt;0,ROUNDUP(B258/Parametres!$B$7,0)+1,0)</f>
        <v>0</v>
      </c>
      <c r="D258" s="3" t="n">
        <f aca="false">SUMIFS(Equipes!$D$2:$D$60,Equipes!$A$2:$A$60,"LOT-02",Equipes!$B$2:$B$60,"&lt;="&amp;$A258,Equipes!$C$2:$C$60,"&gt;="&amp;$A258)</f>
        <v>0</v>
      </c>
      <c r="E258" s="3" t="n">
        <f aca="false">IF(D258&gt;0,ROUNDUP(D258/Parametres!$B$7,0)+1,0)</f>
        <v>0</v>
      </c>
      <c r="F258" s="3" t="n">
        <f aca="false">SUMIFS(Equipes!$D$2:$D$60,Equipes!$A$2:$A$60,"LOT-03",Equipes!$B$2:$B$60,"&lt;="&amp;$A258,Equipes!$C$2:$C$60,"&gt;="&amp;$A258)</f>
        <v>0</v>
      </c>
      <c r="G258" s="3" t="n">
        <f aca="false">IF(F258&gt;0,ROUNDUP(F258/Parametres!$B$7,0)+1,0)</f>
        <v>0</v>
      </c>
      <c r="H258" s="3" t="n">
        <f aca="false">SUMIFS(Equipes!$D$2:$D$60,Equipes!$A$2:$A$60,"LOT-04",Equipes!$B$2:$B$60,"&lt;="&amp;$A258,Equipes!$C$2:$C$60,"&gt;="&amp;$A258)</f>
        <v>14</v>
      </c>
      <c r="I258" s="3" t="n">
        <f aca="false">IF(H258&gt;0,ROUNDUP(H258/Parametres!$B$7,0)+1,0)</f>
        <v>3</v>
      </c>
      <c r="J258" s="3" t="n">
        <f aca="false">SUMIFS(Equipes!$D$2:$D$60,Equipes!$A$2:$A$60,"LOT-05",Equipes!$B$2:$B$60,"&lt;="&amp;$A258,Equipes!$C$2:$C$60,"&gt;="&amp;$A258)</f>
        <v>14</v>
      </c>
      <c r="K258" s="3" t="n">
        <f aca="false">IF(J258&gt;0,ROUNDUP(J258/Parametres!$B$7,0)+1,0)</f>
        <v>3</v>
      </c>
      <c r="L258" s="3" t="n">
        <f aca="false">SUMIFS(Equipes!$D$2:$D$60,Equipes!$A$2:$A$60,"LOT-06",Equipes!$B$2:$B$60,"&lt;="&amp;$A258,Equipes!$C$2:$C$60,"&gt;="&amp;$A258)</f>
        <v>10</v>
      </c>
      <c r="M258" s="3" t="n">
        <f aca="false">IF(L258&gt;0,ROUNDUP(L258/Parametres!$B$7,0)+1,0)</f>
        <v>2</v>
      </c>
      <c r="N258" s="3" t="n">
        <f aca="false">SUMIFS(Equipes!$D$2:$D$60,Equipes!$A$2:$A$60,"LOT-07",Equipes!$B$2:$B$60,"&lt;="&amp;$A258,Equipes!$C$2:$C$60,"&gt;="&amp;$A258)</f>
        <v>0</v>
      </c>
      <c r="O258" s="3" t="n">
        <f aca="false">IF(N258&gt;0,ROUNDUP(N258/Parametres!$B$7,0)+1,0)</f>
        <v>0</v>
      </c>
      <c r="P258" s="3" t="n">
        <f aca="false">SUMIFS(Equipes!$D$2:$D$60,Equipes!$A$2:$A$60,"LOT-08",Equipes!$B$2:$B$60,"&lt;="&amp;$A258,Equipes!$C$2:$C$60,"&gt;="&amp;$A258)</f>
        <v>0</v>
      </c>
      <c r="Q258" s="3" t="n">
        <f aca="false">IF(P258&gt;0,ROUNDUP(P258/Parametres!$B$7,0)+1,0)</f>
        <v>0</v>
      </c>
    </row>
    <row r="259" customFormat="false" ht="15" hidden="false" customHeight="false" outlineLevel="0" collapsed="false">
      <c r="A259" s="2" t="n">
        <v>46340</v>
      </c>
      <c r="B259" s="3" t="n">
        <f aca="false">SUMIFS(Equipes!$D$2:$D$60,Equipes!$A$2:$A$60,"LOT-01",Equipes!$B$2:$B$60,"&lt;="&amp;$A259,Equipes!$C$2:$C$60,"&gt;="&amp;$A259)</f>
        <v>0</v>
      </c>
      <c r="C259" s="3" t="n">
        <f aca="false">IF(B259&gt;0,ROUNDUP(B259/Parametres!$B$7,0)+1,0)</f>
        <v>0</v>
      </c>
      <c r="D259" s="3" t="n">
        <f aca="false">SUMIFS(Equipes!$D$2:$D$60,Equipes!$A$2:$A$60,"LOT-02",Equipes!$B$2:$B$60,"&lt;="&amp;$A259,Equipes!$C$2:$C$60,"&gt;="&amp;$A259)</f>
        <v>0</v>
      </c>
      <c r="E259" s="3" t="n">
        <f aca="false">IF(D259&gt;0,ROUNDUP(D259/Parametres!$B$7,0)+1,0)</f>
        <v>0</v>
      </c>
      <c r="F259" s="3" t="n">
        <f aca="false">SUMIFS(Equipes!$D$2:$D$60,Equipes!$A$2:$A$60,"LOT-03",Equipes!$B$2:$B$60,"&lt;="&amp;$A259,Equipes!$C$2:$C$60,"&gt;="&amp;$A259)</f>
        <v>0</v>
      </c>
      <c r="G259" s="3" t="n">
        <f aca="false">IF(F259&gt;0,ROUNDUP(F259/Parametres!$B$7,0)+1,0)</f>
        <v>0</v>
      </c>
      <c r="H259" s="3" t="n">
        <f aca="false">SUMIFS(Equipes!$D$2:$D$60,Equipes!$A$2:$A$60,"LOT-04",Equipes!$B$2:$B$60,"&lt;="&amp;$A259,Equipes!$C$2:$C$60,"&gt;="&amp;$A259)</f>
        <v>14</v>
      </c>
      <c r="I259" s="3" t="n">
        <f aca="false">IF(H259&gt;0,ROUNDUP(H259/Parametres!$B$7,0)+1,0)</f>
        <v>3</v>
      </c>
      <c r="J259" s="3" t="n">
        <f aca="false">SUMIFS(Equipes!$D$2:$D$60,Equipes!$A$2:$A$60,"LOT-05",Equipes!$B$2:$B$60,"&lt;="&amp;$A259,Equipes!$C$2:$C$60,"&gt;="&amp;$A259)</f>
        <v>14</v>
      </c>
      <c r="K259" s="3" t="n">
        <f aca="false">IF(J259&gt;0,ROUNDUP(J259/Parametres!$B$7,0)+1,0)</f>
        <v>3</v>
      </c>
      <c r="L259" s="3" t="n">
        <f aca="false">SUMIFS(Equipes!$D$2:$D$60,Equipes!$A$2:$A$60,"LOT-06",Equipes!$B$2:$B$60,"&lt;="&amp;$A259,Equipes!$C$2:$C$60,"&gt;="&amp;$A259)</f>
        <v>10</v>
      </c>
      <c r="M259" s="3" t="n">
        <f aca="false">IF(L259&gt;0,ROUNDUP(L259/Parametres!$B$7,0)+1,0)</f>
        <v>2</v>
      </c>
      <c r="N259" s="3" t="n">
        <f aca="false">SUMIFS(Equipes!$D$2:$D$60,Equipes!$A$2:$A$60,"LOT-07",Equipes!$B$2:$B$60,"&lt;="&amp;$A259,Equipes!$C$2:$C$60,"&gt;="&amp;$A259)</f>
        <v>0</v>
      </c>
      <c r="O259" s="3" t="n">
        <f aca="false">IF(N259&gt;0,ROUNDUP(N259/Parametres!$B$7,0)+1,0)</f>
        <v>0</v>
      </c>
      <c r="P259" s="3" t="n">
        <f aca="false">SUMIFS(Equipes!$D$2:$D$60,Equipes!$A$2:$A$60,"LOT-08",Equipes!$B$2:$B$60,"&lt;="&amp;$A259,Equipes!$C$2:$C$60,"&gt;="&amp;$A259)</f>
        <v>0</v>
      </c>
      <c r="Q259" s="3" t="n">
        <f aca="false">IF(P259&gt;0,ROUNDUP(P259/Parametres!$B$7,0)+1,0)</f>
        <v>0</v>
      </c>
    </row>
    <row r="260" customFormat="false" ht="15" hidden="false" customHeight="false" outlineLevel="0" collapsed="false">
      <c r="A260" s="2" t="n">
        <v>46341</v>
      </c>
      <c r="B260" s="3" t="n">
        <f aca="false">SUMIFS(Equipes!$D$2:$D$60,Equipes!$A$2:$A$60,"LOT-01",Equipes!$B$2:$B$60,"&lt;="&amp;$A260,Equipes!$C$2:$C$60,"&gt;="&amp;$A260)</f>
        <v>0</v>
      </c>
      <c r="C260" s="3" t="n">
        <f aca="false">IF(B260&gt;0,ROUNDUP(B260/Parametres!$B$7,0)+1,0)</f>
        <v>0</v>
      </c>
      <c r="D260" s="3" t="n">
        <f aca="false">SUMIFS(Equipes!$D$2:$D$60,Equipes!$A$2:$A$60,"LOT-02",Equipes!$B$2:$B$60,"&lt;="&amp;$A260,Equipes!$C$2:$C$60,"&gt;="&amp;$A260)</f>
        <v>0</v>
      </c>
      <c r="E260" s="3" t="n">
        <f aca="false">IF(D260&gt;0,ROUNDUP(D260/Parametres!$B$7,0)+1,0)</f>
        <v>0</v>
      </c>
      <c r="F260" s="3" t="n">
        <f aca="false">SUMIFS(Equipes!$D$2:$D$60,Equipes!$A$2:$A$60,"LOT-03",Equipes!$B$2:$B$60,"&lt;="&amp;$A260,Equipes!$C$2:$C$60,"&gt;="&amp;$A260)</f>
        <v>0</v>
      </c>
      <c r="G260" s="3" t="n">
        <f aca="false">IF(F260&gt;0,ROUNDUP(F260/Parametres!$B$7,0)+1,0)</f>
        <v>0</v>
      </c>
      <c r="H260" s="3" t="n">
        <f aca="false">SUMIFS(Equipes!$D$2:$D$60,Equipes!$A$2:$A$60,"LOT-04",Equipes!$B$2:$B$60,"&lt;="&amp;$A260,Equipes!$C$2:$C$60,"&gt;="&amp;$A260)</f>
        <v>14</v>
      </c>
      <c r="I260" s="3" t="n">
        <f aca="false">IF(H260&gt;0,ROUNDUP(H260/Parametres!$B$7,0)+1,0)</f>
        <v>3</v>
      </c>
      <c r="J260" s="3" t="n">
        <f aca="false">SUMIFS(Equipes!$D$2:$D$60,Equipes!$A$2:$A$60,"LOT-05",Equipes!$B$2:$B$60,"&lt;="&amp;$A260,Equipes!$C$2:$C$60,"&gt;="&amp;$A260)</f>
        <v>14</v>
      </c>
      <c r="K260" s="3" t="n">
        <f aca="false">IF(J260&gt;0,ROUNDUP(J260/Parametres!$B$7,0)+1,0)</f>
        <v>3</v>
      </c>
      <c r="L260" s="3" t="n">
        <f aca="false">SUMIFS(Equipes!$D$2:$D$60,Equipes!$A$2:$A$60,"LOT-06",Equipes!$B$2:$B$60,"&lt;="&amp;$A260,Equipes!$C$2:$C$60,"&gt;="&amp;$A260)</f>
        <v>10</v>
      </c>
      <c r="M260" s="3" t="n">
        <f aca="false">IF(L260&gt;0,ROUNDUP(L260/Parametres!$B$7,0)+1,0)</f>
        <v>2</v>
      </c>
      <c r="N260" s="3" t="n">
        <f aca="false">SUMIFS(Equipes!$D$2:$D$60,Equipes!$A$2:$A$60,"LOT-07",Equipes!$B$2:$B$60,"&lt;="&amp;$A260,Equipes!$C$2:$C$60,"&gt;="&amp;$A260)</f>
        <v>0</v>
      </c>
      <c r="O260" s="3" t="n">
        <f aca="false">IF(N260&gt;0,ROUNDUP(N260/Parametres!$B$7,0)+1,0)</f>
        <v>0</v>
      </c>
      <c r="P260" s="3" t="n">
        <f aca="false">SUMIFS(Equipes!$D$2:$D$60,Equipes!$A$2:$A$60,"LOT-08",Equipes!$B$2:$B$60,"&lt;="&amp;$A260,Equipes!$C$2:$C$60,"&gt;="&amp;$A260)</f>
        <v>0</v>
      </c>
      <c r="Q260" s="3" t="n">
        <f aca="false">IF(P260&gt;0,ROUNDUP(P260/Parametres!$B$7,0)+1,0)</f>
        <v>0</v>
      </c>
    </row>
    <row r="261" customFormat="false" ht="15" hidden="false" customHeight="false" outlineLevel="0" collapsed="false">
      <c r="A261" s="2" t="n">
        <v>46342</v>
      </c>
      <c r="B261" s="3" t="n">
        <f aca="false">SUMIFS(Equipes!$D$2:$D$60,Equipes!$A$2:$A$60,"LOT-01",Equipes!$B$2:$B$60,"&lt;="&amp;$A261,Equipes!$C$2:$C$60,"&gt;="&amp;$A261)</f>
        <v>0</v>
      </c>
      <c r="C261" s="3" t="n">
        <f aca="false">IF(B261&gt;0,ROUNDUP(B261/Parametres!$B$7,0)+1,0)</f>
        <v>0</v>
      </c>
      <c r="D261" s="3" t="n">
        <f aca="false">SUMIFS(Equipes!$D$2:$D$60,Equipes!$A$2:$A$60,"LOT-02",Equipes!$B$2:$B$60,"&lt;="&amp;$A261,Equipes!$C$2:$C$60,"&gt;="&amp;$A261)</f>
        <v>0</v>
      </c>
      <c r="E261" s="3" t="n">
        <f aca="false">IF(D261&gt;0,ROUNDUP(D261/Parametres!$B$7,0)+1,0)</f>
        <v>0</v>
      </c>
      <c r="F261" s="3" t="n">
        <f aca="false">SUMIFS(Equipes!$D$2:$D$60,Equipes!$A$2:$A$60,"LOT-03",Equipes!$B$2:$B$60,"&lt;="&amp;$A261,Equipes!$C$2:$C$60,"&gt;="&amp;$A261)</f>
        <v>0</v>
      </c>
      <c r="G261" s="3" t="n">
        <f aca="false">IF(F261&gt;0,ROUNDUP(F261/Parametres!$B$7,0)+1,0)</f>
        <v>0</v>
      </c>
      <c r="H261" s="3" t="n">
        <f aca="false">SUMIFS(Equipes!$D$2:$D$60,Equipes!$A$2:$A$60,"LOT-04",Equipes!$B$2:$B$60,"&lt;="&amp;$A261,Equipes!$C$2:$C$60,"&gt;="&amp;$A261)</f>
        <v>14</v>
      </c>
      <c r="I261" s="3" t="n">
        <f aca="false">IF(H261&gt;0,ROUNDUP(H261/Parametres!$B$7,0)+1,0)</f>
        <v>3</v>
      </c>
      <c r="J261" s="3" t="n">
        <f aca="false">SUMIFS(Equipes!$D$2:$D$60,Equipes!$A$2:$A$60,"LOT-05",Equipes!$B$2:$B$60,"&lt;="&amp;$A261,Equipes!$C$2:$C$60,"&gt;="&amp;$A261)</f>
        <v>14</v>
      </c>
      <c r="K261" s="3" t="n">
        <f aca="false">IF(J261&gt;0,ROUNDUP(J261/Parametres!$B$7,0)+1,0)</f>
        <v>3</v>
      </c>
      <c r="L261" s="3" t="n">
        <f aca="false">SUMIFS(Equipes!$D$2:$D$60,Equipes!$A$2:$A$60,"LOT-06",Equipes!$B$2:$B$60,"&lt;="&amp;$A261,Equipes!$C$2:$C$60,"&gt;="&amp;$A261)</f>
        <v>10</v>
      </c>
      <c r="M261" s="3" t="n">
        <f aca="false">IF(L261&gt;0,ROUNDUP(L261/Parametres!$B$7,0)+1,0)</f>
        <v>2</v>
      </c>
      <c r="N261" s="3" t="n">
        <f aca="false">SUMIFS(Equipes!$D$2:$D$60,Equipes!$A$2:$A$60,"LOT-07",Equipes!$B$2:$B$60,"&lt;="&amp;$A261,Equipes!$C$2:$C$60,"&gt;="&amp;$A261)</f>
        <v>0</v>
      </c>
      <c r="O261" s="3" t="n">
        <f aca="false">IF(N261&gt;0,ROUNDUP(N261/Parametres!$B$7,0)+1,0)</f>
        <v>0</v>
      </c>
      <c r="P261" s="3" t="n">
        <f aca="false">SUMIFS(Equipes!$D$2:$D$60,Equipes!$A$2:$A$60,"LOT-08",Equipes!$B$2:$B$60,"&lt;="&amp;$A261,Equipes!$C$2:$C$60,"&gt;="&amp;$A261)</f>
        <v>0</v>
      </c>
      <c r="Q261" s="3" t="n">
        <f aca="false">IF(P261&gt;0,ROUNDUP(P261/Parametres!$B$7,0)+1,0)</f>
        <v>0</v>
      </c>
    </row>
    <row r="262" customFormat="false" ht="15" hidden="false" customHeight="false" outlineLevel="0" collapsed="false">
      <c r="A262" s="2" t="n">
        <v>46343</v>
      </c>
      <c r="B262" s="3" t="n">
        <f aca="false">SUMIFS(Equipes!$D$2:$D$60,Equipes!$A$2:$A$60,"LOT-01",Equipes!$B$2:$B$60,"&lt;="&amp;$A262,Equipes!$C$2:$C$60,"&gt;="&amp;$A262)</f>
        <v>0</v>
      </c>
      <c r="C262" s="3" t="n">
        <f aca="false">IF(B262&gt;0,ROUNDUP(B262/Parametres!$B$7,0)+1,0)</f>
        <v>0</v>
      </c>
      <c r="D262" s="3" t="n">
        <f aca="false">SUMIFS(Equipes!$D$2:$D$60,Equipes!$A$2:$A$60,"LOT-02",Equipes!$B$2:$B$60,"&lt;="&amp;$A262,Equipes!$C$2:$C$60,"&gt;="&amp;$A262)</f>
        <v>0</v>
      </c>
      <c r="E262" s="3" t="n">
        <f aca="false">IF(D262&gt;0,ROUNDUP(D262/Parametres!$B$7,0)+1,0)</f>
        <v>0</v>
      </c>
      <c r="F262" s="3" t="n">
        <f aca="false">SUMIFS(Equipes!$D$2:$D$60,Equipes!$A$2:$A$60,"LOT-03",Equipes!$B$2:$B$60,"&lt;="&amp;$A262,Equipes!$C$2:$C$60,"&gt;="&amp;$A262)</f>
        <v>0</v>
      </c>
      <c r="G262" s="3" t="n">
        <f aca="false">IF(F262&gt;0,ROUNDUP(F262/Parametres!$B$7,0)+1,0)</f>
        <v>0</v>
      </c>
      <c r="H262" s="3" t="n">
        <f aca="false">SUMIFS(Equipes!$D$2:$D$60,Equipes!$A$2:$A$60,"LOT-04",Equipes!$B$2:$B$60,"&lt;="&amp;$A262,Equipes!$C$2:$C$60,"&gt;="&amp;$A262)</f>
        <v>14</v>
      </c>
      <c r="I262" s="3" t="n">
        <f aca="false">IF(H262&gt;0,ROUNDUP(H262/Parametres!$B$7,0)+1,0)</f>
        <v>3</v>
      </c>
      <c r="J262" s="3" t="n">
        <f aca="false">SUMIFS(Equipes!$D$2:$D$60,Equipes!$A$2:$A$60,"LOT-05",Equipes!$B$2:$B$60,"&lt;="&amp;$A262,Equipes!$C$2:$C$60,"&gt;="&amp;$A262)</f>
        <v>14</v>
      </c>
      <c r="K262" s="3" t="n">
        <f aca="false">IF(J262&gt;0,ROUNDUP(J262/Parametres!$B$7,0)+1,0)</f>
        <v>3</v>
      </c>
      <c r="L262" s="3" t="n">
        <f aca="false">SUMIFS(Equipes!$D$2:$D$60,Equipes!$A$2:$A$60,"LOT-06",Equipes!$B$2:$B$60,"&lt;="&amp;$A262,Equipes!$C$2:$C$60,"&gt;="&amp;$A262)</f>
        <v>10</v>
      </c>
      <c r="M262" s="3" t="n">
        <f aca="false">IF(L262&gt;0,ROUNDUP(L262/Parametres!$B$7,0)+1,0)</f>
        <v>2</v>
      </c>
      <c r="N262" s="3" t="n">
        <f aca="false">SUMIFS(Equipes!$D$2:$D$60,Equipes!$A$2:$A$60,"LOT-07",Equipes!$B$2:$B$60,"&lt;="&amp;$A262,Equipes!$C$2:$C$60,"&gt;="&amp;$A262)</f>
        <v>0</v>
      </c>
      <c r="O262" s="3" t="n">
        <f aca="false">IF(N262&gt;0,ROUNDUP(N262/Parametres!$B$7,0)+1,0)</f>
        <v>0</v>
      </c>
      <c r="P262" s="3" t="n">
        <f aca="false">SUMIFS(Equipes!$D$2:$D$60,Equipes!$A$2:$A$60,"LOT-08",Equipes!$B$2:$B$60,"&lt;="&amp;$A262,Equipes!$C$2:$C$60,"&gt;="&amp;$A262)</f>
        <v>0</v>
      </c>
      <c r="Q262" s="3" t="n">
        <f aca="false">IF(P262&gt;0,ROUNDUP(P262/Parametres!$B$7,0)+1,0)</f>
        <v>0</v>
      </c>
    </row>
    <row r="263" customFormat="false" ht="15" hidden="false" customHeight="false" outlineLevel="0" collapsed="false">
      <c r="A263" s="2" t="n">
        <v>46344</v>
      </c>
      <c r="B263" s="3" t="n">
        <f aca="false">SUMIFS(Equipes!$D$2:$D$60,Equipes!$A$2:$A$60,"LOT-01",Equipes!$B$2:$B$60,"&lt;="&amp;$A263,Equipes!$C$2:$C$60,"&gt;="&amp;$A263)</f>
        <v>0</v>
      </c>
      <c r="C263" s="3" t="n">
        <f aca="false">IF(B263&gt;0,ROUNDUP(B263/Parametres!$B$7,0)+1,0)</f>
        <v>0</v>
      </c>
      <c r="D263" s="3" t="n">
        <f aca="false">SUMIFS(Equipes!$D$2:$D$60,Equipes!$A$2:$A$60,"LOT-02",Equipes!$B$2:$B$60,"&lt;="&amp;$A263,Equipes!$C$2:$C$60,"&gt;="&amp;$A263)</f>
        <v>0</v>
      </c>
      <c r="E263" s="3" t="n">
        <f aca="false">IF(D263&gt;0,ROUNDUP(D263/Parametres!$B$7,0)+1,0)</f>
        <v>0</v>
      </c>
      <c r="F263" s="3" t="n">
        <f aca="false">SUMIFS(Equipes!$D$2:$D$60,Equipes!$A$2:$A$60,"LOT-03",Equipes!$B$2:$B$60,"&lt;="&amp;$A263,Equipes!$C$2:$C$60,"&gt;="&amp;$A263)</f>
        <v>0</v>
      </c>
      <c r="G263" s="3" t="n">
        <f aca="false">IF(F263&gt;0,ROUNDUP(F263/Parametres!$B$7,0)+1,0)</f>
        <v>0</v>
      </c>
      <c r="H263" s="3" t="n">
        <f aca="false">SUMIFS(Equipes!$D$2:$D$60,Equipes!$A$2:$A$60,"LOT-04",Equipes!$B$2:$B$60,"&lt;="&amp;$A263,Equipes!$C$2:$C$60,"&gt;="&amp;$A263)</f>
        <v>14</v>
      </c>
      <c r="I263" s="3" t="n">
        <f aca="false">IF(H263&gt;0,ROUNDUP(H263/Parametres!$B$7,0)+1,0)</f>
        <v>3</v>
      </c>
      <c r="J263" s="3" t="n">
        <f aca="false">SUMIFS(Equipes!$D$2:$D$60,Equipes!$A$2:$A$60,"LOT-05",Equipes!$B$2:$B$60,"&lt;="&amp;$A263,Equipes!$C$2:$C$60,"&gt;="&amp;$A263)</f>
        <v>14</v>
      </c>
      <c r="K263" s="3" t="n">
        <f aca="false">IF(J263&gt;0,ROUNDUP(J263/Parametres!$B$7,0)+1,0)</f>
        <v>3</v>
      </c>
      <c r="L263" s="3" t="n">
        <f aca="false">SUMIFS(Equipes!$D$2:$D$60,Equipes!$A$2:$A$60,"LOT-06",Equipes!$B$2:$B$60,"&lt;="&amp;$A263,Equipes!$C$2:$C$60,"&gt;="&amp;$A263)</f>
        <v>10</v>
      </c>
      <c r="M263" s="3" t="n">
        <f aca="false">IF(L263&gt;0,ROUNDUP(L263/Parametres!$B$7,0)+1,0)</f>
        <v>2</v>
      </c>
      <c r="N263" s="3" t="n">
        <f aca="false">SUMIFS(Equipes!$D$2:$D$60,Equipes!$A$2:$A$60,"LOT-07",Equipes!$B$2:$B$60,"&lt;="&amp;$A263,Equipes!$C$2:$C$60,"&gt;="&amp;$A263)</f>
        <v>0</v>
      </c>
      <c r="O263" s="3" t="n">
        <f aca="false">IF(N263&gt;0,ROUNDUP(N263/Parametres!$B$7,0)+1,0)</f>
        <v>0</v>
      </c>
      <c r="P263" s="3" t="n">
        <f aca="false">SUMIFS(Equipes!$D$2:$D$60,Equipes!$A$2:$A$60,"LOT-08",Equipes!$B$2:$B$60,"&lt;="&amp;$A263,Equipes!$C$2:$C$60,"&gt;="&amp;$A263)</f>
        <v>0</v>
      </c>
      <c r="Q263" s="3" t="n">
        <f aca="false">IF(P263&gt;0,ROUNDUP(P263/Parametres!$B$7,0)+1,0)</f>
        <v>0</v>
      </c>
    </row>
    <row r="264" customFormat="false" ht="15" hidden="false" customHeight="false" outlineLevel="0" collapsed="false">
      <c r="A264" s="2" t="n">
        <v>46345</v>
      </c>
      <c r="B264" s="3" t="n">
        <f aca="false">SUMIFS(Equipes!$D$2:$D$60,Equipes!$A$2:$A$60,"LOT-01",Equipes!$B$2:$B$60,"&lt;="&amp;$A264,Equipes!$C$2:$C$60,"&gt;="&amp;$A264)</f>
        <v>0</v>
      </c>
      <c r="C264" s="3" t="n">
        <f aca="false">IF(B264&gt;0,ROUNDUP(B264/Parametres!$B$7,0)+1,0)</f>
        <v>0</v>
      </c>
      <c r="D264" s="3" t="n">
        <f aca="false">SUMIFS(Equipes!$D$2:$D$60,Equipes!$A$2:$A$60,"LOT-02",Equipes!$B$2:$B$60,"&lt;="&amp;$A264,Equipes!$C$2:$C$60,"&gt;="&amp;$A264)</f>
        <v>0</v>
      </c>
      <c r="E264" s="3" t="n">
        <f aca="false">IF(D264&gt;0,ROUNDUP(D264/Parametres!$B$7,0)+1,0)</f>
        <v>0</v>
      </c>
      <c r="F264" s="3" t="n">
        <f aca="false">SUMIFS(Equipes!$D$2:$D$60,Equipes!$A$2:$A$60,"LOT-03",Equipes!$B$2:$B$60,"&lt;="&amp;$A264,Equipes!$C$2:$C$60,"&gt;="&amp;$A264)</f>
        <v>0</v>
      </c>
      <c r="G264" s="3" t="n">
        <f aca="false">IF(F264&gt;0,ROUNDUP(F264/Parametres!$B$7,0)+1,0)</f>
        <v>0</v>
      </c>
      <c r="H264" s="3" t="n">
        <f aca="false">SUMIFS(Equipes!$D$2:$D$60,Equipes!$A$2:$A$60,"LOT-04",Equipes!$B$2:$B$60,"&lt;="&amp;$A264,Equipes!$C$2:$C$60,"&gt;="&amp;$A264)</f>
        <v>0</v>
      </c>
      <c r="I264" s="3" t="n">
        <f aca="false">IF(H264&gt;0,ROUNDUP(H264/Parametres!$B$7,0)+1,0)</f>
        <v>0</v>
      </c>
      <c r="J264" s="3" t="n">
        <f aca="false">SUMIFS(Equipes!$D$2:$D$60,Equipes!$A$2:$A$60,"LOT-05",Equipes!$B$2:$B$60,"&lt;="&amp;$A264,Equipes!$C$2:$C$60,"&gt;="&amp;$A264)</f>
        <v>14</v>
      </c>
      <c r="K264" s="3" t="n">
        <f aca="false">IF(J264&gt;0,ROUNDUP(J264/Parametres!$B$7,0)+1,0)</f>
        <v>3</v>
      </c>
      <c r="L264" s="3" t="n">
        <f aca="false">SUMIFS(Equipes!$D$2:$D$60,Equipes!$A$2:$A$60,"LOT-06",Equipes!$B$2:$B$60,"&lt;="&amp;$A264,Equipes!$C$2:$C$60,"&gt;="&amp;$A264)</f>
        <v>20</v>
      </c>
      <c r="M264" s="3" t="n">
        <f aca="false">IF(L264&gt;0,ROUNDUP(L264/Parametres!$B$7,0)+1,0)</f>
        <v>3</v>
      </c>
      <c r="N264" s="3" t="n">
        <f aca="false">SUMIFS(Equipes!$D$2:$D$60,Equipes!$A$2:$A$60,"LOT-07",Equipes!$B$2:$B$60,"&lt;="&amp;$A264,Equipes!$C$2:$C$60,"&gt;="&amp;$A264)</f>
        <v>0</v>
      </c>
      <c r="O264" s="3" t="n">
        <f aca="false">IF(N264&gt;0,ROUNDUP(N264/Parametres!$B$7,0)+1,0)</f>
        <v>0</v>
      </c>
      <c r="P264" s="3" t="n">
        <f aca="false">SUMIFS(Equipes!$D$2:$D$60,Equipes!$A$2:$A$60,"LOT-08",Equipes!$B$2:$B$60,"&lt;="&amp;$A264,Equipes!$C$2:$C$60,"&gt;="&amp;$A264)</f>
        <v>0</v>
      </c>
      <c r="Q264" s="3" t="n">
        <f aca="false">IF(P264&gt;0,ROUNDUP(P264/Parametres!$B$7,0)+1,0)</f>
        <v>0</v>
      </c>
    </row>
    <row r="265" customFormat="false" ht="15" hidden="false" customHeight="false" outlineLevel="0" collapsed="false">
      <c r="A265" s="2" t="n">
        <v>46346</v>
      </c>
      <c r="B265" s="3" t="n">
        <f aca="false">SUMIFS(Equipes!$D$2:$D$60,Equipes!$A$2:$A$60,"LOT-01",Equipes!$B$2:$B$60,"&lt;="&amp;$A265,Equipes!$C$2:$C$60,"&gt;="&amp;$A265)</f>
        <v>0</v>
      </c>
      <c r="C265" s="3" t="n">
        <f aca="false">IF(B265&gt;0,ROUNDUP(B265/Parametres!$B$7,0)+1,0)</f>
        <v>0</v>
      </c>
      <c r="D265" s="3" t="n">
        <f aca="false">SUMIFS(Equipes!$D$2:$D$60,Equipes!$A$2:$A$60,"LOT-02",Equipes!$B$2:$B$60,"&lt;="&amp;$A265,Equipes!$C$2:$C$60,"&gt;="&amp;$A265)</f>
        <v>0</v>
      </c>
      <c r="E265" s="3" t="n">
        <f aca="false">IF(D265&gt;0,ROUNDUP(D265/Parametres!$B$7,0)+1,0)</f>
        <v>0</v>
      </c>
      <c r="F265" s="3" t="n">
        <f aca="false">SUMIFS(Equipes!$D$2:$D$60,Equipes!$A$2:$A$60,"LOT-03",Equipes!$B$2:$B$60,"&lt;="&amp;$A265,Equipes!$C$2:$C$60,"&gt;="&amp;$A265)</f>
        <v>0</v>
      </c>
      <c r="G265" s="3" t="n">
        <f aca="false">IF(F265&gt;0,ROUNDUP(F265/Parametres!$B$7,0)+1,0)</f>
        <v>0</v>
      </c>
      <c r="H265" s="3" t="n">
        <f aca="false">SUMIFS(Equipes!$D$2:$D$60,Equipes!$A$2:$A$60,"LOT-04",Equipes!$B$2:$B$60,"&lt;="&amp;$A265,Equipes!$C$2:$C$60,"&gt;="&amp;$A265)</f>
        <v>0</v>
      </c>
      <c r="I265" s="3" t="n">
        <f aca="false">IF(H265&gt;0,ROUNDUP(H265/Parametres!$B$7,0)+1,0)</f>
        <v>0</v>
      </c>
      <c r="J265" s="3" t="n">
        <f aca="false">SUMIFS(Equipes!$D$2:$D$60,Equipes!$A$2:$A$60,"LOT-05",Equipes!$B$2:$B$60,"&lt;="&amp;$A265,Equipes!$C$2:$C$60,"&gt;="&amp;$A265)</f>
        <v>14</v>
      </c>
      <c r="K265" s="3" t="n">
        <f aca="false">IF(J265&gt;0,ROUNDUP(J265/Parametres!$B$7,0)+1,0)</f>
        <v>3</v>
      </c>
      <c r="L265" s="3" t="n">
        <f aca="false">SUMIFS(Equipes!$D$2:$D$60,Equipes!$A$2:$A$60,"LOT-06",Equipes!$B$2:$B$60,"&lt;="&amp;$A265,Equipes!$C$2:$C$60,"&gt;="&amp;$A265)</f>
        <v>20</v>
      </c>
      <c r="M265" s="3" t="n">
        <f aca="false">IF(L265&gt;0,ROUNDUP(L265/Parametres!$B$7,0)+1,0)</f>
        <v>3</v>
      </c>
      <c r="N265" s="3" t="n">
        <f aca="false">SUMIFS(Equipes!$D$2:$D$60,Equipes!$A$2:$A$60,"LOT-07",Equipes!$B$2:$B$60,"&lt;="&amp;$A265,Equipes!$C$2:$C$60,"&gt;="&amp;$A265)</f>
        <v>0</v>
      </c>
      <c r="O265" s="3" t="n">
        <f aca="false">IF(N265&gt;0,ROUNDUP(N265/Parametres!$B$7,0)+1,0)</f>
        <v>0</v>
      </c>
      <c r="P265" s="3" t="n">
        <f aca="false">SUMIFS(Equipes!$D$2:$D$60,Equipes!$A$2:$A$60,"LOT-08",Equipes!$B$2:$B$60,"&lt;="&amp;$A265,Equipes!$C$2:$C$60,"&gt;="&amp;$A265)</f>
        <v>0</v>
      </c>
      <c r="Q265" s="3" t="n">
        <f aca="false">IF(P265&gt;0,ROUNDUP(P265/Parametres!$B$7,0)+1,0)</f>
        <v>0</v>
      </c>
    </row>
    <row r="266" customFormat="false" ht="15" hidden="false" customHeight="false" outlineLevel="0" collapsed="false">
      <c r="A266" s="2" t="n">
        <v>46347</v>
      </c>
      <c r="B266" s="3" t="n">
        <f aca="false">SUMIFS(Equipes!$D$2:$D$60,Equipes!$A$2:$A$60,"LOT-01",Equipes!$B$2:$B$60,"&lt;="&amp;$A266,Equipes!$C$2:$C$60,"&gt;="&amp;$A266)</f>
        <v>0</v>
      </c>
      <c r="C266" s="3" t="n">
        <f aca="false">IF(B266&gt;0,ROUNDUP(B266/Parametres!$B$7,0)+1,0)</f>
        <v>0</v>
      </c>
      <c r="D266" s="3" t="n">
        <f aca="false">SUMIFS(Equipes!$D$2:$D$60,Equipes!$A$2:$A$60,"LOT-02",Equipes!$B$2:$B$60,"&lt;="&amp;$A266,Equipes!$C$2:$C$60,"&gt;="&amp;$A266)</f>
        <v>0</v>
      </c>
      <c r="E266" s="3" t="n">
        <f aca="false">IF(D266&gt;0,ROUNDUP(D266/Parametres!$B$7,0)+1,0)</f>
        <v>0</v>
      </c>
      <c r="F266" s="3" t="n">
        <f aca="false">SUMIFS(Equipes!$D$2:$D$60,Equipes!$A$2:$A$60,"LOT-03",Equipes!$B$2:$B$60,"&lt;="&amp;$A266,Equipes!$C$2:$C$60,"&gt;="&amp;$A266)</f>
        <v>0</v>
      </c>
      <c r="G266" s="3" t="n">
        <f aca="false">IF(F266&gt;0,ROUNDUP(F266/Parametres!$B$7,0)+1,0)</f>
        <v>0</v>
      </c>
      <c r="H266" s="3" t="n">
        <f aca="false">SUMIFS(Equipes!$D$2:$D$60,Equipes!$A$2:$A$60,"LOT-04",Equipes!$B$2:$B$60,"&lt;="&amp;$A266,Equipes!$C$2:$C$60,"&gt;="&amp;$A266)</f>
        <v>0</v>
      </c>
      <c r="I266" s="3" t="n">
        <f aca="false">IF(H266&gt;0,ROUNDUP(H266/Parametres!$B$7,0)+1,0)</f>
        <v>0</v>
      </c>
      <c r="J266" s="3" t="n">
        <f aca="false">SUMIFS(Equipes!$D$2:$D$60,Equipes!$A$2:$A$60,"LOT-05",Equipes!$B$2:$B$60,"&lt;="&amp;$A266,Equipes!$C$2:$C$60,"&gt;="&amp;$A266)</f>
        <v>14</v>
      </c>
      <c r="K266" s="3" t="n">
        <f aca="false">IF(J266&gt;0,ROUNDUP(J266/Parametres!$B$7,0)+1,0)</f>
        <v>3</v>
      </c>
      <c r="L266" s="3" t="n">
        <f aca="false">SUMIFS(Equipes!$D$2:$D$60,Equipes!$A$2:$A$60,"LOT-06",Equipes!$B$2:$B$60,"&lt;="&amp;$A266,Equipes!$C$2:$C$60,"&gt;="&amp;$A266)</f>
        <v>20</v>
      </c>
      <c r="M266" s="3" t="n">
        <f aca="false">IF(L266&gt;0,ROUNDUP(L266/Parametres!$B$7,0)+1,0)</f>
        <v>3</v>
      </c>
      <c r="N266" s="3" t="n">
        <f aca="false">SUMIFS(Equipes!$D$2:$D$60,Equipes!$A$2:$A$60,"LOT-07",Equipes!$B$2:$B$60,"&lt;="&amp;$A266,Equipes!$C$2:$C$60,"&gt;="&amp;$A266)</f>
        <v>0</v>
      </c>
      <c r="O266" s="3" t="n">
        <f aca="false">IF(N266&gt;0,ROUNDUP(N266/Parametres!$B$7,0)+1,0)</f>
        <v>0</v>
      </c>
      <c r="P266" s="3" t="n">
        <f aca="false">SUMIFS(Equipes!$D$2:$D$60,Equipes!$A$2:$A$60,"LOT-08",Equipes!$B$2:$B$60,"&lt;="&amp;$A266,Equipes!$C$2:$C$60,"&gt;="&amp;$A266)</f>
        <v>0</v>
      </c>
      <c r="Q266" s="3" t="n">
        <f aca="false">IF(P266&gt;0,ROUNDUP(P266/Parametres!$B$7,0)+1,0)</f>
        <v>0</v>
      </c>
    </row>
    <row r="267" customFormat="false" ht="15" hidden="false" customHeight="false" outlineLevel="0" collapsed="false">
      <c r="A267" s="2" t="n">
        <v>46348</v>
      </c>
      <c r="B267" s="3" t="n">
        <f aca="false">SUMIFS(Equipes!$D$2:$D$60,Equipes!$A$2:$A$60,"LOT-01",Equipes!$B$2:$B$60,"&lt;="&amp;$A267,Equipes!$C$2:$C$60,"&gt;="&amp;$A267)</f>
        <v>0</v>
      </c>
      <c r="C267" s="3" t="n">
        <f aca="false">IF(B267&gt;0,ROUNDUP(B267/Parametres!$B$7,0)+1,0)</f>
        <v>0</v>
      </c>
      <c r="D267" s="3" t="n">
        <f aca="false">SUMIFS(Equipes!$D$2:$D$60,Equipes!$A$2:$A$60,"LOT-02",Equipes!$B$2:$B$60,"&lt;="&amp;$A267,Equipes!$C$2:$C$60,"&gt;="&amp;$A267)</f>
        <v>0</v>
      </c>
      <c r="E267" s="3" t="n">
        <f aca="false">IF(D267&gt;0,ROUNDUP(D267/Parametres!$B$7,0)+1,0)</f>
        <v>0</v>
      </c>
      <c r="F267" s="3" t="n">
        <f aca="false">SUMIFS(Equipes!$D$2:$D$60,Equipes!$A$2:$A$60,"LOT-03",Equipes!$B$2:$B$60,"&lt;="&amp;$A267,Equipes!$C$2:$C$60,"&gt;="&amp;$A267)</f>
        <v>0</v>
      </c>
      <c r="G267" s="3" t="n">
        <f aca="false">IF(F267&gt;0,ROUNDUP(F267/Parametres!$B$7,0)+1,0)</f>
        <v>0</v>
      </c>
      <c r="H267" s="3" t="n">
        <f aca="false">SUMIFS(Equipes!$D$2:$D$60,Equipes!$A$2:$A$60,"LOT-04",Equipes!$B$2:$B$60,"&lt;="&amp;$A267,Equipes!$C$2:$C$60,"&gt;="&amp;$A267)</f>
        <v>0</v>
      </c>
      <c r="I267" s="3" t="n">
        <f aca="false">IF(H267&gt;0,ROUNDUP(H267/Parametres!$B$7,0)+1,0)</f>
        <v>0</v>
      </c>
      <c r="J267" s="3" t="n">
        <f aca="false">SUMIFS(Equipes!$D$2:$D$60,Equipes!$A$2:$A$60,"LOT-05",Equipes!$B$2:$B$60,"&lt;="&amp;$A267,Equipes!$C$2:$C$60,"&gt;="&amp;$A267)</f>
        <v>14</v>
      </c>
      <c r="K267" s="3" t="n">
        <f aca="false">IF(J267&gt;0,ROUNDUP(J267/Parametres!$B$7,0)+1,0)</f>
        <v>3</v>
      </c>
      <c r="L267" s="3" t="n">
        <f aca="false">SUMIFS(Equipes!$D$2:$D$60,Equipes!$A$2:$A$60,"LOT-06",Equipes!$B$2:$B$60,"&lt;="&amp;$A267,Equipes!$C$2:$C$60,"&gt;="&amp;$A267)</f>
        <v>20</v>
      </c>
      <c r="M267" s="3" t="n">
        <f aca="false">IF(L267&gt;0,ROUNDUP(L267/Parametres!$B$7,0)+1,0)</f>
        <v>3</v>
      </c>
      <c r="N267" s="3" t="n">
        <f aca="false">SUMIFS(Equipes!$D$2:$D$60,Equipes!$A$2:$A$60,"LOT-07",Equipes!$B$2:$B$60,"&lt;="&amp;$A267,Equipes!$C$2:$C$60,"&gt;="&amp;$A267)</f>
        <v>0</v>
      </c>
      <c r="O267" s="3" t="n">
        <f aca="false">IF(N267&gt;0,ROUNDUP(N267/Parametres!$B$7,0)+1,0)</f>
        <v>0</v>
      </c>
      <c r="P267" s="3" t="n">
        <f aca="false">SUMIFS(Equipes!$D$2:$D$60,Equipes!$A$2:$A$60,"LOT-08",Equipes!$B$2:$B$60,"&lt;="&amp;$A267,Equipes!$C$2:$C$60,"&gt;="&amp;$A267)</f>
        <v>0</v>
      </c>
      <c r="Q267" s="3" t="n">
        <f aca="false">IF(P267&gt;0,ROUNDUP(P267/Parametres!$B$7,0)+1,0)</f>
        <v>0</v>
      </c>
    </row>
    <row r="268" customFormat="false" ht="15" hidden="false" customHeight="false" outlineLevel="0" collapsed="false">
      <c r="A268" s="2" t="n">
        <v>46349</v>
      </c>
      <c r="B268" s="3" t="n">
        <f aca="false">SUMIFS(Equipes!$D$2:$D$60,Equipes!$A$2:$A$60,"LOT-01",Equipes!$B$2:$B$60,"&lt;="&amp;$A268,Equipes!$C$2:$C$60,"&gt;="&amp;$A268)</f>
        <v>0</v>
      </c>
      <c r="C268" s="3" t="n">
        <f aca="false">IF(B268&gt;0,ROUNDUP(B268/Parametres!$B$7,0)+1,0)</f>
        <v>0</v>
      </c>
      <c r="D268" s="3" t="n">
        <f aca="false">SUMIFS(Equipes!$D$2:$D$60,Equipes!$A$2:$A$60,"LOT-02",Equipes!$B$2:$B$60,"&lt;="&amp;$A268,Equipes!$C$2:$C$60,"&gt;="&amp;$A268)</f>
        <v>0</v>
      </c>
      <c r="E268" s="3" t="n">
        <f aca="false">IF(D268&gt;0,ROUNDUP(D268/Parametres!$B$7,0)+1,0)</f>
        <v>0</v>
      </c>
      <c r="F268" s="3" t="n">
        <f aca="false">SUMIFS(Equipes!$D$2:$D$60,Equipes!$A$2:$A$60,"LOT-03",Equipes!$B$2:$B$60,"&lt;="&amp;$A268,Equipes!$C$2:$C$60,"&gt;="&amp;$A268)</f>
        <v>0</v>
      </c>
      <c r="G268" s="3" t="n">
        <f aca="false">IF(F268&gt;0,ROUNDUP(F268/Parametres!$B$7,0)+1,0)</f>
        <v>0</v>
      </c>
      <c r="H268" s="3" t="n">
        <f aca="false">SUMIFS(Equipes!$D$2:$D$60,Equipes!$A$2:$A$60,"LOT-04",Equipes!$B$2:$B$60,"&lt;="&amp;$A268,Equipes!$C$2:$C$60,"&gt;="&amp;$A268)</f>
        <v>0</v>
      </c>
      <c r="I268" s="3" t="n">
        <f aca="false">IF(H268&gt;0,ROUNDUP(H268/Parametres!$B$7,0)+1,0)</f>
        <v>0</v>
      </c>
      <c r="J268" s="3" t="n">
        <f aca="false">SUMIFS(Equipes!$D$2:$D$60,Equipes!$A$2:$A$60,"LOT-05",Equipes!$B$2:$B$60,"&lt;="&amp;$A268,Equipes!$C$2:$C$60,"&gt;="&amp;$A268)</f>
        <v>14</v>
      </c>
      <c r="K268" s="3" t="n">
        <f aca="false">IF(J268&gt;0,ROUNDUP(J268/Parametres!$B$7,0)+1,0)</f>
        <v>3</v>
      </c>
      <c r="L268" s="3" t="n">
        <f aca="false">SUMIFS(Equipes!$D$2:$D$60,Equipes!$A$2:$A$60,"LOT-06",Equipes!$B$2:$B$60,"&lt;="&amp;$A268,Equipes!$C$2:$C$60,"&gt;="&amp;$A268)</f>
        <v>20</v>
      </c>
      <c r="M268" s="3" t="n">
        <f aca="false">IF(L268&gt;0,ROUNDUP(L268/Parametres!$B$7,0)+1,0)</f>
        <v>3</v>
      </c>
      <c r="N268" s="3" t="n">
        <f aca="false">SUMIFS(Equipes!$D$2:$D$60,Equipes!$A$2:$A$60,"LOT-07",Equipes!$B$2:$B$60,"&lt;="&amp;$A268,Equipes!$C$2:$C$60,"&gt;="&amp;$A268)</f>
        <v>0</v>
      </c>
      <c r="O268" s="3" t="n">
        <f aca="false">IF(N268&gt;0,ROUNDUP(N268/Parametres!$B$7,0)+1,0)</f>
        <v>0</v>
      </c>
      <c r="P268" s="3" t="n">
        <f aca="false">SUMIFS(Equipes!$D$2:$D$60,Equipes!$A$2:$A$60,"LOT-08",Equipes!$B$2:$B$60,"&lt;="&amp;$A268,Equipes!$C$2:$C$60,"&gt;="&amp;$A268)</f>
        <v>0</v>
      </c>
      <c r="Q268" s="3" t="n">
        <f aca="false">IF(P268&gt;0,ROUNDUP(P268/Parametres!$B$7,0)+1,0)</f>
        <v>0</v>
      </c>
    </row>
    <row r="269" customFormat="false" ht="15" hidden="false" customHeight="false" outlineLevel="0" collapsed="false">
      <c r="A269" s="2" t="n">
        <v>46350</v>
      </c>
      <c r="B269" s="3" t="n">
        <f aca="false">SUMIFS(Equipes!$D$2:$D$60,Equipes!$A$2:$A$60,"LOT-01",Equipes!$B$2:$B$60,"&lt;="&amp;$A269,Equipes!$C$2:$C$60,"&gt;="&amp;$A269)</f>
        <v>0</v>
      </c>
      <c r="C269" s="3" t="n">
        <f aca="false">IF(B269&gt;0,ROUNDUP(B269/Parametres!$B$7,0)+1,0)</f>
        <v>0</v>
      </c>
      <c r="D269" s="3" t="n">
        <f aca="false">SUMIFS(Equipes!$D$2:$D$60,Equipes!$A$2:$A$60,"LOT-02",Equipes!$B$2:$B$60,"&lt;="&amp;$A269,Equipes!$C$2:$C$60,"&gt;="&amp;$A269)</f>
        <v>0</v>
      </c>
      <c r="E269" s="3" t="n">
        <f aca="false">IF(D269&gt;0,ROUNDUP(D269/Parametres!$B$7,0)+1,0)</f>
        <v>0</v>
      </c>
      <c r="F269" s="3" t="n">
        <f aca="false">SUMIFS(Equipes!$D$2:$D$60,Equipes!$A$2:$A$60,"LOT-03",Equipes!$B$2:$B$60,"&lt;="&amp;$A269,Equipes!$C$2:$C$60,"&gt;="&amp;$A269)</f>
        <v>0</v>
      </c>
      <c r="G269" s="3" t="n">
        <f aca="false">IF(F269&gt;0,ROUNDUP(F269/Parametres!$B$7,0)+1,0)</f>
        <v>0</v>
      </c>
      <c r="H269" s="3" t="n">
        <f aca="false">SUMIFS(Equipes!$D$2:$D$60,Equipes!$A$2:$A$60,"LOT-04",Equipes!$B$2:$B$60,"&lt;="&amp;$A269,Equipes!$C$2:$C$60,"&gt;="&amp;$A269)</f>
        <v>0</v>
      </c>
      <c r="I269" s="3" t="n">
        <f aca="false">IF(H269&gt;0,ROUNDUP(H269/Parametres!$B$7,0)+1,0)</f>
        <v>0</v>
      </c>
      <c r="J269" s="3" t="n">
        <f aca="false">SUMIFS(Equipes!$D$2:$D$60,Equipes!$A$2:$A$60,"LOT-05",Equipes!$B$2:$B$60,"&lt;="&amp;$A269,Equipes!$C$2:$C$60,"&gt;="&amp;$A269)</f>
        <v>14</v>
      </c>
      <c r="K269" s="3" t="n">
        <f aca="false">IF(J269&gt;0,ROUNDUP(J269/Parametres!$B$7,0)+1,0)</f>
        <v>3</v>
      </c>
      <c r="L269" s="3" t="n">
        <f aca="false">SUMIFS(Equipes!$D$2:$D$60,Equipes!$A$2:$A$60,"LOT-06",Equipes!$B$2:$B$60,"&lt;="&amp;$A269,Equipes!$C$2:$C$60,"&gt;="&amp;$A269)</f>
        <v>20</v>
      </c>
      <c r="M269" s="3" t="n">
        <f aca="false">IF(L269&gt;0,ROUNDUP(L269/Parametres!$B$7,0)+1,0)</f>
        <v>3</v>
      </c>
      <c r="N269" s="3" t="n">
        <f aca="false">SUMIFS(Equipes!$D$2:$D$60,Equipes!$A$2:$A$60,"LOT-07",Equipes!$B$2:$B$60,"&lt;="&amp;$A269,Equipes!$C$2:$C$60,"&gt;="&amp;$A269)</f>
        <v>0</v>
      </c>
      <c r="O269" s="3" t="n">
        <f aca="false">IF(N269&gt;0,ROUNDUP(N269/Parametres!$B$7,0)+1,0)</f>
        <v>0</v>
      </c>
      <c r="P269" s="3" t="n">
        <f aca="false">SUMIFS(Equipes!$D$2:$D$60,Equipes!$A$2:$A$60,"LOT-08",Equipes!$B$2:$B$60,"&lt;="&amp;$A269,Equipes!$C$2:$C$60,"&gt;="&amp;$A269)</f>
        <v>0</v>
      </c>
      <c r="Q269" s="3" t="n">
        <f aca="false">IF(P269&gt;0,ROUNDUP(P269/Parametres!$B$7,0)+1,0)</f>
        <v>0</v>
      </c>
    </row>
    <row r="270" customFormat="false" ht="15" hidden="false" customHeight="false" outlineLevel="0" collapsed="false">
      <c r="A270" s="2" t="n">
        <v>46351</v>
      </c>
      <c r="B270" s="3" t="n">
        <f aca="false">SUMIFS(Equipes!$D$2:$D$60,Equipes!$A$2:$A$60,"LOT-01",Equipes!$B$2:$B$60,"&lt;="&amp;$A270,Equipes!$C$2:$C$60,"&gt;="&amp;$A270)</f>
        <v>0</v>
      </c>
      <c r="C270" s="3" t="n">
        <f aca="false">IF(B270&gt;0,ROUNDUP(B270/Parametres!$B$7,0)+1,0)</f>
        <v>0</v>
      </c>
      <c r="D270" s="3" t="n">
        <f aca="false">SUMIFS(Equipes!$D$2:$D$60,Equipes!$A$2:$A$60,"LOT-02",Equipes!$B$2:$B$60,"&lt;="&amp;$A270,Equipes!$C$2:$C$60,"&gt;="&amp;$A270)</f>
        <v>0</v>
      </c>
      <c r="E270" s="3" t="n">
        <f aca="false">IF(D270&gt;0,ROUNDUP(D270/Parametres!$B$7,0)+1,0)</f>
        <v>0</v>
      </c>
      <c r="F270" s="3" t="n">
        <f aca="false">SUMIFS(Equipes!$D$2:$D$60,Equipes!$A$2:$A$60,"LOT-03",Equipes!$B$2:$B$60,"&lt;="&amp;$A270,Equipes!$C$2:$C$60,"&gt;="&amp;$A270)</f>
        <v>0</v>
      </c>
      <c r="G270" s="3" t="n">
        <f aca="false">IF(F270&gt;0,ROUNDUP(F270/Parametres!$B$7,0)+1,0)</f>
        <v>0</v>
      </c>
      <c r="H270" s="3" t="n">
        <f aca="false">SUMIFS(Equipes!$D$2:$D$60,Equipes!$A$2:$A$60,"LOT-04",Equipes!$B$2:$B$60,"&lt;="&amp;$A270,Equipes!$C$2:$C$60,"&gt;="&amp;$A270)</f>
        <v>0</v>
      </c>
      <c r="I270" s="3" t="n">
        <f aca="false">IF(H270&gt;0,ROUNDUP(H270/Parametres!$B$7,0)+1,0)</f>
        <v>0</v>
      </c>
      <c r="J270" s="3" t="n">
        <f aca="false">SUMIFS(Equipes!$D$2:$D$60,Equipes!$A$2:$A$60,"LOT-05",Equipes!$B$2:$B$60,"&lt;="&amp;$A270,Equipes!$C$2:$C$60,"&gt;="&amp;$A270)</f>
        <v>14</v>
      </c>
      <c r="K270" s="3" t="n">
        <f aca="false">IF(J270&gt;0,ROUNDUP(J270/Parametres!$B$7,0)+1,0)</f>
        <v>3</v>
      </c>
      <c r="L270" s="3" t="n">
        <f aca="false">SUMIFS(Equipes!$D$2:$D$60,Equipes!$A$2:$A$60,"LOT-06",Equipes!$B$2:$B$60,"&lt;="&amp;$A270,Equipes!$C$2:$C$60,"&gt;="&amp;$A270)</f>
        <v>20</v>
      </c>
      <c r="M270" s="3" t="n">
        <f aca="false">IF(L270&gt;0,ROUNDUP(L270/Parametres!$B$7,0)+1,0)</f>
        <v>3</v>
      </c>
      <c r="N270" s="3" t="n">
        <f aca="false">SUMIFS(Equipes!$D$2:$D$60,Equipes!$A$2:$A$60,"LOT-07",Equipes!$B$2:$B$60,"&lt;="&amp;$A270,Equipes!$C$2:$C$60,"&gt;="&amp;$A270)</f>
        <v>0</v>
      </c>
      <c r="O270" s="3" t="n">
        <f aca="false">IF(N270&gt;0,ROUNDUP(N270/Parametres!$B$7,0)+1,0)</f>
        <v>0</v>
      </c>
      <c r="P270" s="3" t="n">
        <f aca="false">SUMIFS(Equipes!$D$2:$D$60,Equipes!$A$2:$A$60,"LOT-08",Equipes!$B$2:$B$60,"&lt;="&amp;$A270,Equipes!$C$2:$C$60,"&gt;="&amp;$A270)</f>
        <v>0</v>
      </c>
      <c r="Q270" s="3" t="n">
        <f aca="false">IF(P270&gt;0,ROUNDUP(P270/Parametres!$B$7,0)+1,0)</f>
        <v>0</v>
      </c>
    </row>
    <row r="271" customFormat="false" ht="15" hidden="false" customHeight="false" outlineLevel="0" collapsed="false">
      <c r="A271" s="2" t="n">
        <v>46352</v>
      </c>
      <c r="B271" s="3" t="n">
        <f aca="false">SUMIFS(Equipes!$D$2:$D$60,Equipes!$A$2:$A$60,"LOT-01",Equipes!$B$2:$B$60,"&lt;="&amp;$A271,Equipes!$C$2:$C$60,"&gt;="&amp;$A271)</f>
        <v>0</v>
      </c>
      <c r="C271" s="3" t="n">
        <f aca="false">IF(B271&gt;0,ROUNDUP(B271/Parametres!$B$7,0)+1,0)</f>
        <v>0</v>
      </c>
      <c r="D271" s="3" t="n">
        <f aca="false">SUMIFS(Equipes!$D$2:$D$60,Equipes!$A$2:$A$60,"LOT-02",Equipes!$B$2:$B$60,"&lt;="&amp;$A271,Equipes!$C$2:$C$60,"&gt;="&amp;$A271)</f>
        <v>0</v>
      </c>
      <c r="E271" s="3" t="n">
        <f aca="false">IF(D271&gt;0,ROUNDUP(D271/Parametres!$B$7,0)+1,0)</f>
        <v>0</v>
      </c>
      <c r="F271" s="3" t="n">
        <f aca="false">SUMIFS(Equipes!$D$2:$D$60,Equipes!$A$2:$A$60,"LOT-03",Equipes!$B$2:$B$60,"&lt;="&amp;$A271,Equipes!$C$2:$C$60,"&gt;="&amp;$A271)</f>
        <v>0</v>
      </c>
      <c r="G271" s="3" t="n">
        <f aca="false">IF(F271&gt;0,ROUNDUP(F271/Parametres!$B$7,0)+1,0)</f>
        <v>0</v>
      </c>
      <c r="H271" s="3" t="n">
        <f aca="false">SUMIFS(Equipes!$D$2:$D$60,Equipes!$A$2:$A$60,"LOT-04",Equipes!$B$2:$B$60,"&lt;="&amp;$A271,Equipes!$C$2:$C$60,"&gt;="&amp;$A271)</f>
        <v>0</v>
      </c>
      <c r="I271" s="3" t="n">
        <f aca="false">IF(H271&gt;0,ROUNDUP(H271/Parametres!$B$7,0)+1,0)</f>
        <v>0</v>
      </c>
      <c r="J271" s="3" t="n">
        <f aca="false">SUMIFS(Equipes!$D$2:$D$60,Equipes!$A$2:$A$60,"LOT-05",Equipes!$B$2:$B$60,"&lt;="&amp;$A271,Equipes!$C$2:$C$60,"&gt;="&amp;$A271)</f>
        <v>8</v>
      </c>
      <c r="K271" s="3" t="n">
        <f aca="false">IF(J271&gt;0,ROUNDUP(J271/Parametres!$B$7,0)+1,0)</f>
        <v>2</v>
      </c>
      <c r="L271" s="3" t="n">
        <f aca="false">SUMIFS(Equipes!$D$2:$D$60,Equipes!$A$2:$A$60,"LOT-06",Equipes!$B$2:$B$60,"&lt;="&amp;$A271,Equipes!$C$2:$C$60,"&gt;="&amp;$A271)</f>
        <v>20</v>
      </c>
      <c r="M271" s="3" t="n">
        <f aca="false">IF(L271&gt;0,ROUNDUP(L271/Parametres!$B$7,0)+1,0)</f>
        <v>3</v>
      </c>
      <c r="N271" s="3" t="n">
        <f aca="false">SUMIFS(Equipes!$D$2:$D$60,Equipes!$A$2:$A$60,"LOT-07",Equipes!$B$2:$B$60,"&lt;="&amp;$A271,Equipes!$C$2:$C$60,"&gt;="&amp;$A271)</f>
        <v>0</v>
      </c>
      <c r="O271" s="3" t="n">
        <f aca="false">IF(N271&gt;0,ROUNDUP(N271/Parametres!$B$7,0)+1,0)</f>
        <v>0</v>
      </c>
      <c r="P271" s="3" t="n">
        <f aca="false">SUMIFS(Equipes!$D$2:$D$60,Equipes!$A$2:$A$60,"LOT-08",Equipes!$B$2:$B$60,"&lt;="&amp;$A271,Equipes!$C$2:$C$60,"&gt;="&amp;$A271)</f>
        <v>0</v>
      </c>
      <c r="Q271" s="3" t="n">
        <f aca="false">IF(P271&gt;0,ROUNDUP(P271/Parametres!$B$7,0)+1,0)</f>
        <v>0</v>
      </c>
    </row>
    <row r="272" customFormat="false" ht="15" hidden="false" customHeight="false" outlineLevel="0" collapsed="false">
      <c r="A272" s="2" t="n">
        <v>46353</v>
      </c>
      <c r="B272" s="3" t="n">
        <f aca="false">SUMIFS(Equipes!$D$2:$D$60,Equipes!$A$2:$A$60,"LOT-01",Equipes!$B$2:$B$60,"&lt;="&amp;$A272,Equipes!$C$2:$C$60,"&gt;="&amp;$A272)</f>
        <v>0</v>
      </c>
      <c r="C272" s="3" t="n">
        <f aca="false">IF(B272&gt;0,ROUNDUP(B272/Parametres!$B$7,0)+1,0)</f>
        <v>0</v>
      </c>
      <c r="D272" s="3" t="n">
        <f aca="false">SUMIFS(Equipes!$D$2:$D$60,Equipes!$A$2:$A$60,"LOT-02",Equipes!$B$2:$B$60,"&lt;="&amp;$A272,Equipes!$C$2:$C$60,"&gt;="&amp;$A272)</f>
        <v>0</v>
      </c>
      <c r="E272" s="3" t="n">
        <f aca="false">IF(D272&gt;0,ROUNDUP(D272/Parametres!$B$7,0)+1,0)</f>
        <v>0</v>
      </c>
      <c r="F272" s="3" t="n">
        <f aca="false">SUMIFS(Equipes!$D$2:$D$60,Equipes!$A$2:$A$60,"LOT-03",Equipes!$B$2:$B$60,"&lt;="&amp;$A272,Equipes!$C$2:$C$60,"&gt;="&amp;$A272)</f>
        <v>0</v>
      </c>
      <c r="G272" s="3" t="n">
        <f aca="false">IF(F272&gt;0,ROUNDUP(F272/Parametres!$B$7,0)+1,0)</f>
        <v>0</v>
      </c>
      <c r="H272" s="3" t="n">
        <f aca="false">SUMIFS(Equipes!$D$2:$D$60,Equipes!$A$2:$A$60,"LOT-04",Equipes!$B$2:$B$60,"&lt;="&amp;$A272,Equipes!$C$2:$C$60,"&gt;="&amp;$A272)</f>
        <v>0</v>
      </c>
      <c r="I272" s="3" t="n">
        <f aca="false">IF(H272&gt;0,ROUNDUP(H272/Parametres!$B$7,0)+1,0)</f>
        <v>0</v>
      </c>
      <c r="J272" s="3" t="n">
        <f aca="false">SUMIFS(Equipes!$D$2:$D$60,Equipes!$A$2:$A$60,"LOT-05",Equipes!$B$2:$B$60,"&lt;="&amp;$A272,Equipes!$C$2:$C$60,"&gt;="&amp;$A272)</f>
        <v>8</v>
      </c>
      <c r="K272" s="3" t="n">
        <f aca="false">IF(J272&gt;0,ROUNDUP(J272/Parametres!$B$7,0)+1,0)</f>
        <v>2</v>
      </c>
      <c r="L272" s="3" t="n">
        <f aca="false">SUMIFS(Equipes!$D$2:$D$60,Equipes!$A$2:$A$60,"LOT-06",Equipes!$B$2:$B$60,"&lt;="&amp;$A272,Equipes!$C$2:$C$60,"&gt;="&amp;$A272)</f>
        <v>20</v>
      </c>
      <c r="M272" s="3" t="n">
        <f aca="false">IF(L272&gt;0,ROUNDUP(L272/Parametres!$B$7,0)+1,0)</f>
        <v>3</v>
      </c>
      <c r="N272" s="3" t="n">
        <f aca="false">SUMIFS(Equipes!$D$2:$D$60,Equipes!$A$2:$A$60,"LOT-07",Equipes!$B$2:$B$60,"&lt;="&amp;$A272,Equipes!$C$2:$C$60,"&gt;="&amp;$A272)</f>
        <v>0</v>
      </c>
      <c r="O272" s="3" t="n">
        <f aca="false">IF(N272&gt;0,ROUNDUP(N272/Parametres!$B$7,0)+1,0)</f>
        <v>0</v>
      </c>
      <c r="P272" s="3" t="n">
        <f aca="false">SUMIFS(Equipes!$D$2:$D$60,Equipes!$A$2:$A$60,"LOT-08",Equipes!$B$2:$B$60,"&lt;="&amp;$A272,Equipes!$C$2:$C$60,"&gt;="&amp;$A272)</f>
        <v>0</v>
      </c>
      <c r="Q272" s="3" t="n">
        <f aca="false">IF(P272&gt;0,ROUNDUP(P272/Parametres!$B$7,0)+1,0)</f>
        <v>0</v>
      </c>
    </row>
    <row r="273" customFormat="false" ht="15" hidden="false" customHeight="false" outlineLevel="0" collapsed="false">
      <c r="A273" s="2" t="n">
        <v>46354</v>
      </c>
      <c r="B273" s="3" t="n">
        <f aca="false">SUMIFS(Equipes!$D$2:$D$60,Equipes!$A$2:$A$60,"LOT-01",Equipes!$B$2:$B$60,"&lt;="&amp;$A273,Equipes!$C$2:$C$60,"&gt;="&amp;$A273)</f>
        <v>0</v>
      </c>
      <c r="C273" s="3" t="n">
        <f aca="false">IF(B273&gt;0,ROUNDUP(B273/Parametres!$B$7,0)+1,0)</f>
        <v>0</v>
      </c>
      <c r="D273" s="3" t="n">
        <f aca="false">SUMIFS(Equipes!$D$2:$D$60,Equipes!$A$2:$A$60,"LOT-02",Equipes!$B$2:$B$60,"&lt;="&amp;$A273,Equipes!$C$2:$C$60,"&gt;="&amp;$A273)</f>
        <v>0</v>
      </c>
      <c r="E273" s="3" t="n">
        <f aca="false">IF(D273&gt;0,ROUNDUP(D273/Parametres!$B$7,0)+1,0)</f>
        <v>0</v>
      </c>
      <c r="F273" s="3" t="n">
        <f aca="false">SUMIFS(Equipes!$D$2:$D$60,Equipes!$A$2:$A$60,"LOT-03",Equipes!$B$2:$B$60,"&lt;="&amp;$A273,Equipes!$C$2:$C$60,"&gt;="&amp;$A273)</f>
        <v>0</v>
      </c>
      <c r="G273" s="3" t="n">
        <f aca="false">IF(F273&gt;0,ROUNDUP(F273/Parametres!$B$7,0)+1,0)</f>
        <v>0</v>
      </c>
      <c r="H273" s="3" t="n">
        <f aca="false">SUMIFS(Equipes!$D$2:$D$60,Equipes!$A$2:$A$60,"LOT-04",Equipes!$B$2:$B$60,"&lt;="&amp;$A273,Equipes!$C$2:$C$60,"&gt;="&amp;$A273)</f>
        <v>0</v>
      </c>
      <c r="I273" s="3" t="n">
        <f aca="false">IF(H273&gt;0,ROUNDUP(H273/Parametres!$B$7,0)+1,0)</f>
        <v>0</v>
      </c>
      <c r="J273" s="3" t="n">
        <f aca="false">SUMIFS(Equipes!$D$2:$D$60,Equipes!$A$2:$A$60,"LOT-05",Equipes!$B$2:$B$60,"&lt;="&amp;$A273,Equipes!$C$2:$C$60,"&gt;="&amp;$A273)</f>
        <v>8</v>
      </c>
      <c r="K273" s="3" t="n">
        <f aca="false">IF(J273&gt;0,ROUNDUP(J273/Parametres!$B$7,0)+1,0)</f>
        <v>2</v>
      </c>
      <c r="L273" s="3" t="n">
        <f aca="false">SUMIFS(Equipes!$D$2:$D$60,Equipes!$A$2:$A$60,"LOT-06",Equipes!$B$2:$B$60,"&lt;="&amp;$A273,Equipes!$C$2:$C$60,"&gt;="&amp;$A273)</f>
        <v>20</v>
      </c>
      <c r="M273" s="3" t="n">
        <f aca="false">IF(L273&gt;0,ROUNDUP(L273/Parametres!$B$7,0)+1,0)</f>
        <v>3</v>
      </c>
      <c r="N273" s="3" t="n">
        <f aca="false">SUMIFS(Equipes!$D$2:$D$60,Equipes!$A$2:$A$60,"LOT-07",Equipes!$B$2:$B$60,"&lt;="&amp;$A273,Equipes!$C$2:$C$60,"&gt;="&amp;$A273)</f>
        <v>0</v>
      </c>
      <c r="O273" s="3" t="n">
        <f aca="false">IF(N273&gt;0,ROUNDUP(N273/Parametres!$B$7,0)+1,0)</f>
        <v>0</v>
      </c>
      <c r="P273" s="3" t="n">
        <f aca="false">SUMIFS(Equipes!$D$2:$D$60,Equipes!$A$2:$A$60,"LOT-08",Equipes!$B$2:$B$60,"&lt;="&amp;$A273,Equipes!$C$2:$C$60,"&gt;="&amp;$A273)</f>
        <v>0</v>
      </c>
      <c r="Q273" s="3" t="n">
        <f aca="false">IF(P273&gt;0,ROUNDUP(P273/Parametres!$B$7,0)+1,0)</f>
        <v>0</v>
      </c>
    </row>
    <row r="274" customFormat="false" ht="15" hidden="false" customHeight="false" outlineLevel="0" collapsed="false">
      <c r="A274" s="2" t="n">
        <v>46355</v>
      </c>
      <c r="B274" s="3" t="n">
        <f aca="false">SUMIFS(Equipes!$D$2:$D$60,Equipes!$A$2:$A$60,"LOT-01",Equipes!$B$2:$B$60,"&lt;="&amp;$A274,Equipes!$C$2:$C$60,"&gt;="&amp;$A274)</f>
        <v>0</v>
      </c>
      <c r="C274" s="3" t="n">
        <f aca="false">IF(B274&gt;0,ROUNDUP(B274/Parametres!$B$7,0)+1,0)</f>
        <v>0</v>
      </c>
      <c r="D274" s="3" t="n">
        <f aca="false">SUMIFS(Equipes!$D$2:$D$60,Equipes!$A$2:$A$60,"LOT-02",Equipes!$B$2:$B$60,"&lt;="&amp;$A274,Equipes!$C$2:$C$60,"&gt;="&amp;$A274)</f>
        <v>0</v>
      </c>
      <c r="E274" s="3" t="n">
        <f aca="false">IF(D274&gt;0,ROUNDUP(D274/Parametres!$B$7,0)+1,0)</f>
        <v>0</v>
      </c>
      <c r="F274" s="3" t="n">
        <f aca="false">SUMIFS(Equipes!$D$2:$D$60,Equipes!$A$2:$A$60,"LOT-03",Equipes!$B$2:$B$60,"&lt;="&amp;$A274,Equipes!$C$2:$C$60,"&gt;="&amp;$A274)</f>
        <v>0</v>
      </c>
      <c r="G274" s="3" t="n">
        <f aca="false">IF(F274&gt;0,ROUNDUP(F274/Parametres!$B$7,0)+1,0)</f>
        <v>0</v>
      </c>
      <c r="H274" s="3" t="n">
        <f aca="false">SUMIFS(Equipes!$D$2:$D$60,Equipes!$A$2:$A$60,"LOT-04",Equipes!$B$2:$B$60,"&lt;="&amp;$A274,Equipes!$C$2:$C$60,"&gt;="&amp;$A274)</f>
        <v>0</v>
      </c>
      <c r="I274" s="3" t="n">
        <f aca="false">IF(H274&gt;0,ROUNDUP(H274/Parametres!$B$7,0)+1,0)</f>
        <v>0</v>
      </c>
      <c r="J274" s="3" t="n">
        <f aca="false">SUMIFS(Equipes!$D$2:$D$60,Equipes!$A$2:$A$60,"LOT-05",Equipes!$B$2:$B$60,"&lt;="&amp;$A274,Equipes!$C$2:$C$60,"&gt;="&amp;$A274)</f>
        <v>8</v>
      </c>
      <c r="K274" s="3" t="n">
        <f aca="false">IF(J274&gt;0,ROUNDUP(J274/Parametres!$B$7,0)+1,0)</f>
        <v>2</v>
      </c>
      <c r="L274" s="3" t="n">
        <f aca="false">SUMIFS(Equipes!$D$2:$D$60,Equipes!$A$2:$A$60,"LOT-06",Equipes!$B$2:$B$60,"&lt;="&amp;$A274,Equipes!$C$2:$C$60,"&gt;="&amp;$A274)</f>
        <v>20</v>
      </c>
      <c r="M274" s="3" t="n">
        <f aca="false">IF(L274&gt;0,ROUNDUP(L274/Parametres!$B$7,0)+1,0)</f>
        <v>3</v>
      </c>
      <c r="N274" s="3" t="n">
        <f aca="false">SUMIFS(Equipes!$D$2:$D$60,Equipes!$A$2:$A$60,"LOT-07",Equipes!$B$2:$B$60,"&lt;="&amp;$A274,Equipes!$C$2:$C$60,"&gt;="&amp;$A274)</f>
        <v>0</v>
      </c>
      <c r="O274" s="3" t="n">
        <f aca="false">IF(N274&gt;0,ROUNDUP(N274/Parametres!$B$7,0)+1,0)</f>
        <v>0</v>
      </c>
      <c r="P274" s="3" t="n">
        <f aca="false">SUMIFS(Equipes!$D$2:$D$60,Equipes!$A$2:$A$60,"LOT-08",Equipes!$B$2:$B$60,"&lt;="&amp;$A274,Equipes!$C$2:$C$60,"&gt;="&amp;$A274)</f>
        <v>0</v>
      </c>
      <c r="Q274" s="3" t="n">
        <f aca="false">IF(P274&gt;0,ROUNDUP(P274/Parametres!$B$7,0)+1,0)</f>
        <v>0</v>
      </c>
    </row>
    <row r="275" customFormat="false" ht="15" hidden="false" customHeight="false" outlineLevel="0" collapsed="false">
      <c r="A275" s="2" t="n">
        <v>46356</v>
      </c>
      <c r="B275" s="3" t="n">
        <f aca="false">SUMIFS(Equipes!$D$2:$D$60,Equipes!$A$2:$A$60,"LOT-01",Equipes!$B$2:$B$60,"&lt;="&amp;$A275,Equipes!$C$2:$C$60,"&gt;="&amp;$A275)</f>
        <v>0</v>
      </c>
      <c r="C275" s="3" t="n">
        <f aca="false">IF(B275&gt;0,ROUNDUP(B275/Parametres!$B$7,0)+1,0)</f>
        <v>0</v>
      </c>
      <c r="D275" s="3" t="n">
        <f aca="false">SUMIFS(Equipes!$D$2:$D$60,Equipes!$A$2:$A$60,"LOT-02",Equipes!$B$2:$B$60,"&lt;="&amp;$A275,Equipes!$C$2:$C$60,"&gt;="&amp;$A275)</f>
        <v>0</v>
      </c>
      <c r="E275" s="3" t="n">
        <f aca="false">IF(D275&gt;0,ROUNDUP(D275/Parametres!$B$7,0)+1,0)</f>
        <v>0</v>
      </c>
      <c r="F275" s="3" t="n">
        <f aca="false">SUMIFS(Equipes!$D$2:$D$60,Equipes!$A$2:$A$60,"LOT-03",Equipes!$B$2:$B$60,"&lt;="&amp;$A275,Equipes!$C$2:$C$60,"&gt;="&amp;$A275)</f>
        <v>0</v>
      </c>
      <c r="G275" s="3" t="n">
        <f aca="false">IF(F275&gt;0,ROUNDUP(F275/Parametres!$B$7,0)+1,0)</f>
        <v>0</v>
      </c>
      <c r="H275" s="3" t="n">
        <f aca="false">SUMIFS(Equipes!$D$2:$D$60,Equipes!$A$2:$A$60,"LOT-04",Equipes!$B$2:$B$60,"&lt;="&amp;$A275,Equipes!$C$2:$C$60,"&gt;="&amp;$A275)</f>
        <v>0</v>
      </c>
      <c r="I275" s="3" t="n">
        <f aca="false">IF(H275&gt;0,ROUNDUP(H275/Parametres!$B$7,0)+1,0)</f>
        <v>0</v>
      </c>
      <c r="J275" s="3" t="n">
        <f aca="false">SUMIFS(Equipes!$D$2:$D$60,Equipes!$A$2:$A$60,"LOT-05",Equipes!$B$2:$B$60,"&lt;="&amp;$A275,Equipes!$C$2:$C$60,"&gt;="&amp;$A275)</f>
        <v>8</v>
      </c>
      <c r="K275" s="3" t="n">
        <f aca="false">IF(J275&gt;0,ROUNDUP(J275/Parametres!$B$7,0)+1,0)</f>
        <v>2</v>
      </c>
      <c r="L275" s="3" t="n">
        <f aca="false">SUMIFS(Equipes!$D$2:$D$60,Equipes!$A$2:$A$60,"LOT-06",Equipes!$B$2:$B$60,"&lt;="&amp;$A275,Equipes!$C$2:$C$60,"&gt;="&amp;$A275)</f>
        <v>20</v>
      </c>
      <c r="M275" s="3" t="n">
        <f aca="false">IF(L275&gt;0,ROUNDUP(L275/Parametres!$B$7,0)+1,0)</f>
        <v>3</v>
      </c>
      <c r="N275" s="3" t="n">
        <f aca="false">SUMIFS(Equipes!$D$2:$D$60,Equipes!$A$2:$A$60,"LOT-07",Equipes!$B$2:$B$60,"&lt;="&amp;$A275,Equipes!$C$2:$C$60,"&gt;="&amp;$A275)</f>
        <v>0</v>
      </c>
      <c r="O275" s="3" t="n">
        <f aca="false">IF(N275&gt;0,ROUNDUP(N275/Parametres!$B$7,0)+1,0)</f>
        <v>0</v>
      </c>
      <c r="P275" s="3" t="n">
        <f aca="false">SUMIFS(Equipes!$D$2:$D$60,Equipes!$A$2:$A$60,"LOT-08",Equipes!$B$2:$B$60,"&lt;="&amp;$A275,Equipes!$C$2:$C$60,"&gt;="&amp;$A275)</f>
        <v>0</v>
      </c>
      <c r="Q275" s="3" t="n">
        <f aca="false">IF(P275&gt;0,ROUNDUP(P275/Parametres!$B$7,0)+1,0)</f>
        <v>0</v>
      </c>
    </row>
    <row r="276" customFormat="false" ht="15" hidden="false" customHeight="false" outlineLevel="0" collapsed="false">
      <c r="A276" s="2" t="n">
        <v>46357</v>
      </c>
      <c r="B276" s="3" t="n">
        <f aca="false">SUMIFS(Equipes!$D$2:$D$60,Equipes!$A$2:$A$60,"LOT-01",Equipes!$B$2:$B$60,"&lt;="&amp;$A276,Equipes!$C$2:$C$60,"&gt;="&amp;$A276)</f>
        <v>0</v>
      </c>
      <c r="C276" s="3" t="n">
        <f aca="false">IF(B276&gt;0,ROUNDUP(B276/Parametres!$B$7,0)+1,0)</f>
        <v>0</v>
      </c>
      <c r="D276" s="3" t="n">
        <f aca="false">SUMIFS(Equipes!$D$2:$D$60,Equipes!$A$2:$A$60,"LOT-02",Equipes!$B$2:$B$60,"&lt;="&amp;$A276,Equipes!$C$2:$C$60,"&gt;="&amp;$A276)</f>
        <v>0</v>
      </c>
      <c r="E276" s="3" t="n">
        <f aca="false">IF(D276&gt;0,ROUNDUP(D276/Parametres!$B$7,0)+1,0)</f>
        <v>0</v>
      </c>
      <c r="F276" s="3" t="n">
        <f aca="false">SUMIFS(Equipes!$D$2:$D$60,Equipes!$A$2:$A$60,"LOT-03",Equipes!$B$2:$B$60,"&lt;="&amp;$A276,Equipes!$C$2:$C$60,"&gt;="&amp;$A276)</f>
        <v>0</v>
      </c>
      <c r="G276" s="3" t="n">
        <f aca="false">IF(F276&gt;0,ROUNDUP(F276/Parametres!$B$7,0)+1,0)</f>
        <v>0</v>
      </c>
      <c r="H276" s="3" t="n">
        <f aca="false">SUMIFS(Equipes!$D$2:$D$60,Equipes!$A$2:$A$60,"LOT-04",Equipes!$B$2:$B$60,"&lt;="&amp;$A276,Equipes!$C$2:$C$60,"&gt;="&amp;$A276)</f>
        <v>0</v>
      </c>
      <c r="I276" s="3" t="n">
        <f aca="false">IF(H276&gt;0,ROUNDUP(H276/Parametres!$B$7,0)+1,0)</f>
        <v>0</v>
      </c>
      <c r="J276" s="3" t="n">
        <f aca="false">SUMIFS(Equipes!$D$2:$D$60,Equipes!$A$2:$A$60,"LOT-05",Equipes!$B$2:$B$60,"&lt;="&amp;$A276,Equipes!$C$2:$C$60,"&gt;="&amp;$A276)</f>
        <v>8</v>
      </c>
      <c r="K276" s="3" t="n">
        <f aca="false">IF(J276&gt;0,ROUNDUP(J276/Parametres!$B$7,0)+1,0)</f>
        <v>2</v>
      </c>
      <c r="L276" s="3" t="n">
        <f aca="false">SUMIFS(Equipes!$D$2:$D$60,Equipes!$A$2:$A$60,"LOT-06",Equipes!$B$2:$B$60,"&lt;="&amp;$A276,Equipes!$C$2:$C$60,"&gt;="&amp;$A276)</f>
        <v>20</v>
      </c>
      <c r="M276" s="3" t="n">
        <f aca="false">IF(L276&gt;0,ROUNDUP(L276/Parametres!$B$7,0)+1,0)</f>
        <v>3</v>
      </c>
      <c r="N276" s="3" t="n">
        <f aca="false">SUMIFS(Equipes!$D$2:$D$60,Equipes!$A$2:$A$60,"LOT-07",Equipes!$B$2:$B$60,"&lt;="&amp;$A276,Equipes!$C$2:$C$60,"&gt;="&amp;$A276)</f>
        <v>0</v>
      </c>
      <c r="O276" s="3" t="n">
        <f aca="false">IF(N276&gt;0,ROUNDUP(N276/Parametres!$B$7,0)+1,0)</f>
        <v>0</v>
      </c>
      <c r="P276" s="3" t="n">
        <f aca="false">SUMIFS(Equipes!$D$2:$D$60,Equipes!$A$2:$A$60,"LOT-08",Equipes!$B$2:$B$60,"&lt;="&amp;$A276,Equipes!$C$2:$C$60,"&gt;="&amp;$A276)</f>
        <v>0</v>
      </c>
      <c r="Q276" s="3" t="n">
        <f aca="false">IF(P276&gt;0,ROUNDUP(P276/Parametres!$B$7,0)+1,0)</f>
        <v>0</v>
      </c>
    </row>
    <row r="277" customFormat="false" ht="15" hidden="false" customHeight="false" outlineLevel="0" collapsed="false">
      <c r="A277" s="2" t="n">
        <v>46358</v>
      </c>
      <c r="B277" s="3" t="n">
        <f aca="false">SUMIFS(Equipes!$D$2:$D$60,Equipes!$A$2:$A$60,"LOT-01",Equipes!$B$2:$B$60,"&lt;="&amp;$A277,Equipes!$C$2:$C$60,"&gt;="&amp;$A277)</f>
        <v>0</v>
      </c>
      <c r="C277" s="3" t="n">
        <f aca="false">IF(B277&gt;0,ROUNDUP(B277/Parametres!$B$7,0)+1,0)</f>
        <v>0</v>
      </c>
      <c r="D277" s="3" t="n">
        <f aca="false">SUMIFS(Equipes!$D$2:$D$60,Equipes!$A$2:$A$60,"LOT-02",Equipes!$B$2:$B$60,"&lt;="&amp;$A277,Equipes!$C$2:$C$60,"&gt;="&amp;$A277)</f>
        <v>0</v>
      </c>
      <c r="E277" s="3" t="n">
        <f aca="false">IF(D277&gt;0,ROUNDUP(D277/Parametres!$B$7,0)+1,0)</f>
        <v>0</v>
      </c>
      <c r="F277" s="3" t="n">
        <f aca="false">SUMIFS(Equipes!$D$2:$D$60,Equipes!$A$2:$A$60,"LOT-03",Equipes!$B$2:$B$60,"&lt;="&amp;$A277,Equipes!$C$2:$C$60,"&gt;="&amp;$A277)</f>
        <v>0</v>
      </c>
      <c r="G277" s="3" t="n">
        <f aca="false">IF(F277&gt;0,ROUNDUP(F277/Parametres!$B$7,0)+1,0)</f>
        <v>0</v>
      </c>
      <c r="H277" s="3" t="n">
        <f aca="false">SUMIFS(Equipes!$D$2:$D$60,Equipes!$A$2:$A$60,"LOT-04",Equipes!$B$2:$B$60,"&lt;="&amp;$A277,Equipes!$C$2:$C$60,"&gt;="&amp;$A277)</f>
        <v>0</v>
      </c>
      <c r="I277" s="3" t="n">
        <f aca="false">IF(H277&gt;0,ROUNDUP(H277/Parametres!$B$7,0)+1,0)</f>
        <v>0</v>
      </c>
      <c r="J277" s="3" t="n">
        <f aca="false">SUMIFS(Equipes!$D$2:$D$60,Equipes!$A$2:$A$60,"LOT-05",Equipes!$B$2:$B$60,"&lt;="&amp;$A277,Equipes!$C$2:$C$60,"&gt;="&amp;$A277)</f>
        <v>8</v>
      </c>
      <c r="K277" s="3" t="n">
        <f aca="false">IF(J277&gt;0,ROUNDUP(J277/Parametres!$B$7,0)+1,0)</f>
        <v>2</v>
      </c>
      <c r="L277" s="3" t="n">
        <f aca="false">SUMIFS(Equipes!$D$2:$D$60,Equipes!$A$2:$A$60,"LOT-06",Equipes!$B$2:$B$60,"&lt;="&amp;$A277,Equipes!$C$2:$C$60,"&gt;="&amp;$A277)</f>
        <v>20</v>
      </c>
      <c r="M277" s="3" t="n">
        <f aca="false">IF(L277&gt;0,ROUNDUP(L277/Parametres!$B$7,0)+1,0)</f>
        <v>3</v>
      </c>
      <c r="N277" s="3" t="n">
        <f aca="false">SUMIFS(Equipes!$D$2:$D$60,Equipes!$A$2:$A$60,"LOT-07",Equipes!$B$2:$B$60,"&lt;="&amp;$A277,Equipes!$C$2:$C$60,"&gt;="&amp;$A277)</f>
        <v>0</v>
      </c>
      <c r="O277" s="3" t="n">
        <f aca="false">IF(N277&gt;0,ROUNDUP(N277/Parametres!$B$7,0)+1,0)</f>
        <v>0</v>
      </c>
      <c r="P277" s="3" t="n">
        <f aca="false">SUMIFS(Equipes!$D$2:$D$60,Equipes!$A$2:$A$60,"LOT-08",Equipes!$B$2:$B$60,"&lt;="&amp;$A277,Equipes!$C$2:$C$60,"&gt;="&amp;$A277)</f>
        <v>0</v>
      </c>
      <c r="Q277" s="3" t="n">
        <f aca="false">IF(P277&gt;0,ROUNDUP(P277/Parametres!$B$7,0)+1,0)</f>
        <v>0</v>
      </c>
    </row>
    <row r="278" customFormat="false" ht="15" hidden="false" customHeight="false" outlineLevel="0" collapsed="false">
      <c r="A278" s="2" t="n">
        <v>46359</v>
      </c>
      <c r="B278" s="3" t="n">
        <f aca="false">SUMIFS(Equipes!$D$2:$D$60,Equipes!$A$2:$A$60,"LOT-01",Equipes!$B$2:$B$60,"&lt;="&amp;$A278,Equipes!$C$2:$C$60,"&gt;="&amp;$A278)</f>
        <v>0</v>
      </c>
      <c r="C278" s="3" t="n">
        <f aca="false">IF(B278&gt;0,ROUNDUP(B278/Parametres!$B$7,0)+1,0)</f>
        <v>0</v>
      </c>
      <c r="D278" s="3" t="n">
        <f aca="false">SUMIFS(Equipes!$D$2:$D$60,Equipes!$A$2:$A$60,"LOT-02",Equipes!$B$2:$B$60,"&lt;="&amp;$A278,Equipes!$C$2:$C$60,"&gt;="&amp;$A278)</f>
        <v>0</v>
      </c>
      <c r="E278" s="3" t="n">
        <f aca="false">IF(D278&gt;0,ROUNDUP(D278/Parametres!$B$7,0)+1,0)</f>
        <v>0</v>
      </c>
      <c r="F278" s="3" t="n">
        <f aca="false">SUMIFS(Equipes!$D$2:$D$60,Equipes!$A$2:$A$60,"LOT-03",Equipes!$B$2:$B$60,"&lt;="&amp;$A278,Equipes!$C$2:$C$60,"&gt;="&amp;$A278)</f>
        <v>0</v>
      </c>
      <c r="G278" s="3" t="n">
        <f aca="false">IF(F278&gt;0,ROUNDUP(F278/Parametres!$B$7,0)+1,0)</f>
        <v>0</v>
      </c>
      <c r="H278" s="3" t="n">
        <f aca="false">SUMIFS(Equipes!$D$2:$D$60,Equipes!$A$2:$A$60,"LOT-04",Equipes!$B$2:$B$60,"&lt;="&amp;$A278,Equipes!$C$2:$C$60,"&gt;="&amp;$A278)</f>
        <v>0</v>
      </c>
      <c r="I278" s="3" t="n">
        <f aca="false">IF(H278&gt;0,ROUNDUP(H278/Parametres!$B$7,0)+1,0)</f>
        <v>0</v>
      </c>
      <c r="J278" s="3" t="n">
        <f aca="false">SUMIFS(Equipes!$D$2:$D$60,Equipes!$A$2:$A$60,"LOT-05",Equipes!$B$2:$B$60,"&lt;="&amp;$A278,Equipes!$C$2:$C$60,"&gt;="&amp;$A278)</f>
        <v>8</v>
      </c>
      <c r="K278" s="3" t="n">
        <f aca="false">IF(J278&gt;0,ROUNDUP(J278/Parametres!$B$7,0)+1,0)</f>
        <v>2</v>
      </c>
      <c r="L278" s="3" t="n">
        <f aca="false">SUMIFS(Equipes!$D$2:$D$60,Equipes!$A$2:$A$60,"LOT-06",Equipes!$B$2:$B$60,"&lt;="&amp;$A278,Equipes!$C$2:$C$60,"&gt;="&amp;$A278)</f>
        <v>20</v>
      </c>
      <c r="M278" s="3" t="n">
        <f aca="false">IF(L278&gt;0,ROUNDUP(L278/Parametres!$B$7,0)+1,0)</f>
        <v>3</v>
      </c>
      <c r="N278" s="3" t="n">
        <f aca="false">SUMIFS(Equipes!$D$2:$D$60,Equipes!$A$2:$A$60,"LOT-07",Equipes!$B$2:$B$60,"&lt;="&amp;$A278,Equipes!$C$2:$C$60,"&gt;="&amp;$A278)</f>
        <v>0</v>
      </c>
      <c r="O278" s="3" t="n">
        <f aca="false">IF(N278&gt;0,ROUNDUP(N278/Parametres!$B$7,0)+1,0)</f>
        <v>0</v>
      </c>
      <c r="P278" s="3" t="n">
        <f aca="false">SUMIFS(Equipes!$D$2:$D$60,Equipes!$A$2:$A$60,"LOT-08",Equipes!$B$2:$B$60,"&lt;="&amp;$A278,Equipes!$C$2:$C$60,"&gt;="&amp;$A278)</f>
        <v>0</v>
      </c>
      <c r="Q278" s="3" t="n">
        <f aca="false">IF(P278&gt;0,ROUNDUP(P278/Parametres!$B$7,0)+1,0)</f>
        <v>0</v>
      </c>
    </row>
    <row r="279" customFormat="false" ht="15" hidden="false" customHeight="false" outlineLevel="0" collapsed="false">
      <c r="A279" s="2" t="n">
        <v>46360</v>
      </c>
      <c r="B279" s="3" t="n">
        <f aca="false">SUMIFS(Equipes!$D$2:$D$60,Equipes!$A$2:$A$60,"LOT-01",Equipes!$B$2:$B$60,"&lt;="&amp;$A279,Equipes!$C$2:$C$60,"&gt;="&amp;$A279)</f>
        <v>0</v>
      </c>
      <c r="C279" s="3" t="n">
        <f aca="false">IF(B279&gt;0,ROUNDUP(B279/Parametres!$B$7,0)+1,0)</f>
        <v>0</v>
      </c>
      <c r="D279" s="3" t="n">
        <f aca="false">SUMIFS(Equipes!$D$2:$D$60,Equipes!$A$2:$A$60,"LOT-02",Equipes!$B$2:$B$60,"&lt;="&amp;$A279,Equipes!$C$2:$C$60,"&gt;="&amp;$A279)</f>
        <v>0</v>
      </c>
      <c r="E279" s="3" t="n">
        <f aca="false">IF(D279&gt;0,ROUNDUP(D279/Parametres!$B$7,0)+1,0)</f>
        <v>0</v>
      </c>
      <c r="F279" s="3" t="n">
        <f aca="false">SUMIFS(Equipes!$D$2:$D$60,Equipes!$A$2:$A$60,"LOT-03",Equipes!$B$2:$B$60,"&lt;="&amp;$A279,Equipes!$C$2:$C$60,"&gt;="&amp;$A279)</f>
        <v>0</v>
      </c>
      <c r="G279" s="3" t="n">
        <f aca="false">IF(F279&gt;0,ROUNDUP(F279/Parametres!$B$7,0)+1,0)</f>
        <v>0</v>
      </c>
      <c r="H279" s="3" t="n">
        <f aca="false">SUMIFS(Equipes!$D$2:$D$60,Equipes!$A$2:$A$60,"LOT-04",Equipes!$B$2:$B$60,"&lt;="&amp;$A279,Equipes!$C$2:$C$60,"&gt;="&amp;$A279)</f>
        <v>0</v>
      </c>
      <c r="I279" s="3" t="n">
        <f aca="false">IF(H279&gt;0,ROUNDUP(H279/Parametres!$B$7,0)+1,0)</f>
        <v>0</v>
      </c>
      <c r="J279" s="3" t="n">
        <f aca="false">SUMIFS(Equipes!$D$2:$D$60,Equipes!$A$2:$A$60,"LOT-05",Equipes!$B$2:$B$60,"&lt;="&amp;$A279,Equipes!$C$2:$C$60,"&gt;="&amp;$A279)</f>
        <v>8</v>
      </c>
      <c r="K279" s="3" t="n">
        <f aca="false">IF(J279&gt;0,ROUNDUP(J279/Parametres!$B$7,0)+1,0)</f>
        <v>2</v>
      </c>
      <c r="L279" s="3" t="n">
        <f aca="false">SUMIFS(Equipes!$D$2:$D$60,Equipes!$A$2:$A$60,"LOT-06",Equipes!$B$2:$B$60,"&lt;="&amp;$A279,Equipes!$C$2:$C$60,"&gt;="&amp;$A279)</f>
        <v>20</v>
      </c>
      <c r="M279" s="3" t="n">
        <f aca="false">IF(L279&gt;0,ROUNDUP(L279/Parametres!$B$7,0)+1,0)</f>
        <v>3</v>
      </c>
      <c r="N279" s="3" t="n">
        <f aca="false">SUMIFS(Equipes!$D$2:$D$60,Equipes!$A$2:$A$60,"LOT-07",Equipes!$B$2:$B$60,"&lt;="&amp;$A279,Equipes!$C$2:$C$60,"&gt;="&amp;$A279)</f>
        <v>0</v>
      </c>
      <c r="O279" s="3" t="n">
        <f aca="false">IF(N279&gt;0,ROUNDUP(N279/Parametres!$B$7,0)+1,0)</f>
        <v>0</v>
      </c>
      <c r="P279" s="3" t="n">
        <f aca="false">SUMIFS(Equipes!$D$2:$D$60,Equipes!$A$2:$A$60,"LOT-08",Equipes!$B$2:$B$60,"&lt;="&amp;$A279,Equipes!$C$2:$C$60,"&gt;="&amp;$A279)</f>
        <v>0</v>
      </c>
      <c r="Q279" s="3" t="n">
        <f aca="false">IF(P279&gt;0,ROUNDUP(P279/Parametres!$B$7,0)+1,0)</f>
        <v>0</v>
      </c>
    </row>
    <row r="280" customFormat="false" ht="15" hidden="false" customHeight="false" outlineLevel="0" collapsed="false">
      <c r="A280" s="2" t="n">
        <v>46361</v>
      </c>
      <c r="B280" s="3" t="n">
        <f aca="false">SUMIFS(Equipes!$D$2:$D$60,Equipes!$A$2:$A$60,"LOT-01",Equipes!$B$2:$B$60,"&lt;="&amp;$A280,Equipes!$C$2:$C$60,"&gt;="&amp;$A280)</f>
        <v>0</v>
      </c>
      <c r="C280" s="3" t="n">
        <f aca="false">IF(B280&gt;0,ROUNDUP(B280/Parametres!$B$7,0)+1,0)</f>
        <v>0</v>
      </c>
      <c r="D280" s="3" t="n">
        <f aca="false">SUMIFS(Equipes!$D$2:$D$60,Equipes!$A$2:$A$60,"LOT-02",Equipes!$B$2:$B$60,"&lt;="&amp;$A280,Equipes!$C$2:$C$60,"&gt;="&amp;$A280)</f>
        <v>0</v>
      </c>
      <c r="E280" s="3" t="n">
        <f aca="false">IF(D280&gt;0,ROUNDUP(D280/Parametres!$B$7,0)+1,0)</f>
        <v>0</v>
      </c>
      <c r="F280" s="3" t="n">
        <f aca="false">SUMIFS(Equipes!$D$2:$D$60,Equipes!$A$2:$A$60,"LOT-03",Equipes!$B$2:$B$60,"&lt;="&amp;$A280,Equipes!$C$2:$C$60,"&gt;="&amp;$A280)</f>
        <v>0</v>
      </c>
      <c r="G280" s="3" t="n">
        <f aca="false">IF(F280&gt;0,ROUNDUP(F280/Parametres!$B$7,0)+1,0)</f>
        <v>0</v>
      </c>
      <c r="H280" s="3" t="n">
        <f aca="false">SUMIFS(Equipes!$D$2:$D$60,Equipes!$A$2:$A$60,"LOT-04",Equipes!$B$2:$B$60,"&lt;="&amp;$A280,Equipes!$C$2:$C$60,"&gt;="&amp;$A280)</f>
        <v>0</v>
      </c>
      <c r="I280" s="3" t="n">
        <f aca="false">IF(H280&gt;0,ROUNDUP(H280/Parametres!$B$7,0)+1,0)</f>
        <v>0</v>
      </c>
      <c r="J280" s="3" t="n">
        <f aca="false">SUMIFS(Equipes!$D$2:$D$60,Equipes!$A$2:$A$60,"LOT-05",Equipes!$B$2:$B$60,"&lt;="&amp;$A280,Equipes!$C$2:$C$60,"&gt;="&amp;$A280)</f>
        <v>8</v>
      </c>
      <c r="K280" s="3" t="n">
        <f aca="false">IF(J280&gt;0,ROUNDUP(J280/Parametres!$B$7,0)+1,0)</f>
        <v>2</v>
      </c>
      <c r="L280" s="3" t="n">
        <f aca="false">SUMIFS(Equipes!$D$2:$D$60,Equipes!$A$2:$A$60,"LOT-06",Equipes!$B$2:$B$60,"&lt;="&amp;$A280,Equipes!$C$2:$C$60,"&gt;="&amp;$A280)</f>
        <v>20</v>
      </c>
      <c r="M280" s="3" t="n">
        <f aca="false">IF(L280&gt;0,ROUNDUP(L280/Parametres!$B$7,0)+1,0)</f>
        <v>3</v>
      </c>
      <c r="N280" s="3" t="n">
        <f aca="false">SUMIFS(Equipes!$D$2:$D$60,Equipes!$A$2:$A$60,"LOT-07",Equipes!$B$2:$B$60,"&lt;="&amp;$A280,Equipes!$C$2:$C$60,"&gt;="&amp;$A280)</f>
        <v>0</v>
      </c>
      <c r="O280" s="3" t="n">
        <f aca="false">IF(N280&gt;0,ROUNDUP(N280/Parametres!$B$7,0)+1,0)</f>
        <v>0</v>
      </c>
      <c r="P280" s="3" t="n">
        <f aca="false">SUMIFS(Equipes!$D$2:$D$60,Equipes!$A$2:$A$60,"LOT-08",Equipes!$B$2:$B$60,"&lt;="&amp;$A280,Equipes!$C$2:$C$60,"&gt;="&amp;$A280)</f>
        <v>0</v>
      </c>
      <c r="Q280" s="3" t="n">
        <f aca="false">IF(P280&gt;0,ROUNDUP(P280/Parametres!$B$7,0)+1,0)</f>
        <v>0</v>
      </c>
    </row>
    <row r="281" customFormat="false" ht="15" hidden="false" customHeight="false" outlineLevel="0" collapsed="false">
      <c r="A281" s="2" t="n">
        <v>46362</v>
      </c>
      <c r="B281" s="3" t="n">
        <f aca="false">SUMIFS(Equipes!$D$2:$D$60,Equipes!$A$2:$A$60,"LOT-01",Equipes!$B$2:$B$60,"&lt;="&amp;$A281,Equipes!$C$2:$C$60,"&gt;="&amp;$A281)</f>
        <v>0</v>
      </c>
      <c r="C281" s="3" t="n">
        <f aca="false">IF(B281&gt;0,ROUNDUP(B281/Parametres!$B$7,0)+1,0)</f>
        <v>0</v>
      </c>
      <c r="D281" s="3" t="n">
        <f aca="false">SUMIFS(Equipes!$D$2:$D$60,Equipes!$A$2:$A$60,"LOT-02",Equipes!$B$2:$B$60,"&lt;="&amp;$A281,Equipes!$C$2:$C$60,"&gt;="&amp;$A281)</f>
        <v>0</v>
      </c>
      <c r="E281" s="3" t="n">
        <f aca="false">IF(D281&gt;0,ROUNDUP(D281/Parametres!$B$7,0)+1,0)</f>
        <v>0</v>
      </c>
      <c r="F281" s="3" t="n">
        <f aca="false">SUMIFS(Equipes!$D$2:$D$60,Equipes!$A$2:$A$60,"LOT-03",Equipes!$B$2:$B$60,"&lt;="&amp;$A281,Equipes!$C$2:$C$60,"&gt;="&amp;$A281)</f>
        <v>0</v>
      </c>
      <c r="G281" s="3" t="n">
        <f aca="false">IF(F281&gt;0,ROUNDUP(F281/Parametres!$B$7,0)+1,0)</f>
        <v>0</v>
      </c>
      <c r="H281" s="3" t="n">
        <f aca="false">SUMIFS(Equipes!$D$2:$D$60,Equipes!$A$2:$A$60,"LOT-04",Equipes!$B$2:$B$60,"&lt;="&amp;$A281,Equipes!$C$2:$C$60,"&gt;="&amp;$A281)</f>
        <v>0</v>
      </c>
      <c r="I281" s="3" t="n">
        <f aca="false">IF(H281&gt;0,ROUNDUP(H281/Parametres!$B$7,0)+1,0)</f>
        <v>0</v>
      </c>
      <c r="J281" s="3" t="n">
        <f aca="false">SUMIFS(Equipes!$D$2:$D$60,Equipes!$A$2:$A$60,"LOT-05",Equipes!$B$2:$B$60,"&lt;="&amp;$A281,Equipes!$C$2:$C$60,"&gt;="&amp;$A281)</f>
        <v>8</v>
      </c>
      <c r="K281" s="3" t="n">
        <f aca="false">IF(J281&gt;0,ROUNDUP(J281/Parametres!$B$7,0)+1,0)</f>
        <v>2</v>
      </c>
      <c r="L281" s="3" t="n">
        <f aca="false">SUMIFS(Equipes!$D$2:$D$60,Equipes!$A$2:$A$60,"LOT-06",Equipes!$B$2:$B$60,"&lt;="&amp;$A281,Equipes!$C$2:$C$60,"&gt;="&amp;$A281)</f>
        <v>20</v>
      </c>
      <c r="M281" s="3" t="n">
        <f aca="false">IF(L281&gt;0,ROUNDUP(L281/Parametres!$B$7,0)+1,0)</f>
        <v>3</v>
      </c>
      <c r="N281" s="3" t="n">
        <f aca="false">SUMIFS(Equipes!$D$2:$D$60,Equipes!$A$2:$A$60,"LOT-07",Equipes!$B$2:$B$60,"&lt;="&amp;$A281,Equipes!$C$2:$C$60,"&gt;="&amp;$A281)</f>
        <v>0</v>
      </c>
      <c r="O281" s="3" t="n">
        <f aca="false">IF(N281&gt;0,ROUNDUP(N281/Parametres!$B$7,0)+1,0)</f>
        <v>0</v>
      </c>
      <c r="P281" s="3" t="n">
        <f aca="false">SUMIFS(Equipes!$D$2:$D$60,Equipes!$A$2:$A$60,"LOT-08",Equipes!$B$2:$B$60,"&lt;="&amp;$A281,Equipes!$C$2:$C$60,"&gt;="&amp;$A281)</f>
        <v>0</v>
      </c>
      <c r="Q281" s="3" t="n">
        <f aca="false">IF(P281&gt;0,ROUNDUP(P281/Parametres!$B$7,0)+1,0)</f>
        <v>0</v>
      </c>
    </row>
    <row r="282" customFormat="false" ht="15" hidden="false" customHeight="false" outlineLevel="0" collapsed="false">
      <c r="A282" s="2" t="n">
        <v>46363</v>
      </c>
      <c r="B282" s="3" t="n">
        <f aca="false">SUMIFS(Equipes!$D$2:$D$60,Equipes!$A$2:$A$60,"LOT-01",Equipes!$B$2:$B$60,"&lt;="&amp;$A282,Equipes!$C$2:$C$60,"&gt;="&amp;$A282)</f>
        <v>0</v>
      </c>
      <c r="C282" s="3" t="n">
        <f aca="false">IF(B282&gt;0,ROUNDUP(B282/Parametres!$B$7,0)+1,0)</f>
        <v>0</v>
      </c>
      <c r="D282" s="3" t="n">
        <f aca="false">SUMIFS(Equipes!$D$2:$D$60,Equipes!$A$2:$A$60,"LOT-02",Equipes!$B$2:$B$60,"&lt;="&amp;$A282,Equipes!$C$2:$C$60,"&gt;="&amp;$A282)</f>
        <v>0</v>
      </c>
      <c r="E282" s="3" t="n">
        <f aca="false">IF(D282&gt;0,ROUNDUP(D282/Parametres!$B$7,0)+1,0)</f>
        <v>0</v>
      </c>
      <c r="F282" s="3" t="n">
        <f aca="false">SUMIFS(Equipes!$D$2:$D$60,Equipes!$A$2:$A$60,"LOT-03",Equipes!$B$2:$B$60,"&lt;="&amp;$A282,Equipes!$C$2:$C$60,"&gt;="&amp;$A282)</f>
        <v>0</v>
      </c>
      <c r="G282" s="3" t="n">
        <f aca="false">IF(F282&gt;0,ROUNDUP(F282/Parametres!$B$7,0)+1,0)</f>
        <v>0</v>
      </c>
      <c r="H282" s="3" t="n">
        <f aca="false">SUMIFS(Equipes!$D$2:$D$60,Equipes!$A$2:$A$60,"LOT-04",Equipes!$B$2:$B$60,"&lt;="&amp;$A282,Equipes!$C$2:$C$60,"&gt;="&amp;$A282)</f>
        <v>0</v>
      </c>
      <c r="I282" s="3" t="n">
        <f aca="false">IF(H282&gt;0,ROUNDUP(H282/Parametres!$B$7,0)+1,0)</f>
        <v>0</v>
      </c>
      <c r="J282" s="3" t="n">
        <f aca="false">SUMIFS(Equipes!$D$2:$D$60,Equipes!$A$2:$A$60,"LOT-05",Equipes!$B$2:$B$60,"&lt;="&amp;$A282,Equipes!$C$2:$C$60,"&gt;="&amp;$A282)</f>
        <v>6</v>
      </c>
      <c r="K282" s="3" t="n">
        <f aca="false">IF(J282&gt;0,ROUNDUP(J282/Parametres!$B$7,0)+1,0)</f>
        <v>2</v>
      </c>
      <c r="L282" s="3" t="n">
        <f aca="false">SUMIFS(Equipes!$D$2:$D$60,Equipes!$A$2:$A$60,"LOT-06",Equipes!$B$2:$B$60,"&lt;="&amp;$A282,Equipes!$C$2:$C$60,"&gt;="&amp;$A282)</f>
        <v>22</v>
      </c>
      <c r="M282" s="3" t="n">
        <f aca="false">IF(L282&gt;0,ROUNDUP(L282/Parametres!$B$7,0)+1,0)</f>
        <v>3</v>
      </c>
      <c r="N282" s="3" t="n">
        <f aca="false">SUMIFS(Equipes!$D$2:$D$60,Equipes!$A$2:$A$60,"LOT-07",Equipes!$B$2:$B$60,"&lt;="&amp;$A282,Equipes!$C$2:$C$60,"&gt;="&amp;$A282)</f>
        <v>0</v>
      </c>
      <c r="O282" s="3" t="n">
        <f aca="false">IF(N282&gt;0,ROUNDUP(N282/Parametres!$B$7,0)+1,0)</f>
        <v>0</v>
      </c>
      <c r="P282" s="3" t="n">
        <f aca="false">SUMIFS(Equipes!$D$2:$D$60,Equipes!$A$2:$A$60,"LOT-08",Equipes!$B$2:$B$60,"&lt;="&amp;$A282,Equipes!$C$2:$C$60,"&gt;="&amp;$A282)</f>
        <v>0</v>
      </c>
      <c r="Q282" s="3" t="n">
        <f aca="false">IF(P282&gt;0,ROUNDUP(P282/Parametres!$B$7,0)+1,0)</f>
        <v>0</v>
      </c>
    </row>
    <row r="283" customFormat="false" ht="15" hidden="false" customHeight="false" outlineLevel="0" collapsed="false">
      <c r="A283" s="2" t="n">
        <v>46364</v>
      </c>
      <c r="B283" s="3" t="n">
        <f aca="false">SUMIFS(Equipes!$D$2:$D$60,Equipes!$A$2:$A$60,"LOT-01",Equipes!$B$2:$B$60,"&lt;="&amp;$A283,Equipes!$C$2:$C$60,"&gt;="&amp;$A283)</f>
        <v>0</v>
      </c>
      <c r="C283" s="3" t="n">
        <f aca="false">IF(B283&gt;0,ROUNDUP(B283/Parametres!$B$7,0)+1,0)</f>
        <v>0</v>
      </c>
      <c r="D283" s="3" t="n">
        <f aca="false">SUMIFS(Equipes!$D$2:$D$60,Equipes!$A$2:$A$60,"LOT-02",Equipes!$B$2:$B$60,"&lt;="&amp;$A283,Equipes!$C$2:$C$60,"&gt;="&amp;$A283)</f>
        <v>0</v>
      </c>
      <c r="E283" s="3" t="n">
        <f aca="false">IF(D283&gt;0,ROUNDUP(D283/Parametres!$B$7,0)+1,0)</f>
        <v>0</v>
      </c>
      <c r="F283" s="3" t="n">
        <f aca="false">SUMIFS(Equipes!$D$2:$D$60,Equipes!$A$2:$A$60,"LOT-03",Equipes!$B$2:$B$60,"&lt;="&amp;$A283,Equipes!$C$2:$C$60,"&gt;="&amp;$A283)</f>
        <v>0</v>
      </c>
      <c r="G283" s="3" t="n">
        <f aca="false">IF(F283&gt;0,ROUNDUP(F283/Parametres!$B$7,0)+1,0)</f>
        <v>0</v>
      </c>
      <c r="H283" s="3" t="n">
        <f aca="false">SUMIFS(Equipes!$D$2:$D$60,Equipes!$A$2:$A$60,"LOT-04",Equipes!$B$2:$B$60,"&lt;="&amp;$A283,Equipes!$C$2:$C$60,"&gt;="&amp;$A283)</f>
        <v>0</v>
      </c>
      <c r="I283" s="3" t="n">
        <f aca="false">IF(H283&gt;0,ROUNDUP(H283/Parametres!$B$7,0)+1,0)</f>
        <v>0</v>
      </c>
      <c r="J283" s="3" t="n">
        <f aca="false">SUMIFS(Equipes!$D$2:$D$60,Equipes!$A$2:$A$60,"LOT-05",Equipes!$B$2:$B$60,"&lt;="&amp;$A283,Equipes!$C$2:$C$60,"&gt;="&amp;$A283)</f>
        <v>6</v>
      </c>
      <c r="K283" s="3" t="n">
        <f aca="false">IF(J283&gt;0,ROUNDUP(J283/Parametres!$B$7,0)+1,0)</f>
        <v>2</v>
      </c>
      <c r="L283" s="3" t="n">
        <f aca="false">SUMIFS(Equipes!$D$2:$D$60,Equipes!$A$2:$A$60,"LOT-06",Equipes!$B$2:$B$60,"&lt;="&amp;$A283,Equipes!$C$2:$C$60,"&gt;="&amp;$A283)</f>
        <v>22</v>
      </c>
      <c r="M283" s="3" t="n">
        <f aca="false">IF(L283&gt;0,ROUNDUP(L283/Parametres!$B$7,0)+1,0)</f>
        <v>3</v>
      </c>
      <c r="N283" s="3" t="n">
        <f aca="false">SUMIFS(Equipes!$D$2:$D$60,Equipes!$A$2:$A$60,"LOT-07",Equipes!$B$2:$B$60,"&lt;="&amp;$A283,Equipes!$C$2:$C$60,"&gt;="&amp;$A283)</f>
        <v>0</v>
      </c>
      <c r="O283" s="3" t="n">
        <f aca="false">IF(N283&gt;0,ROUNDUP(N283/Parametres!$B$7,0)+1,0)</f>
        <v>0</v>
      </c>
      <c r="P283" s="3" t="n">
        <f aca="false">SUMIFS(Equipes!$D$2:$D$60,Equipes!$A$2:$A$60,"LOT-08",Equipes!$B$2:$B$60,"&lt;="&amp;$A283,Equipes!$C$2:$C$60,"&gt;="&amp;$A283)</f>
        <v>0</v>
      </c>
      <c r="Q283" s="3" t="n">
        <f aca="false">IF(P283&gt;0,ROUNDUP(P283/Parametres!$B$7,0)+1,0)</f>
        <v>0</v>
      </c>
    </row>
    <row r="284" customFormat="false" ht="15" hidden="false" customHeight="false" outlineLevel="0" collapsed="false">
      <c r="A284" s="2" t="n">
        <v>46365</v>
      </c>
      <c r="B284" s="3" t="n">
        <f aca="false">SUMIFS(Equipes!$D$2:$D$60,Equipes!$A$2:$A$60,"LOT-01",Equipes!$B$2:$B$60,"&lt;="&amp;$A284,Equipes!$C$2:$C$60,"&gt;="&amp;$A284)</f>
        <v>0</v>
      </c>
      <c r="C284" s="3" t="n">
        <f aca="false">IF(B284&gt;0,ROUNDUP(B284/Parametres!$B$7,0)+1,0)</f>
        <v>0</v>
      </c>
      <c r="D284" s="3" t="n">
        <f aca="false">SUMIFS(Equipes!$D$2:$D$60,Equipes!$A$2:$A$60,"LOT-02",Equipes!$B$2:$B$60,"&lt;="&amp;$A284,Equipes!$C$2:$C$60,"&gt;="&amp;$A284)</f>
        <v>0</v>
      </c>
      <c r="E284" s="3" t="n">
        <f aca="false">IF(D284&gt;0,ROUNDUP(D284/Parametres!$B$7,0)+1,0)</f>
        <v>0</v>
      </c>
      <c r="F284" s="3" t="n">
        <f aca="false">SUMIFS(Equipes!$D$2:$D$60,Equipes!$A$2:$A$60,"LOT-03",Equipes!$B$2:$B$60,"&lt;="&amp;$A284,Equipes!$C$2:$C$60,"&gt;="&amp;$A284)</f>
        <v>0</v>
      </c>
      <c r="G284" s="3" t="n">
        <f aca="false">IF(F284&gt;0,ROUNDUP(F284/Parametres!$B$7,0)+1,0)</f>
        <v>0</v>
      </c>
      <c r="H284" s="3" t="n">
        <f aca="false">SUMIFS(Equipes!$D$2:$D$60,Equipes!$A$2:$A$60,"LOT-04",Equipes!$B$2:$B$60,"&lt;="&amp;$A284,Equipes!$C$2:$C$60,"&gt;="&amp;$A284)</f>
        <v>0</v>
      </c>
      <c r="I284" s="3" t="n">
        <f aca="false">IF(H284&gt;0,ROUNDUP(H284/Parametres!$B$7,0)+1,0)</f>
        <v>0</v>
      </c>
      <c r="J284" s="3" t="n">
        <f aca="false">SUMIFS(Equipes!$D$2:$D$60,Equipes!$A$2:$A$60,"LOT-05",Equipes!$B$2:$B$60,"&lt;="&amp;$A284,Equipes!$C$2:$C$60,"&gt;="&amp;$A284)</f>
        <v>6</v>
      </c>
      <c r="K284" s="3" t="n">
        <f aca="false">IF(J284&gt;0,ROUNDUP(J284/Parametres!$B$7,0)+1,0)</f>
        <v>2</v>
      </c>
      <c r="L284" s="3" t="n">
        <f aca="false">SUMIFS(Equipes!$D$2:$D$60,Equipes!$A$2:$A$60,"LOT-06",Equipes!$B$2:$B$60,"&lt;="&amp;$A284,Equipes!$C$2:$C$60,"&gt;="&amp;$A284)</f>
        <v>22</v>
      </c>
      <c r="M284" s="3" t="n">
        <f aca="false">IF(L284&gt;0,ROUNDUP(L284/Parametres!$B$7,0)+1,0)</f>
        <v>3</v>
      </c>
      <c r="N284" s="3" t="n">
        <f aca="false">SUMIFS(Equipes!$D$2:$D$60,Equipes!$A$2:$A$60,"LOT-07",Equipes!$B$2:$B$60,"&lt;="&amp;$A284,Equipes!$C$2:$C$60,"&gt;="&amp;$A284)</f>
        <v>0</v>
      </c>
      <c r="O284" s="3" t="n">
        <f aca="false">IF(N284&gt;0,ROUNDUP(N284/Parametres!$B$7,0)+1,0)</f>
        <v>0</v>
      </c>
      <c r="P284" s="3" t="n">
        <f aca="false">SUMIFS(Equipes!$D$2:$D$60,Equipes!$A$2:$A$60,"LOT-08",Equipes!$B$2:$B$60,"&lt;="&amp;$A284,Equipes!$C$2:$C$60,"&gt;="&amp;$A284)</f>
        <v>0</v>
      </c>
      <c r="Q284" s="3" t="n">
        <f aca="false">IF(P284&gt;0,ROUNDUP(P284/Parametres!$B$7,0)+1,0)</f>
        <v>0</v>
      </c>
    </row>
    <row r="285" customFormat="false" ht="15" hidden="false" customHeight="false" outlineLevel="0" collapsed="false">
      <c r="A285" s="2" t="n">
        <v>46366</v>
      </c>
      <c r="B285" s="3" t="n">
        <f aca="false">SUMIFS(Equipes!$D$2:$D$60,Equipes!$A$2:$A$60,"LOT-01",Equipes!$B$2:$B$60,"&lt;="&amp;$A285,Equipes!$C$2:$C$60,"&gt;="&amp;$A285)</f>
        <v>0</v>
      </c>
      <c r="C285" s="3" t="n">
        <f aca="false">IF(B285&gt;0,ROUNDUP(B285/Parametres!$B$7,0)+1,0)</f>
        <v>0</v>
      </c>
      <c r="D285" s="3" t="n">
        <f aca="false">SUMIFS(Equipes!$D$2:$D$60,Equipes!$A$2:$A$60,"LOT-02",Equipes!$B$2:$B$60,"&lt;="&amp;$A285,Equipes!$C$2:$C$60,"&gt;="&amp;$A285)</f>
        <v>0</v>
      </c>
      <c r="E285" s="3" t="n">
        <f aca="false">IF(D285&gt;0,ROUNDUP(D285/Parametres!$B$7,0)+1,0)</f>
        <v>0</v>
      </c>
      <c r="F285" s="3" t="n">
        <f aca="false">SUMIFS(Equipes!$D$2:$D$60,Equipes!$A$2:$A$60,"LOT-03",Equipes!$B$2:$B$60,"&lt;="&amp;$A285,Equipes!$C$2:$C$60,"&gt;="&amp;$A285)</f>
        <v>0</v>
      </c>
      <c r="G285" s="3" t="n">
        <f aca="false">IF(F285&gt;0,ROUNDUP(F285/Parametres!$B$7,0)+1,0)</f>
        <v>0</v>
      </c>
      <c r="H285" s="3" t="n">
        <f aca="false">SUMIFS(Equipes!$D$2:$D$60,Equipes!$A$2:$A$60,"LOT-04",Equipes!$B$2:$B$60,"&lt;="&amp;$A285,Equipes!$C$2:$C$60,"&gt;="&amp;$A285)</f>
        <v>0</v>
      </c>
      <c r="I285" s="3" t="n">
        <f aca="false">IF(H285&gt;0,ROUNDUP(H285/Parametres!$B$7,0)+1,0)</f>
        <v>0</v>
      </c>
      <c r="J285" s="3" t="n">
        <f aca="false">SUMIFS(Equipes!$D$2:$D$60,Equipes!$A$2:$A$60,"LOT-05",Equipes!$B$2:$B$60,"&lt;="&amp;$A285,Equipes!$C$2:$C$60,"&gt;="&amp;$A285)</f>
        <v>6</v>
      </c>
      <c r="K285" s="3" t="n">
        <f aca="false">IF(J285&gt;0,ROUNDUP(J285/Parametres!$B$7,0)+1,0)</f>
        <v>2</v>
      </c>
      <c r="L285" s="3" t="n">
        <f aca="false">SUMIFS(Equipes!$D$2:$D$60,Equipes!$A$2:$A$60,"LOT-06",Equipes!$B$2:$B$60,"&lt;="&amp;$A285,Equipes!$C$2:$C$60,"&gt;="&amp;$A285)</f>
        <v>22</v>
      </c>
      <c r="M285" s="3" t="n">
        <f aca="false">IF(L285&gt;0,ROUNDUP(L285/Parametres!$B$7,0)+1,0)</f>
        <v>3</v>
      </c>
      <c r="N285" s="3" t="n">
        <f aca="false">SUMIFS(Equipes!$D$2:$D$60,Equipes!$A$2:$A$60,"LOT-07",Equipes!$B$2:$B$60,"&lt;="&amp;$A285,Equipes!$C$2:$C$60,"&gt;="&amp;$A285)</f>
        <v>0</v>
      </c>
      <c r="O285" s="3" t="n">
        <f aca="false">IF(N285&gt;0,ROUNDUP(N285/Parametres!$B$7,0)+1,0)</f>
        <v>0</v>
      </c>
      <c r="P285" s="3" t="n">
        <f aca="false">SUMIFS(Equipes!$D$2:$D$60,Equipes!$A$2:$A$60,"LOT-08",Equipes!$B$2:$B$60,"&lt;="&amp;$A285,Equipes!$C$2:$C$60,"&gt;="&amp;$A285)</f>
        <v>0</v>
      </c>
      <c r="Q285" s="3" t="n">
        <f aca="false">IF(P285&gt;0,ROUNDUP(P285/Parametres!$B$7,0)+1,0)</f>
        <v>0</v>
      </c>
    </row>
    <row r="286" customFormat="false" ht="15" hidden="false" customHeight="false" outlineLevel="0" collapsed="false">
      <c r="A286" s="2" t="n">
        <v>46367</v>
      </c>
      <c r="B286" s="3" t="n">
        <f aca="false">SUMIFS(Equipes!$D$2:$D$60,Equipes!$A$2:$A$60,"LOT-01",Equipes!$B$2:$B$60,"&lt;="&amp;$A286,Equipes!$C$2:$C$60,"&gt;="&amp;$A286)</f>
        <v>0</v>
      </c>
      <c r="C286" s="3" t="n">
        <f aca="false">IF(B286&gt;0,ROUNDUP(B286/Parametres!$B$7,0)+1,0)</f>
        <v>0</v>
      </c>
      <c r="D286" s="3" t="n">
        <f aca="false">SUMIFS(Equipes!$D$2:$D$60,Equipes!$A$2:$A$60,"LOT-02",Equipes!$B$2:$B$60,"&lt;="&amp;$A286,Equipes!$C$2:$C$60,"&gt;="&amp;$A286)</f>
        <v>0</v>
      </c>
      <c r="E286" s="3" t="n">
        <f aca="false">IF(D286&gt;0,ROUNDUP(D286/Parametres!$B$7,0)+1,0)</f>
        <v>0</v>
      </c>
      <c r="F286" s="3" t="n">
        <f aca="false">SUMIFS(Equipes!$D$2:$D$60,Equipes!$A$2:$A$60,"LOT-03",Equipes!$B$2:$B$60,"&lt;="&amp;$A286,Equipes!$C$2:$C$60,"&gt;="&amp;$A286)</f>
        <v>0</v>
      </c>
      <c r="G286" s="3" t="n">
        <f aca="false">IF(F286&gt;0,ROUNDUP(F286/Parametres!$B$7,0)+1,0)</f>
        <v>0</v>
      </c>
      <c r="H286" s="3" t="n">
        <f aca="false">SUMIFS(Equipes!$D$2:$D$60,Equipes!$A$2:$A$60,"LOT-04",Equipes!$B$2:$B$60,"&lt;="&amp;$A286,Equipes!$C$2:$C$60,"&gt;="&amp;$A286)</f>
        <v>0</v>
      </c>
      <c r="I286" s="3" t="n">
        <f aca="false">IF(H286&gt;0,ROUNDUP(H286/Parametres!$B$7,0)+1,0)</f>
        <v>0</v>
      </c>
      <c r="J286" s="3" t="n">
        <f aca="false">SUMIFS(Equipes!$D$2:$D$60,Equipes!$A$2:$A$60,"LOT-05",Equipes!$B$2:$B$60,"&lt;="&amp;$A286,Equipes!$C$2:$C$60,"&gt;="&amp;$A286)</f>
        <v>6</v>
      </c>
      <c r="K286" s="3" t="n">
        <f aca="false">IF(J286&gt;0,ROUNDUP(J286/Parametres!$B$7,0)+1,0)</f>
        <v>2</v>
      </c>
      <c r="L286" s="3" t="n">
        <f aca="false">SUMIFS(Equipes!$D$2:$D$60,Equipes!$A$2:$A$60,"LOT-06",Equipes!$B$2:$B$60,"&lt;="&amp;$A286,Equipes!$C$2:$C$60,"&gt;="&amp;$A286)</f>
        <v>22</v>
      </c>
      <c r="M286" s="3" t="n">
        <f aca="false">IF(L286&gt;0,ROUNDUP(L286/Parametres!$B$7,0)+1,0)</f>
        <v>3</v>
      </c>
      <c r="N286" s="3" t="n">
        <f aca="false">SUMIFS(Equipes!$D$2:$D$60,Equipes!$A$2:$A$60,"LOT-07",Equipes!$B$2:$B$60,"&lt;="&amp;$A286,Equipes!$C$2:$C$60,"&gt;="&amp;$A286)</f>
        <v>0</v>
      </c>
      <c r="O286" s="3" t="n">
        <f aca="false">IF(N286&gt;0,ROUNDUP(N286/Parametres!$B$7,0)+1,0)</f>
        <v>0</v>
      </c>
      <c r="P286" s="3" t="n">
        <f aca="false">SUMIFS(Equipes!$D$2:$D$60,Equipes!$A$2:$A$60,"LOT-08",Equipes!$B$2:$B$60,"&lt;="&amp;$A286,Equipes!$C$2:$C$60,"&gt;="&amp;$A286)</f>
        <v>0</v>
      </c>
      <c r="Q286" s="3" t="n">
        <f aca="false">IF(P286&gt;0,ROUNDUP(P286/Parametres!$B$7,0)+1,0)</f>
        <v>0</v>
      </c>
    </row>
    <row r="287" customFormat="false" ht="15" hidden="false" customHeight="false" outlineLevel="0" collapsed="false">
      <c r="A287" s="2" t="n">
        <v>46368</v>
      </c>
      <c r="B287" s="3" t="n">
        <f aca="false">SUMIFS(Equipes!$D$2:$D$60,Equipes!$A$2:$A$60,"LOT-01",Equipes!$B$2:$B$60,"&lt;="&amp;$A287,Equipes!$C$2:$C$60,"&gt;="&amp;$A287)</f>
        <v>0</v>
      </c>
      <c r="C287" s="3" t="n">
        <f aca="false">IF(B287&gt;0,ROUNDUP(B287/Parametres!$B$7,0)+1,0)</f>
        <v>0</v>
      </c>
      <c r="D287" s="3" t="n">
        <f aca="false">SUMIFS(Equipes!$D$2:$D$60,Equipes!$A$2:$A$60,"LOT-02",Equipes!$B$2:$B$60,"&lt;="&amp;$A287,Equipes!$C$2:$C$60,"&gt;="&amp;$A287)</f>
        <v>0</v>
      </c>
      <c r="E287" s="3" t="n">
        <f aca="false">IF(D287&gt;0,ROUNDUP(D287/Parametres!$B$7,0)+1,0)</f>
        <v>0</v>
      </c>
      <c r="F287" s="3" t="n">
        <f aca="false">SUMIFS(Equipes!$D$2:$D$60,Equipes!$A$2:$A$60,"LOT-03",Equipes!$B$2:$B$60,"&lt;="&amp;$A287,Equipes!$C$2:$C$60,"&gt;="&amp;$A287)</f>
        <v>0</v>
      </c>
      <c r="G287" s="3" t="n">
        <f aca="false">IF(F287&gt;0,ROUNDUP(F287/Parametres!$B$7,0)+1,0)</f>
        <v>0</v>
      </c>
      <c r="H287" s="3" t="n">
        <f aca="false">SUMIFS(Equipes!$D$2:$D$60,Equipes!$A$2:$A$60,"LOT-04",Equipes!$B$2:$B$60,"&lt;="&amp;$A287,Equipes!$C$2:$C$60,"&gt;="&amp;$A287)</f>
        <v>0</v>
      </c>
      <c r="I287" s="3" t="n">
        <f aca="false">IF(H287&gt;0,ROUNDUP(H287/Parametres!$B$7,0)+1,0)</f>
        <v>0</v>
      </c>
      <c r="J287" s="3" t="n">
        <f aca="false">SUMIFS(Equipes!$D$2:$D$60,Equipes!$A$2:$A$60,"LOT-05",Equipes!$B$2:$B$60,"&lt;="&amp;$A287,Equipes!$C$2:$C$60,"&gt;="&amp;$A287)</f>
        <v>6</v>
      </c>
      <c r="K287" s="3" t="n">
        <f aca="false">IF(J287&gt;0,ROUNDUP(J287/Parametres!$B$7,0)+1,0)</f>
        <v>2</v>
      </c>
      <c r="L287" s="3" t="n">
        <f aca="false">SUMIFS(Equipes!$D$2:$D$60,Equipes!$A$2:$A$60,"LOT-06",Equipes!$B$2:$B$60,"&lt;="&amp;$A287,Equipes!$C$2:$C$60,"&gt;="&amp;$A287)</f>
        <v>22</v>
      </c>
      <c r="M287" s="3" t="n">
        <f aca="false">IF(L287&gt;0,ROUNDUP(L287/Parametres!$B$7,0)+1,0)</f>
        <v>3</v>
      </c>
      <c r="N287" s="3" t="n">
        <f aca="false">SUMIFS(Equipes!$D$2:$D$60,Equipes!$A$2:$A$60,"LOT-07",Equipes!$B$2:$B$60,"&lt;="&amp;$A287,Equipes!$C$2:$C$60,"&gt;="&amp;$A287)</f>
        <v>0</v>
      </c>
      <c r="O287" s="3" t="n">
        <f aca="false">IF(N287&gt;0,ROUNDUP(N287/Parametres!$B$7,0)+1,0)</f>
        <v>0</v>
      </c>
      <c r="P287" s="3" t="n">
        <f aca="false">SUMIFS(Equipes!$D$2:$D$60,Equipes!$A$2:$A$60,"LOT-08",Equipes!$B$2:$B$60,"&lt;="&amp;$A287,Equipes!$C$2:$C$60,"&gt;="&amp;$A287)</f>
        <v>0</v>
      </c>
      <c r="Q287" s="3" t="n">
        <f aca="false">IF(P287&gt;0,ROUNDUP(P287/Parametres!$B$7,0)+1,0)</f>
        <v>0</v>
      </c>
    </row>
    <row r="288" customFormat="false" ht="15" hidden="false" customHeight="false" outlineLevel="0" collapsed="false">
      <c r="A288" s="2" t="n">
        <v>46369</v>
      </c>
      <c r="B288" s="3" t="n">
        <f aca="false">SUMIFS(Equipes!$D$2:$D$60,Equipes!$A$2:$A$60,"LOT-01",Equipes!$B$2:$B$60,"&lt;="&amp;$A288,Equipes!$C$2:$C$60,"&gt;="&amp;$A288)</f>
        <v>0</v>
      </c>
      <c r="C288" s="3" t="n">
        <f aca="false">IF(B288&gt;0,ROUNDUP(B288/Parametres!$B$7,0)+1,0)</f>
        <v>0</v>
      </c>
      <c r="D288" s="3" t="n">
        <f aca="false">SUMIFS(Equipes!$D$2:$D$60,Equipes!$A$2:$A$60,"LOT-02",Equipes!$B$2:$B$60,"&lt;="&amp;$A288,Equipes!$C$2:$C$60,"&gt;="&amp;$A288)</f>
        <v>0</v>
      </c>
      <c r="E288" s="3" t="n">
        <f aca="false">IF(D288&gt;0,ROUNDUP(D288/Parametres!$B$7,0)+1,0)</f>
        <v>0</v>
      </c>
      <c r="F288" s="3" t="n">
        <f aca="false">SUMIFS(Equipes!$D$2:$D$60,Equipes!$A$2:$A$60,"LOT-03",Equipes!$B$2:$B$60,"&lt;="&amp;$A288,Equipes!$C$2:$C$60,"&gt;="&amp;$A288)</f>
        <v>0</v>
      </c>
      <c r="G288" s="3" t="n">
        <f aca="false">IF(F288&gt;0,ROUNDUP(F288/Parametres!$B$7,0)+1,0)</f>
        <v>0</v>
      </c>
      <c r="H288" s="3" t="n">
        <f aca="false">SUMIFS(Equipes!$D$2:$D$60,Equipes!$A$2:$A$60,"LOT-04",Equipes!$B$2:$B$60,"&lt;="&amp;$A288,Equipes!$C$2:$C$60,"&gt;="&amp;$A288)</f>
        <v>0</v>
      </c>
      <c r="I288" s="3" t="n">
        <f aca="false">IF(H288&gt;0,ROUNDUP(H288/Parametres!$B$7,0)+1,0)</f>
        <v>0</v>
      </c>
      <c r="J288" s="3" t="n">
        <f aca="false">SUMIFS(Equipes!$D$2:$D$60,Equipes!$A$2:$A$60,"LOT-05",Equipes!$B$2:$B$60,"&lt;="&amp;$A288,Equipes!$C$2:$C$60,"&gt;="&amp;$A288)</f>
        <v>6</v>
      </c>
      <c r="K288" s="3" t="n">
        <f aca="false">IF(J288&gt;0,ROUNDUP(J288/Parametres!$B$7,0)+1,0)</f>
        <v>2</v>
      </c>
      <c r="L288" s="3" t="n">
        <f aca="false">SUMIFS(Equipes!$D$2:$D$60,Equipes!$A$2:$A$60,"LOT-06",Equipes!$B$2:$B$60,"&lt;="&amp;$A288,Equipes!$C$2:$C$60,"&gt;="&amp;$A288)</f>
        <v>22</v>
      </c>
      <c r="M288" s="3" t="n">
        <f aca="false">IF(L288&gt;0,ROUNDUP(L288/Parametres!$B$7,0)+1,0)</f>
        <v>3</v>
      </c>
      <c r="N288" s="3" t="n">
        <f aca="false">SUMIFS(Equipes!$D$2:$D$60,Equipes!$A$2:$A$60,"LOT-07",Equipes!$B$2:$B$60,"&lt;="&amp;$A288,Equipes!$C$2:$C$60,"&gt;="&amp;$A288)</f>
        <v>0</v>
      </c>
      <c r="O288" s="3" t="n">
        <f aca="false">IF(N288&gt;0,ROUNDUP(N288/Parametres!$B$7,0)+1,0)</f>
        <v>0</v>
      </c>
      <c r="P288" s="3" t="n">
        <f aca="false">SUMIFS(Equipes!$D$2:$D$60,Equipes!$A$2:$A$60,"LOT-08",Equipes!$B$2:$B$60,"&lt;="&amp;$A288,Equipes!$C$2:$C$60,"&gt;="&amp;$A288)</f>
        <v>0</v>
      </c>
      <c r="Q288" s="3" t="n">
        <f aca="false">IF(P288&gt;0,ROUNDUP(P288/Parametres!$B$7,0)+1,0)</f>
        <v>0</v>
      </c>
    </row>
    <row r="289" customFormat="false" ht="15" hidden="false" customHeight="false" outlineLevel="0" collapsed="false">
      <c r="A289" s="2" t="n">
        <v>46370</v>
      </c>
      <c r="B289" s="3" t="n">
        <f aca="false">SUMIFS(Equipes!$D$2:$D$60,Equipes!$A$2:$A$60,"LOT-01",Equipes!$B$2:$B$60,"&lt;="&amp;$A289,Equipes!$C$2:$C$60,"&gt;="&amp;$A289)</f>
        <v>0</v>
      </c>
      <c r="C289" s="3" t="n">
        <f aca="false">IF(B289&gt;0,ROUNDUP(B289/Parametres!$B$7,0)+1,0)</f>
        <v>0</v>
      </c>
      <c r="D289" s="3" t="n">
        <f aca="false">SUMIFS(Equipes!$D$2:$D$60,Equipes!$A$2:$A$60,"LOT-02",Equipes!$B$2:$B$60,"&lt;="&amp;$A289,Equipes!$C$2:$C$60,"&gt;="&amp;$A289)</f>
        <v>0</v>
      </c>
      <c r="E289" s="3" t="n">
        <f aca="false">IF(D289&gt;0,ROUNDUP(D289/Parametres!$B$7,0)+1,0)</f>
        <v>0</v>
      </c>
      <c r="F289" s="3" t="n">
        <f aca="false">SUMIFS(Equipes!$D$2:$D$60,Equipes!$A$2:$A$60,"LOT-03",Equipes!$B$2:$B$60,"&lt;="&amp;$A289,Equipes!$C$2:$C$60,"&gt;="&amp;$A289)</f>
        <v>0</v>
      </c>
      <c r="G289" s="3" t="n">
        <f aca="false">IF(F289&gt;0,ROUNDUP(F289/Parametres!$B$7,0)+1,0)</f>
        <v>0</v>
      </c>
      <c r="H289" s="3" t="n">
        <f aca="false">SUMIFS(Equipes!$D$2:$D$60,Equipes!$A$2:$A$60,"LOT-04",Equipes!$B$2:$B$60,"&lt;="&amp;$A289,Equipes!$C$2:$C$60,"&gt;="&amp;$A289)</f>
        <v>0</v>
      </c>
      <c r="I289" s="3" t="n">
        <f aca="false">IF(H289&gt;0,ROUNDUP(H289/Parametres!$B$7,0)+1,0)</f>
        <v>0</v>
      </c>
      <c r="J289" s="3" t="n">
        <f aca="false">SUMIFS(Equipes!$D$2:$D$60,Equipes!$A$2:$A$60,"LOT-05",Equipes!$B$2:$B$60,"&lt;="&amp;$A289,Equipes!$C$2:$C$60,"&gt;="&amp;$A289)</f>
        <v>6</v>
      </c>
      <c r="K289" s="3" t="n">
        <f aca="false">IF(J289&gt;0,ROUNDUP(J289/Parametres!$B$7,0)+1,0)</f>
        <v>2</v>
      </c>
      <c r="L289" s="3" t="n">
        <f aca="false">SUMIFS(Equipes!$D$2:$D$60,Equipes!$A$2:$A$60,"LOT-06",Equipes!$B$2:$B$60,"&lt;="&amp;$A289,Equipes!$C$2:$C$60,"&gt;="&amp;$A289)</f>
        <v>22</v>
      </c>
      <c r="M289" s="3" t="n">
        <f aca="false">IF(L289&gt;0,ROUNDUP(L289/Parametres!$B$7,0)+1,0)</f>
        <v>3</v>
      </c>
      <c r="N289" s="3" t="n">
        <f aca="false">SUMIFS(Equipes!$D$2:$D$60,Equipes!$A$2:$A$60,"LOT-07",Equipes!$B$2:$B$60,"&lt;="&amp;$A289,Equipes!$C$2:$C$60,"&gt;="&amp;$A289)</f>
        <v>0</v>
      </c>
      <c r="O289" s="3" t="n">
        <f aca="false">IF(N289&gt;0,ROUNDUP(N289/Parametres!$B$7,0)+1,0)</f>
        <v>0</v>
      </c>
      <c r="P289" s="3" t="n">
        <f aca="false">SUMIFS(Equipes!$D$2:$D$60,Equipes!$A$2:$A$60,"LOT-08",Equipes!$B$2:$B$60,"&lt;="&amp;$A289,Equipes!$C$2:$C$60,"&gt;="&amp;$A289)</f>
        <v>0</v>
      </c>
      <c r="Q289" s="3" t="n">
        <f aca="false">IF(P289&gt;0,ROUNDUP(P289/Parametres!$B$7,0)+1,0)</f>
        <v>0</v>
      </c>
    </row>
    <row r="290" customFormat="false" ht="15" hidden="false" customHeight="false" outlineLevel="0" collapsed="false">
      <c r="A290" s="2" t="n">
        <v>46371</v>
      </c>
      <c r="B290" s="3" t="n">
        <f aca="false">SUMIFS(Equipes!$D$2:$D$60,Equipes!$A$2:$A$60,"LOT-01",Equipes!$B$2:$B$60,"&lt;="&amp;$A290,Equipes!$C$2:$C$60,"&gt;="&amp;$A290)</f>
        <v>0</v>
      </c>
      <c r="C290" s="3" t="n">
        <f aca="false">IF(B290&gt;0,ROUNDUP(B290/Parametres!$B$7,0)+1,0)</f>
        <v>0</v>
      </c>
      <c r="D290" s="3" t="n">
        <f aca="false">SUMIFS(Equipes!$D$2:$D$60,Equipes!$A$2:$A$60,"LOT-02",Equipes!$B$2:$B$60,"&lt;="&amp;$A290,Equipes!$C$2:$C$60,"&gt;="&amp;$A290)</f>
        <v>0</v>
      </c>
      <c r="E290" s="3" t="n">
        <f aca="false">IF(D290&gt;0,ROUNDUP(D290/Parametres!$B$7,0)+1,0)</f>
        <v>0</v>
      </c>
      <c r="F290" s="3" t="n">
        <f aca="false">SUMIFS(Equipes!$D$2:$D$60,Equipes!$A$2:$A$60,"LOT-03",Equipes!$B$2:$B$60,"&lt;="&amp;$A290,Equipes!$C$2:$C$60,"&gt;="&amp;$A290)</f>
        <v>0</v>
      </c>
      <c r="G290" s="3" t="n">
        <f aca="false">IF(F290&gt;0,ROUNDUP(F290/Parametres!$B$7,0)+1,0)</f>
        <v>0</v>
      </c>
      <c r="H290" s="3" t="n">
        <f aca="false">SUMIFS(Equipes!$D$2:$D$60,Equipes!$A$2:$A$60,"LOT-04",Equipes!$B$2:$B$60,"&lt;="&amp;$A290,Equipes!$C$2:$C$60,"&gt;="&amp;$A290)</f>
        <v>0</v>
      </c>
      <c r="I290" s="3" t="n">
        <f aca="false">IF(H290&gt;0,ROUNDUP(H290/Parametres!$B$7,0)+1,0)</f>
        <v>0</v>
      </c>
      <c r="J290" s="3" t="n">
        <f aca="false">SUMIFS(Equipes!$D$2:$D$60,Equipes!$A$2:$A$60,"LOT-05",Equipes!$B$2:$B$60,"&lt;="&amp;$A290,Equipes!$C$2:$C$60,"&gt;="&amp;$A290)</f>
        <v>6</v>
      </c>
      <c r="K290" s="3" t="n">
        <f aca="false">IF(J290&gt;0,ROUNDUP(J290/Parametres!$B$7,0)+1,0)</f>
        <v>2</v>
      </c>
      <c r="L290" s="3" t="n">
        <f aca="false">SUMIFS(Equipes!$D$2:$D$60,Equipes!$A$2:$A$60,"LOT-06",Equipes!$B$2:$B$60,"&lt;="&amp;$A290,Equipes!$C$2:$C$60,"&gt;="&amp;$A290)</f>
        <v>22</v>
      </c>
      <c r="M290" s="3" t="n">
        <f aca="false">IF(L290&gt;0,ROUNDUP(L290/Parametres!$B$7,0)+1,0)</f>
        <v>3</v>
      </c>
      <c r="N290" s="3" t="n">
        <f aca="false">SUMIFS(Equipes!$D$2:$D$60,Equipes!$A$2:$A$60,"LOT-07",Equipes!$B$2:$B$60,"&lt;="&amp;$A290,Equipes!$C$2:$C$60,"&gt;="&amp;$A290)</f>
        <v>0</v>
      </c>
      <c r="O290" s="3" t="n">
        <f aca="false">IF(N290&gt;0,ROUNDUP(N290/Parametres!$B$7,0)+1,0)</f>
        <v>0</v>
      </c>
      <c r="P290" s="3" t="n">
        <f aca="false">SUMIFS(Equipes!$D$2:$D$60,Equipes!$A$2:$A$60,"LOT-08",Equipes!$B$2:$B$60,"&lt;="&amp;$A290,Equipes!$C$2:$C$60,"&gt;="&amp;$A290)</f>
        <v>0</v>
      </c>
      <c r="Q290" s="3" t="n">
        <f aca="false">IF(P290&gt;0,ROUNDUP(P290/Parametres!$B$7,0)+1,0)</f>
        <v>0</v>
      </c>
    </row>
    <row r="291" customFormat="false" ht="15" hidden="false" customHeight="false" outlineLevel="0" collapsed="false">
      <c r="A291" s="2" t="n">
        <v>46372</v>
      </c>
      <c r="B291" s="3" t="n">
        <f aca="false">SUMIFS(Equipes!$D$2:$D$60,Equipes!$A$2:$A$60,"LOT-01",Equipes!$B$2:$B$60,"&lt;="&amp;$A291,Equipes!$C$2:$C$60,"&gt;="&amp;$A291)</f>
        <v>0</v>
      </c>
      <c r="C291" s="3" t="n">
        <f aca="false">IF(B291&gt;0,ROUNDUP(B291/Parametres!$B$7,0)+1,0)</f>
        <v>0</v>
      </c>
      <c r="D291" s="3" t="n">
        <f aca="false">SUMIFS(Equipes!$D$2:$D$60,Equipes!$A$2:$A$60,"LOT-02",Equipes!$B$2:$B$60,"&lt;="&amp;$A291,Equipes!$C$2:$C$60,"&gt;="&amp;$A291)</f>
        <v>0</v>
      </c>
      <c r="E291" s="3" t="n">
        <f aca="false">IF(D291&gt;0,ROUNDUP(D291/Parametres!$B$7,0)+1,0)</f>
        <v>0</v>
      </c>
      <c r="F291" s="3" t="n">
        <f aca="false">SUMIFS(Equipes!$D$2:$D$60,Equipes!$A$2:$A$60,"LOT-03",Equipes!$B$2:$B$60,"&lt;="&amp;$A291,Equipes!$C$2:$C$60,"&gt;="&amp;$A291)</f>
        <v>0</v>
      </c>
      <c r="G291" s="3" t="n">
        <f aca="false">IF(F291&gt;0,ROUNDUP(F291/Parametres!$B$7,0)+1,0)</f>
        <v>0</v>
      </c>
      <c r="H291" s="3" t="n">
        <f aca="false">SUMIFS(Equipes!$D$2:$D$60,Equipes!$A$2:$A$60,"LOT-04",Equipes!$B$2:$B$60,"&lt;="&amp;$A291,Equipes!$C$2:$C$60,"&gt;="&amp;$A291)</f>
        <v>0</v>
      </c>
      <c r="I291" s="3" t="n">
        <f aca="false">IF(H291&gt;0,ROUNDUP(H291/Parametres!$B$7,0)+1,0)</f>
        <v>0</v>
      </c>
      <c r="J291" s="3" t="n">
        <f aca="false">SUMIFS(Equipes!$D$2:$D$60,Equipes!$A$2:$A$60,"LOT-05",Equipes!$B$2:$B$60,"&lt;="&amp;$A291,Equipes!$C$2:$C$60,"&gt;="&amp;$A291)</f>
        <v>6</v>
      </c>
      <c r="K291" s="3" t="n">
        <f aca="false">IF(J291&gt;0,ROUNDUP(J291/Parametres!$B$7,0)+1,0)</f>
        <v>2</v>
      </c>
      <c r="L291" s="3" t="n">
        <f aca="false">SUMIFS(Equipes!$D$2:$D$60,Equipes!$A$2:$A$60,"LOT-06",Equipes!$B$2:$B$60,"&lt;="&amp;$A291,Equipes!$C$2:$C$60,"&gt;="&amp;$A291)</f>
        <v>22</v>
      </c>
      <c r="M291" s="3" t="n">
        <f aca="false">IF(L291&gt;0,ROUNDUP(L291/Parametres!$B$7,0)+1,0)</f>
        <v>3</v>
      </c>
      <c r="N291" s="3" t="n">
        <f aca="false">SUMIFS(Equipes!$D$2:$D$60,Equipes!$A$2:$A$60,"LOT-07",Equipes!$B$2:$B$60,"&lt;="&amp;$A291,Equipes!$C$2:$C$60,"&gt;="&amp;$A291)</f>
        <v>0</v>
      </c>
      <c r="O291" s="3" t="n">
        <f aca="false">IF(N291&gt;0,ROUNDUP(N291/Parametres!$B$7,0)+1,0)</f>
        <v>0</v>
      </c>
      <c r="P291" s="3" t="n">
        <f aca="false">SUMIFS(Equipes!$D$2:$D$60,Equipes!$A$2:$A$60,"LOT-08",Equipes!$B$2:$B$60,"&lt;="&amp;$A291,Equipes!$C$2:$C$60,"&gt;="&amp;$A291)</f>
        <v>0</v>
      </c>
      <c r="Q291" s="3" t="n">
        <f aca="false">IF(P291&gt;0,ROUNDUP(P291/Parametres!$B$7,0)+1,0)</f>
        <v>0</v>
      </c>
    </row>
    <row r="292" customFormat="false" ht="15" hidden="false" customHeight="false" outlineLevel="0" collapsed="false">
      <c r="A292" s="2" t="n">
        <v>46373</v>
      </c>
      <c r="B292" s="3" t="n">
        <f aca="false">SUMIFS(Equipes!$D$2:$D$60,Equipes!$A$2:$A$60,"LOT-01",Equipes!$B$2:$B$60,"&lt;="&amp;$A292,Equipes!$C$2:$C$60,"&gt;="&amp;$A292)</f>
        <v>0</v>
      </c>
      <c r="C292" s="3" t="n">
        <f aca="false">IF(B292&gt;0,ROUNDUP(B292/Parametres!$B$7,0)+1,0)</f>
        <v>0</v>
      </c>
      <c r="D292" s="3" t="n">
        <f aca="false">SUMIFS(Equipes!$D$2:$D$60,Equipes!$A$2:$A$60,"LOT-02",Equipes!$B$2:$B$60,"&lt;="&amp;$A292,Equipes!$C$2:$C$60,"&gt;="&amp;$A292)</f>
        <v>0</v>
      </c>
      <c r="E292" s="3" t="n">
        <f aca="false">IF(D292&gt;0,ROUNDUP(D292/Parametres!$B$7,0)+1,0)</f>
        <v>0</v>
      </c>
      <c r="F292" s="3" t="n">
        <f aca="false">SUMIFS(Equipes!$D$2:$D$60,Equipes!$A$2:$A$60,"LOT-03",Equipes!$B$2:$B$60,"&lt;="&amp;$A292,Equipes!$C$2:$C$60,"&gt;="&amp;$A292)</f>
        <v>0</v>
      </c>
      <c r="G292" s="3" t="n">
        <f aca="false">IF(F292&gt;0,ROUNDUP(F292/Parametres!$B$7,0)+1,0)</f>
        <v>0</v>
      </c>
      <c r="H292" s="3" t="n">
        <f aca="false">SUMIFS(Equipes!$D$2:$D$60,Equipes!$A$2:$A$60,"LOT-04",Equipes!$B$2:$B$60,"&lt;="&amp;$A292,Equipes!$C$2:$C$60,"&gt;="&amp;$A292)</f>
        <v>0</v>
      </c>
      <c r="I292" s="3" t="n">
        <f aca="false">IF(H292&gt;0,ROUNDUP(H292/Parametres!$B$7,0)+1,0)</f>
        <v>0</v>
      </c>
      <c r="J292" s="3" t="n">
        <f aca="false">SUMIFS(Equipes!$D$2:$D$60,Equipes!$A$2:$A$60,"LOT-05",Equipes!$B$2:$B$60,"&lt;="&amp;$A292,Equipes!$C$2:$C$60,"&gt;="&amp;$A292)</f>
        <v>0</v>
      </c>
      <c r="K292" s="3" t="n">
        <f aca="false">IF(J292&gt;0,ROUNDUP(J292/Parametres!$B$7,0)+1,0)</f>
        <v>0</v>
      </c>
      <c r="L292" s="3" t="n">
        <f aca="false">SUMIFS(Equipes!$D$2:$D$60,Equipes!$A$2:$A$60,"LOT-06",Equipes!$B$2:$B$60,"&lt;="&amp;$A292,Equipes!$C$2:$C$60,"&gt;="&amp;$A292)</f>
        <v>22</v>
      </c>
      <c r="M292" s="3" t="n">
        <f aca="false">IF(L292&gt;0,ROUNDUP(L292/Parametres!$B$7,0)+1,0)</f>
        <v>3</v>
      </c>
      <c r="N292" s="3" t="n">
        <f aca="false">SUMIFS(Equipes!$D$2:$D$60,Equipes!$A$2:$A$60,"LOT-07",Equipes!$B$2:$B$60,"&lt;="&amp;$A292,Equipes!$C$2:$C$60,"&gt;="&amp;$A292)</f>
        <v>0</v>
      </c>
      <c r="O292" s="3" t="n">
        <f aca="false">IF(N292&gt;0,ROUNDUP(N292/Parametres!$B$7,0)+1,0)</f>
        <v>0</v>
      </c>
      <c r="P292" s="3" t="n">
        <f aca="false">SUMIFS(Equipes!$D$2:$D$60,Equipes!$A$2:$A$60,"LOT-08",Equipes!$B$2:$B$60,"&lt;="&amp;$A292,Equipes!$C$2:$C$60,"&gt;="&amp;$A292)</f>
        <v>0</v>
      </c>
      <c r="Q292" s="3" t="n">
        <f aca="false">IF(P292&gt;0,ROUNDUP(P292/Parametres!$B$7,0)+1,0)</f>
        <v>0</v>
      </c>
    </row>
    <row r="293" customFormat="false" ht="15" hidden="false" customHeight="false" outlineLevel="0" collapsed="false">
      <c r="A293" s="2" t="n">
        <v>46374</v>
      </c>
      <c r="B293" s="3" t="n">
        <f aca="false">SUMIFS(Equipes!$D$2:$D$60,Equipes!$A$2:$A$60,"LOT-01",Equipes!$B$2:$B$60,"&lt;="&amp;$A293,Equipes!$C$2:$C$60,"&gt;="&amp;$A293)</f>
        <v>0</v>
      </c>
      <c r="C293" s="3" t="n">
        <f aca="false">IF(B293&gt;0,ROUNDUP(B293/Parametres!$B$7,0)+1,0)</f>
        <v>0</v>
      </c>
      <c r="D293" s="3" t="n">
        <f aca="false">SUMIFS(Equipes!$D$2:$D$60,Equipes!$A$2:$A$60,"LOT-02",Equipes!$B$2:$B$60,"&lt;="&amp;$A293,Equipes!$C$2:$C$60,"&gt;="&amp;$A293)</f>
        <v>0</v>
      </c>
      <c r="E293" s="3" t="n">
        <f aca="false">IF(D293&gt;0,ROUNDUP(D293/Parametres!$B$7,0)+1,0)</f>
        <v>0</v>
      </c>
      <c r="F293" s="3" t="n">
        <f aca="false">SUMIFS(Equipes!$D$2:$D$60,Equipes!$A$2:$A$60,"LOT-03",Equipes!$B$2:$B$60,"&lt;="&amp;$A293,Equipes!$C$2:$C$60,"&gt;="&amp;$A293)</f>
        <v>0</v>
      </c>
      <c r="G293" s="3" t="n">
        <f aca="false">IF(F293&gt;0,ROUNDUP(F293/Parametres!$B$7,0)+1,0)</f>
        <v>0</v>
      </c>
      <c r="H293" s="3" t="n">
        <f aca="false">SUMIFS(Equipes!$D$2:$D$60,Equipes!$A$2:$A$60,"LOT-04",Equipes!$B$2:$B$60,"&lt;="&amp;$A293,Equipes!$C$2:$C$60,"&gt;="&amp;$A293)</f>
        <v>0</v>
      </c>
      <c r="I293" s="3" t="n">
        <f aca="false">IF(H293&gt;0,ROUNDUP(H293/Parametres!$B$7,0)+1,0)</f>
        <v>0</v>
      </c>
      <c r="J293" s="3" t="n">
        <f aca="false">SUMIFS(Equipes!$D$2:$D$60,Equipes!$A$2:$A$60,"LOT-05",Equipes!$B$2:$B$60,"&lt;="&amp;$A293,Equipes!$C$2:$C$60,"&gt;="&amp;$A293)</f>
        <v>0</v>
      </c>
      <c r="K293" s="3" t="n">
        <f aca="false">IF(J293&gt;0,ROUNDUP(J293/Parametres!$B$7,0)+1,0)</f>
        <v>0</v>
      </c>
      <c r="L293" s="3" t="n">
        <f aca="false">SUMIFS(Equipes!$D$2:$D$60,Equipes!$A$2:$A$60,"LOT-06",Equipes!$B$2:$B$60,"&lt;="&amp;$A293,Equipes!$C$2:$C$60,"&gt;="&amp;$A293)</f>
        <v>22</v>
      </c>
      <c r="M293" s="3" t="n">
        <f aca="false">IF(L293&gt;0,ROUNDUP(L293/Parametres!$B$7,0)+1,0)</f>
        <v>3</v>
      </c>
      <c r="N293" s="3" t="n">
        <f aca="false">SUMIFS(Equipes!$D$2:$D$60,Equipes!$A$2:$A$60,"LOT-07",Equipes!$B$2:$B$60,"&lt;="&amp;$A293,Equipes!$C$2:$C$60,"&gt;="&amp;$A293)</f>
        <v>0</v>
      </c>
      <c r="O293" s="3" t="n">
        <f aca="false">IF(N293&gt;0,ROUNDUP(N293/Parametres!$B$7,0)+1,0)</f>
        <v>0</v>
      </c>
      <c r="P293" s="3" t="n">
        <f aca="false">SUMIFS(Equipes!$D$2:$D$60,Equipes!$A$2:$A$60,"LOT-08",Equipes!$B$2:$B$60,"&lt;="&amp;$A293,Equipes!$C$2:$C$60,"&gt;="&amp;$A293)</f>
        <v>0</v>
      </c>
      <c r="Q293" s="3" t="n">
        <f aca="false">IF(P293&gt;0,ROUNDUP(P293/Parametres!$B$7,0)+1,0)</f>
        <v>0</v>
      </c>
    </row>
    <row r="294" customFormat="false" ht="15" hidden="false" customHeight="false" outlineLevel="0" collapsed="false">
      <c r="A294" s="2" t="n">
        <v>46375</v>
      </c>
      <c r="B294" s="3" t="n">
        <f aca="false">SUMIFS(Equipes!$D$2:$D$60,Equipes!$A$2:$A$60,"LOT-01",Equipes!$B$2:$B$60,"&lt;="&amp;$A294,Equipes!$C$2:$C$60,"&gt;="&amp;$A294)</f>
        <v>0</v>
      </c>
      <c r="C294" s="3" t="n">
        <f aca="false">IF(B294&gt;0,ROUNDUP(B294/Parametres!$B$7,0)+1,0)</f>
        <v>0</v>
      </c>
      <c r="D294" s="3" t="n">
        <f aca="false">SUMIFS(Equipes!$D$2:$D$60,Equipes!$A$2:$A$60,"LOT-02",Equipes!$B$2:$B$60,"&lt;="&amp;$A294,Equipes!$C$2:$C$60,"&gt;="&amp;$A294)</f>
        <v>0</v>
      </c>
      <c r="E294" s="3" t="n">
        <f aca="false">IF(D294&gt;0,ROUNDUP(D294/Parametres!$B$7,0)+1,0)</f>
        <v>0</v>
      </c>
      <c r="F294" s="3" t="n">
        <f aca="false">SUMIFS(Equipes!$D$2:$D$60,Equipes!$A$2:$A$60,"LOT-03",Equipes!$B$2:$B$60,"&lt;="&amp;$A294,Equipes!$C$2:$C$60,"&gt;="&amp;$A294)</f>
        <v>0</v>
      </c>
      <c r="G294" s="3" t="n">
        <f aca="false">IF(F294&gt;0,ROUNDUP(F294/Parametres!$B$7,0)+1,0)</f>
        <v>0</v>
      </c>
      <c r="H294" s="3" t="n">
        <f aca="false">SUMIFS(Equipes!$D$2:$D$60,Equipes!$A$2:$A$60,"LOT-04",Equipes!$B$2:$B$60,"&lt;="&amp;$A294,Equipes!$C$2:$C$60,"&gt;="&amp;$A294)</f>
        <v>0</v>
      </c>
      <c r="I294" s="3" t="n">
        <f aca="false">IF(H294&gt;0,ROUNDUP(H294/Parametres!$B$7,0)+1,0)</f>
        <v>0</v>
      </c>
      <c r="J294" s="3" t="n">
        <f aca="false">SUMIFS(Equipes!$D$2:$D$60,Equipes!$A$2:$A$60,"LOT-05",Equipes!$B$2:$B$60,"&lt;="&amp;$A294,Equipes!$C$2:$C$60,"&gt;="&amp;$A294)</f>
        <v>0</v>
      </c>
      <c r="K294" s="3" t="n">
        <f aca="false">IF(J294&gt;0,ROUNDUP(J294/Parametres!$B$7,0)+1,0)</f>
        <v>0</v>
      </c>
      <c r="L294" s="3" t="n">
        <f aca="false">SUMIFS(Equipes!$D$2:$D$60,Equipes!$A$2:$A$60,"LOT-06",Equipes!$B$2:$B$60,"&lt;="&amp;$A294,Equipes!$C$2:$C$60,"&gt;="&amp;$A294)</f>
        <v>22</v>
      </c>
      <c r="M294" s="3" t="n">
        <f aca="false">IF(L294&gt;0,ROUNDUP(L294/Parametres!$B$7,0)+1,0)</f>
        <v>3</v>
      </c>
      <c r="N294" s="3" t="n">
        <f aca="false">SUMIFS(Equipes!$D$2:$D$60,Equipes!$A$2:$A$60,"LOT-07",Equipes!$B$2:$B$60,"&lt;="&amp;$A294,Equipes!$C$2:$C$60,"&gt;="&amp;$A294)</f>
        <v>0</v>
      </c>
      <c r="O294" s="3" t="n">
        <f aca="false">IF(N294&gt;0,ROUNDUP(N294/Parametres!$B$7,0)+1,0)</f>
        <v>0</v>
      </c>
      <c r="P294" s="3" t="n">
        <f aca="false">SUMIFS(Equipes!$D$2:$D$60,Equipes!$A$2:$A$60,"LOT-08",Equipes!$B$2:$B$60,"&lt;="&amp;$A294,Equipes!$C$2:$C$60,"&gt;="&amp;$A294)</f>
        <v>0</v>
      </c>
      <c r="Q294" s="3" t="n">
        <f aca="false">IF(P294&gt;0,ROUNDUP(P294/Parametres!$B$7,0)+1,0)</f>
        <v>0</v>
      </c>
    </row>
    <row r="295" customFormat="false" ht="15" hidden="false" customHeight="false" outlineLevel="0" collapsed="false">
      <c r="A295" s="2" t="n">
        <v>46376</v>
      </c>
      <c r="B295" s="3" t="n">
        <f aca="false">SUMIFS(Equipes!$D$2:$D$60,Equipes!$A$2:$A$60,"LOT-01",Equipes!$B$2:$B$60,"&lt;="&amp;$A295,Equipes!$C$2:$C$60,"&gt;="&amp;$A295)</f>
        <v>0</v>
      </c>
      <c r="C295" s="3" t="n">
        <f aca="false">IF(B295&gt;0,ROUNDUP(B295/Parametres!$B$7,0)+1,0)</f>
        <v>0</v>
      </c>
      <c r="D295" s="3" t="n">
        <f aca="false">SUMIFS(Equipes!$D$2:$D$60,Equipes!$A$2:$A$60,"LOT-02",Equipes!$B$2:$B$60,"&lt;="&amp;$A295,Equipes!$C$2:$C$60,"&gt;="&amp;$A295)</f>
        <v>0</v>
      </c>
      <c r="E295" s="3" t="n">
        <f aca="false">IF(D295&gt;0,ROUNDUP(D295/Parametres!$B$7,0)+1,0)</f>
        <v>0</v>
      </c>
      <c r="F295" s="3" t="n">
        <f aca="false">SUMIFS(Equipes!$D$2:$D$60,Equipes!$A$2:$A$60,"LOT-03",Equipes!$B$2:$B$60,"&lt;="&amp;$A295,Equipes!$C$2:$C$60,"&gt;="&amp;$A295)</f>
        <v>0</v>
      </c>
      <c r="G295" s="3" t="n">
        <f aca="false">IF(F295&gt;0,ROUNDUP(F295/Parametres!$B$7,0)+1,0)</f>
        <v>0</v>
      </c>
      <c r="H295" s="3" t="n">
        <f aca="false">SUMIFS(Equipes!$D$2:$D$60,Equipes!$A$2:$A$60,"LOT-04",Equipes!$B$2:$B$60,"&lt;="&amp;$A295,Equipes!$C$2:$C$60,"&gt;="&amp;$A295)</f>
        <v>0</v>
      </c>
      <c r="I295" s="3" t="n">
        <f aca="false">IF(H295&gt;0,ROUNDUP(H295/Parametres!$B$7,0)+1,0)</f>
        <v>0</v>
      </c>
      <c r="J295" s="3" t="n">
        <f aca="false">SUMIFS(Equipes!$D$2:$D$60,Equipes!$A$2:$A$60,"LOT-05",Equipes!$B$2:$B$60,"&lt;="&amp;$A295,Equipes!$C$2:$C$60,"&gt;="&amp;$A295)</f>
        <v>0</v>
      </c>
      <c r="K295" s="3" t="n">
        <f aca="false">IF(J295&gt;0,ROUNDUP(J295/Parametres!$B$7,0)+1,0)</f>
        <v>0</v>
      </c>
      <c r="L295" s="3" t="n">
        <f aca="false">SUMIFS(Equipes!$D$2:$D$60,Equipes!$A$2:$A$60,"LOT-06",Equipes!$B$2:$B$60,"&lt;="&amp;$A295,Equipes!$C$2:$C$60,"&gt;="&amp;$A295)</f>
        <v>22</v>
      </c>
      <c r="M295" s="3" t="n">
        <f aca="false">IF(L295&gt;0,ROUNDUP(L295/Parametres!$B$7,0)+1,0)</f>
        <v>3</v>
      </c>
      <c r="N295" s="3" t="n">
        <f aca="false">SUMIFS(Equipes!$D$2:$D$60,Equipes!$A$2:$A$60,"LOT-07",Equipes!$B$2:$B$60,"&lt;="&amp;$A295,Equipes!$C$2:$C$60,"&gt;="&amp;$A295)</f>
        <v>0</v>
      </c>
      <c r="O295" s="3" t="n">
        <f aca="false">IF(N295&gt;0,ROUNDUP(N295/Parametres!$B$7,0)+1,0)</f>
        <v>0</v>
      </c>
      <c r="P295" s="3" t="n">
        <f aca="false">SUMIFS(Equipes!$D$2:$D$60,Equipes!$A$2:$A$60,"LOT-08",Equipes!$B$2:$B$60,"&lt;="&amp;$A295,Equipes!$C$2:$C$60,"&gt;="&amp;$A295)</f>
        <v>0</v>
      </c>
      <c r="Q295" s="3" t="n">
        <f aca="false">IF(P295&gt;0,ROUNDUP(P295/Parametres!$B$7,0)+1,0)</f>
        <v>0</v>
      </c>
    </row>
    <row r="296" customFormat="false" ht="15" hidden="false" customHeight="false" outlineLevel="0" collapsed="false">
      <c r="A296" s="2" t="n">
        <v>46377</v>
      </c>
      <c r="B296" s="3" t="n">
        <f aca="false">SUMIFS(Equipes!$D$2:$D$60,Equipes!$A$2:$A$60,"LOT-01",Equipes!$B$2:$B$60,"&lt;="&amp;$A296,Equipes!$C$2:$C$60,"&gt;="&amp;$A296)</f>
        <v>0</v>
      </c>
      <c r="C296" s="3" t="n">
        <f aca="false">IF(B296&gt;0,ROUNDUP(B296/Parametres!$B$7,0)+1,0)</f>
        <v>0</v>
      </c>
      <c r="D296" s="3" t="n">
        <f aca="false">SUMIFS(Equipes!$D$2:$D$60,Equipes!$A$2:$A$60,"LOT-02",Equipes!$B$2:$B$60,"&lt;="&amp;$A296,Equipes!$C$2:$C$60,"&gt;="&amp;$A296)</f>
        <v>0</v>
      </c>
      <c r="E296" s="3" t="n">
        <f aca="false">IF(D296&gt;0,ROUNDUP(D296/Parametres!$B$7,0)+1,0)</f>
        <v>0</v>
      </c>
      <c r="F296" s="3" t="n">
        <f aca="false">SUMIFS(Equipes!$D$2:$D$60,Equipes!$A$2:$A$60,"LOT-03",Equipes!$B$2:$B$60,"&lt;="&amp;$A296,Equipes!$C$2:$C$60,"&gt;="&amp;$A296)</f>
        <v>0</v>
      </c>
      <c r="G296" s="3" t="n">
        <f aca="false">IF(F296&gt;0,ROUNDUP(F296/Parametres!$B$7,0)+1,0)</f>
        <v>0</v>
      </c>
      <c r="H296" s="3" t="n">
        <f aca="false">SUMIFS(Equipes!$D$2:$D$60,Equipes!$A$2:$A$60,"LOT-04",Equipes!$B$2:$B$60,"&lt;="&amp;$A296,Equipes!$C$2:$C$60,"&gt;="&amp;$A296)</f>
        <v>0</v>
      </c>
      <c r="I296" s="3" t="n">
        <f aca="false">IF(H296&gt;0,ROUNDUP(H296/Parametres!$B$7,0)+1,0)</f>
        <v>0</v>
      </c>
      <c r="J296" s="3" t="n">
        <f aca="false">SUMIFS(Equipes!$D$2:$D$60,Equipes!$A$2:$A$60,"LOT-05",Equipes!$B$2:$B$60,"&lt;="&amp;$A296,Equipes!$C$2:$C$60,"&gt;="&amp;$A296)</f>
        <v>0</v>
      </c>
      <c r="K296" s="3" t="n">
        <f aca="false">IF(J296&gt;0,ROUNDUP(J296/Parametres!$B$7,0)+1,0)</f>
        <v>0</v>
      </c>
      <c r="L296" s="3" t="n">
        <f aca="false">SUMIFS(Equipes!$D$2:$D$60,Equipes!$A$2:$A$60,"LOT-06",Equipes!$B$2:$B$60,"&lt;="&amp;$A296,Equipes!$C$2:$C$60,"&gt;="&amp;$A296)</f>
        <v>22</v>
      </c>
      <c r="M296" s="3" t="n">
        <f aca="false">IF(L296&gt;0,ROUNDUP(L296/Parametres!$B$7,0)+1,0)</f>
        <v>3</v>
      </c>
      <c r="N296" s="3" t="n">
        <f aca="false">SUMIFS(Equipes!$D$2:$D$60,Equipes!$A$2:$A$60,"LOT-07",Equipes!$B$2:$B$60,"&lt;="&amp;$A296,Equipes!$C$2:$C$60,"&gt;="&amp;$A296)</f>
        <v>0</v>
      </c>
      <c r="O296" s="3" t="n">
        <f aca="false">IF(N296&gt;0,ROUNDUP(N296/Parametres!$B$7,0)+1,0)</f>
        <v>0</v>
      </c>
      <c r="P296" s="3" t="n">
        <f aca="false">SUMIFS(Equipes!$D$2:$D$60,Equipes!$A$2:$A$60,"LOT-08",Equipes!$B$2:$B$60,"&lt;="&amp;$A296,Equipes!$C$2:$C$60,"&gt;="&amp;$A296)</f>
        <v>0</v>
      </c>
      <c r="Q296" s="3" t="n">
        <f aca="false">IF(P296&gt;0,ROUNDUP(P296/Parametres!$B$7,0)+1,0)</f>
        <v>0</v>
      </c>
    </row>
    <row r="297" customFormat="false" ht="15" hidden="false" customHeight="false" outlineLevel="0" collapsed="false">
      <c r="A297" s="2" t="n">
        <v>46378</v>
      </c>
      <c r="B297" s="3" t="n">
        <f aca="false">SUMIFS(Equipes!$D$2:$D$60,Equipes!$A$2:$A$60,"LOT-01",Equipes!$B$2:$B$60,"&lt;="&amp;$A297,Equipes!$C$2:$C$60,"&gt;="&amp;$A297)</f>
        <v>0</v>
      </c>
      <c r="C297" s="3" t="n">
        <f aca="false">IF(B297&gt;0,ROUNDUP(B297/Parametres!$B$7,0)+1,0)</f>
        <v>0</v>
      </c>
      <c r="D297" s="3" t="n">
        <f aca="false">SUMIFS(Equipes!$D$2:$D$60,Equipes!$A$2:$A$60,"LOT-02",Equipes!$B$2:$B$60,"&lt;="&amp;$A297,Equipes!$C$2:$C$60,"&gt;="&amp;$A297)</f>
        <v>0</v>
      </c>
      <c r="E297" s="3" t="n">
        <f aca="false">IF(D297&gt;0,ROUNDUP(D297/Parametres!$B$7,0)+1,0)</f>
        <v>0</v>
      </c>
      <c r="F297" s="3" t="n">
        <f aca="false">SUMIFS(Equipes!$D$2:$D$60,Equipes!$A$2:$A$60,"LOT-03",Equipes!$B$2:$B$60,"&lt;="&amp;$A297,Equipes!$C$2:$C$60,"&gt;="&amp;$A297)</f>
        <v>0</v>
      </c>
      <c r="G297" s="3" t="n">
        <f aca="false">IF(F297&gt;0,ROUNDUP(F297/Parametres!$B$7,0)+1,0)</f>
        <v>0</v>
      </c>
      <c r="H297" s="3" t="n">
        <f aca="false">SUMIFS(Equipes!$D$2:$D$60,Equipes!$A$2:$A$60,"LOT-04",Equipes!$B$2:$B$60,"&lt;="&amp;$A297,Equipes!$C$2:$C$60,"&gt;="&amp;$A297)</f>
        <v>0</v>
      </c>
      <c r="I297" s="3" t="n">
        <f aca="false">IF(H297&gt;0,ROUNDUP(H297/Parametres!$B$7,0)+1,0)</f>
        <v>0</v>
      </c>
      <c r="J297" s="3" t="n">
        <f aca="false">SUMIFS(Equipes!$D$2:$D$60,Equipes!$A$2:$A$60,"LOT-05",Equipes!$B$2:$B$60,"&lt;="&amp;$A297,Equipes!$C$2:$C$60,"&gt;="&amp;$A297)</f>
        <v>0</v>
      </c>
      <c r="K297" s="3" t="n">
        <f aca="false">IF(J297&gt;0,ROUNDUP(J297/Parametres!$B$7,0)+1,0)</f>
        <v>0</v>
      </c>
      <c r="L297" s="3" t="n">
        <f aca="false">SUMIFS(Equipes!$D$2:$D$60,Equipes!$A$2:$A$60,"LOT-06",Equipes!$B$2:$B$60,"&lt;="&amp;$A297,Equipes!$C$2:$C$60,"&gt;="&amp;$A297)</f>
        <v>22</v>
      </c>
      <c r="M297" s="3" t="n">
        <f aca="false">IF(L297&gt;0,ROUNDUP(L297/Parametres!$B$7,0)+1,0)</f>
        <v>3</v>
      </c>
      <c r="N297" s="3" t="n">
        <f aca="false">SUMIFS(Equipes!$D$2:$D$60,Equipes!$A$2:$A$60,"LOT-07",Equipes!$B$2:$B$60,"&lt;="&amp;$A297,Equipes!$C$2:$C$60,"&gt;="&amp;$A297)</f>
        <v>0</v>
      </c>
      <c r="O297" s="3" t="n">
        <f aca="false">IF(N297&gt;0,ROUNDUP(N297/Parametres!$B$7,0)+1,0)</f>
        <v>0</v>
      </c>
      <c r="P297" s="3" t="n">
        <f aca="false">SUMIFS(Equipes!$D$2:$D$60,Equipes!$A$2:$A$60,"LOT-08",Equipes!$B$2:$B$60,"&lt;="&amp;$A297,Equipes!$C$2:$C$60,"&gt;="&amp;$A297)</f>
        <v>0</v>
      </c>
      <c r="Q297" s="3" t="n">
        <f aca="false">IF(P297&gt;0,ROUNDUP(P297/Parametres!$B$7,0)+1,0)</f>
        <v>0</v>
      </c>
    </row>
    <row r="298" customFormat="false" ht="15" hidden="false" customHeight="false" outlineLevel="0" collapsed="false">
      <c r="A298" s="2" t="n">
        <v>46379</v>
      </c>
      <c r="B298" s="3" t="n">
        <f aca="false">SUMIFS(Equipes!$D$2:$D$60,Equipes!$A$2:$A$60,"LOT-01",Equipes!$B$2:$B$60,"&lt;="&amp;$A298,Equipes!$C$2:$C$60,"&gt;="&amp;$A298)</f>
        <v>0</v>
      </c>
      <c r="C298" s="3" t="n">
        <f aca="false">IF(B298&gt;0,ROUNDUP(B298/Parametres!$B$7,0)+1,0)</f>
        <v>0</v>
      </c>
      <c r="D298" s="3" t="n">
        <f aca="false">SUMIFS(Equipes!$D$2:$D$60,Equipes!$A$2:$A$60,"LOT-02",Equipes!$B$2:$B$60,"&lt;="&amp;$A298,Equipes!$C$2:$C$60,"&gt;="&amp;$A298)</f>
        <v>0</v>
      </c>
      <c r="E298" s="3" t="n">
        <f aca="false">IF(D298&gt;0,ROUNDUP(D298/Parametres!$B$7,0)+1,0)</f>
        <v>0</v>
      </c>
      <c r="F298" s="3" t="n">
        <f aca="false">SUMIFS(Equipes!$D$2:$D$60,Equipes!$A$2:$A$60,"LOT-03",Equipes!$B$2:$B$60,"&lt;="&amp;$A298,Equipes!$C$2:$C$60,"&gt;="&amp;$A298)</f>
        <v>0</v>
      </c>
      <c r="G298" s="3" t="n">
        <f aca="false">IF(F298&gt;0,ROUNDUP(F298/Parametres!$B$7,0)+1,0)</f>
        <v>0</v>
      </c>
      <c r="H298" s="3" t="n">
        <f aca="false">SUMIFS(Equipes!$D$2:$D$60,Equipes!$A$2:$A$60,"LOT-04",Equipes!$B$2:$B$60,"&lt;="&amp;$A298,Equipes!$C$2:$C$60,"&gt;="&amp;$A298)</f>
        <v>0</v>
      </c>
      <c r="I298" s="3" t="n">
        <f aca="false">IF(H298&gt;0,ROUNDUP(H298/Parametres!$B$7,0)+1,0)</f>
        <v>0</v>
      </c>
      <c r="J298" s="3" t="n">
        <f aca="false">SUMIFS(Equipes!$D$2:$D$60,Equipes!$A$2:$A$60,"LOT-05",Equipes!$B$2:$B$60,"&lt;="&amp;$A298,Equipes!$C$2:$C$60,"&gt;="&amp;$A298)</f>
        <v>0</v>
      </c>
      <c r="K298" s="3" t="n">
        <f aca="false">IF(J298&gt;0,ROUNDUP(J298/Parametres!$B$7,0)+1,0)</f>
        <v>0</v>
      </c>
      <c r="L298" s="3" t="n">
        <f aca="false">SUMIFS(Equipes!$D$2:$D$60,Equipes!$A$2:$A$60,"LOT-06",Equipes!$B$2:$B$60,"&lt;="&amp;$A298,Equipes!$C$2:$C$60,"&gt;="&amp;$A298)</f>
        <v>22</v>
      </c>
      <c r="M298" s="3" t="n">
        <f aca="false">IF(L298&gt;0,ROUNDUP(L298/Parametres!$B$7,0)+1,0)</f>
        <v>3</v>
      </c>
      <c r="N298" s="3" t="n">
        <f aca="false">SUMIFS(Equipes!$D$2:$D$60,Equipes!$A$2:$A$60,"LOT-07",Equipes!$B$2:$B$60,"&lt;="&amp;$A298,Equipes!$C$2:$C$60,"&gt;="&amp;$A298)</f>
        <v>20</v>
      </c>
      <c r="O298" s="3" t="n">
        <f aca="false">IF(N298&gt;0,ROUNDUP(N298/Parametres!$B$7,0)+1,0)</f>
        <v>3</v>
      </c>
      <c r="P298" s="3" t="n">
        <f aca="false">SUMIFS(Equipes!$D$2:$D$60,Equipes!$A$2:$A$60,"LOT-08",Equipes!$B$2:$B$60,"&lt;="&amp;$A298,Equipes!$C$2:$C$60,"&gt;="&amp;$A298)</f>
        <v>0</v>
      </c>
      <c r="Q298" s="3" t="n">
        <f aca="false">IF(P298&gt;0,ROUNDUP(P298/Parametres!$B$7,0)+1,0)</f>
        <v>0</v>
      </c>
    </row>
    <row r="299" customFormat="false" ht="15" hidden="false" customHeight="false" outlineLevel="0" collapsed="false">
      <c r="A299" s="2" t="n">
        <v>46380</v>
      </c>
      <c r="B299" s="3" t="n">
        <f aca="false">SUMIFS(Equipes!$D$2:$D$60,Equipes!$A$2:$A$60,"LOT-01",Equipes!$B$2:$B$60,"&lt;="&amp;$A299,Equipes!$C$2:$C$60,"&gt;="&amp;$A299)</f>
        <v>0</v>
      </c>
      <c r="C299" s="3" t="n">
        <f aca="false">IF(B299&gt;0,ROUNDUP(B299/Parametres!$B$7,0)+1,0)</f>
        <v>0</v>
      </c>
      <c r="D299" s="3" t="n">
        <f aca="false">SUMIFS(Equipes!$D$2:$D$60,Equipes!$A$2:$A$60,"LOT-02",Equipes!$B$2:$B$60,"&lt;="&amp;$A299,Equipes!$C$2:$C$60,"&gt;="&amp;$A299)</f>
        <v>0</v>
      </c>
      <c r="E299" s="3" t="n">
        <f aca="false">IF(D299&gt;0,ROUNDUP(D299/Parametres!$B$7,0)+1,0)</f>
        <v>0</v>
      </c>
      <c r="F299" s="3" t="n">
        <f aca="false">SUMIFS(Equipes!$D$2:$D$60,Equipes!$A$2:$A$60,"LOT-03",Equipes!$B$2:$B$60,"&lt;="&amp;$A299,Equipes!$C$2:$C$60,"&gt;="&amp;$A299)</f>
        <v>0</v>
      </c>
      <c r="G299" s="3" t="n">
        <f aca="false">IF(F299&gt;0,ROUNDUP(F299/Parametres!$B$7,0)+1,0)</f>
        <v>0</v>
      </c>
      <c r="H299" s="3" t="n">
        <f aca="false">SUMIFS(Equipes!$D$2:$D$60,Equipes!$A$2:$A$60,"LOT-04",Equipes!$B$2:$B$60,"&lt;="&amp;$A299,Equipes!$C$2:$C$60,"&gt;="&amp;$A299)</f>
        <v>0</v>
      </c>
      <c r="I299" s="3" t="n">
        <f aca="false">IF(H299&gt;0,ROUNDUP(H299/Parametres!$B$7,0)+1,0)</f>
        <v>0</v>
      </c>
      <c r="J299" s="3" t="n">
        <f aca="false">SUMIFS(Equipes!$D$2:$D$60,Equipes!$A$2:$A$60,"LOT-05",Equipes!$B$2:$B$60,"&lt;="&amp;$A299,Equipes!$C$2:$C$60,"&gt;="&amp;$A299)</f>
        <v>0</v>
      </c>
      <c r="K299" s="3" t="n">
        <f aca="false">IF(J299&gt;0,ROUNDUP(J299/Parametres!$B$7,0)+1,0)</f>
        <v>0</v>
      </c>
      <c r="L299" s="3" t="n">
        <f aca="false">SUMIFS(Equipes!$D$2:$D$60,Equipes!$A$2:$A$60,"LOT-06",Equipes!$B$2:$B$60,"&lt;="&amp;$A299,Equipes!$C$2:$C$60,"&gt;="&amp;$A299)</f>
        <v>22</v>
      </c>
      <c r="M299" s="3" t="n">
        <f aca="false">IF(L299&gt;0,ROUNDUP(L299/Parametres!$B$7,0)+1,0)</f>
        <v>3</v>
      </c>
      <c r="N299" s="3" t="n">
        <f aca="false">SUMIFS(Equipes!$D$2:$D$60,Equipes!$A$2:$A$60,"LOT-07",Equipes!$B$2:$B$60,"&lt;="&amp;$A299,Equipes!$C$2:$C$60,"&gt;="&amp;$A299)</f>
        <v>20</v>
      </c>
      <c r="O299" s="3" t="n">
        <f aca="false">IF(N299&gt;0,ROUNDUP(N299/Parametres!$B$7,0)+1,0)</f>
        <v>3</v>
      </c>
      <c r="P299" s="3" t="n">
        <f aca="false">SUMIFS(Equipes!$D$2:$D$60,Equipes!$A$2:$A$60,"LOT-08",Equipes!$B$2:$B$60,"&lt;="&amp;$A299,Equipes!$C$2:$C$60,"&gt;="&amp;$A299)</f>
        <v>0</v>
      </c>
      <c r="Q299" s="3" t="n">
        <f aca="false">IF(P299&gt;0,ROUNDUP(P299/Parametres!$B$7,0)+1,0)</f>
        <v>0</v>
      </c>
    </row>
    <row r="300" customFormat="false" ht="15" hidden="false" customHeight="false" outlineLevel="0" collapsed="false">
      <c r="A300" s="2" t="n">
        <v>46381</v>
      </c>
      <c r="B300" s="3" t="n">
        <f aca="false">SUMIFS(Equipes!$D$2:$D$60,Equipes!$A$2:$A$60,"LOT-01",Equipes!$B$2:$B$60,"&lt;="&amp;$A300,Equipes!$C$2:$C$60,"&gt;="&amp;$A300)</f>
        <v>0</v>
      </c>
      <c r="C300" s="3" t="n">
        <f aca="false">IF(B300&gt;0,ROUNDUP(B300/Parametres!$B$7,0)+1,0)</f>
        <v>0</v>
      </c>
      <c r="D300" s="3" t="n">
        <f aca="false">SUMIFS(Equipes!$D$2:$D$60,Equipes!$A$2:$A$60,"LOT-02",Equipes!$B$2:$B$60,"&lt;="&amp;$A300,Equipes!$C$2:$C$60,"&gt;="&amp;$A300)</f>
        <v>0</v>
      </c>
      <c r="E300" s="3" t="n">
        <f aca="false">IF(D300&gt;0,ROUNDUP(D300/Parametres!$B$7,0)+1,0)</f>
        <v>0</v>
      </c>
      <c r="F300" s="3" t="n">
        <f aca="false">SUMIFS(Equipes!$D$2:$D$60,Equipes!$A$2:$A$60,"LOT-03",Equipes!$B$2:$B$60,"&lt;="&amp;$A300,Equipes!$C$2:$C$60,"&gt;="&amp;$A300)</f>
        <v>0</v>
      </c>
      <c r="G300" s="3" t="n">
        <f aca="false">IF(F300&gt;0,ROUNDUP(F300/Parametres!$B$7,0)+1,0)</f>
        <v>0</v>
      </c>
      <c r="H300" s="3" t="n">
        <f aca="false">SUMIFS(Equipes!$D$2:$D$60,Equipes!$A$2:$A$60,"LOT-04",Equipes!$B$2:$B$60,"&lt;="&amp;$A300,Equipes!$C$2:$C$60,"&gt;="&amp;$A300)</f>
        <v>0</v>
      </c>
      <c r="I300" s="3" t="n">
        <f aca="false">IF(H300&gt;0,ROUNDUP(H300/Parametres!$B$7,0)+1,0)</f>
        <v>0</v>
      </c>
      <c r="J300" s="3" t="n">
        <f aca="false">SUMIFS(Equipes!$D$2:$D$60,Equipes!$A$2:$A$60,"LOT-05",Equipes!$B$2:$B$60,"&lt;="&amp;$A300,Equipes!$C$2:$C$60,"&gt;="&amp;$A300)</f>
        <v>0</v>
      </c>
      <c r="K300" s="3" t="n">
        <f aca="false">IF(J300&gt;0,ROUNDUP(J300/Parametres!$B$7,0)+1,0)</f>
        <v>0</v>
      </c>
      <c r="L300" s="3" t="n">
        <f aca="false">SUMIFS(Equipes!$D$2:$D$60,Equipes!$A$2:$A$60,"LOT-06",Equipes!$B$2:$B$60,"&lt;="&amp;$A300,Equipes!$C$2:$C$60,"&gt;="&amp;$A300)</f>
        <v>22</v>
      </c>
      <c r="M300" s="3" t="n">
        <f aca="false">IF(L300&gt;0,ROUNDUP(L300/Parametres!$B$7,0)+1,0)</f>
        <v>3</v>
      </c>
      <c r="N300" s="3" t="n">
        <f aca="false">SUMIFS(Equipes!$D$2:$D$60,Equipes!$A$2:$A$60,"LOT-07",Equipes!$B$2:$B$60,"&lt;="&amp;$A300,Equipes!$C$2:$C$60,"&gt;="&amp;$A300)</f>
        <v>20</v>
      </c>
      <c r="O300" s="3" t="n">
        <f aca="false">IF(N300&gt;0,ROUNDUP(N300/Parametres!$B$7,0)+1,0)</f>
        <v>3</v>
      </c>
      <c r="P300" s="3" t="n">
        <f aca="false">SUMIFS(Equipes!$D$2:$D$60,Equipes!$A$2:$A$60,"LOT-08",Equipes!$B$2:$B$60,"&lt;="&amp;$A300,Equipes!$C$2:$C$60,"&gt;="&amp;$A300)</f>
        <v>0</v>
      </c>
      <c r="Q300" s="3" t="n">
        <f aca="false">IF(P300&gt;0,ROUNDUP(P300/Parametres!$B$7,0)+1,0)</f>
        <v>0</v>
      </c>
    </row>
    <row r="301" customFormat="false" ht="15" hidden="false" customHeight="false" outlineLevel="0" collapsed="false">
      <c r="A301" s="2" t="n">
        <v>46382</v>
      </c>
      <c r="B301" s="3" t="n">
        <f aca="false">SUMIFS(Equipes!$D$2:$D$60,Equipes!$A$2:$A$60,"LOT-01",Equipes!$B$2:$B$60,"&lt;="&amp;$A301,Equipes!$C$2:$C$60,"&gt;="&amp;$A301)</f>
        <v>0</v>
      </c>
      <c r="C301" s="3" t="n">
        <f aca="false">IF(B301&gt;0,ROUNDUP(B301/Parametres!$B$7,0)+1,0)</f>
        <v>0</v>
      </c>
      <c r="D301" s="3" t="n">
        <f aca="false">SUMIFS(Equipes!$D$2:$D$60,Equipes!$A$2:$A$60,"LOT-02",Equipes!$B$2:$B$60,"&lt;="&amp;$A301,Equipes!$C$2:$C$60,"&gt;="&amp;$A301)</f>
        <v>0</v>
      </c>
      <c r="E301" s="3" t="n">
        <f aca="false">IF(D301&gt;0,ROUNDUP(D301/Parametres!$B$7,0)+1,0)</f>
        <v>0</v>
      </c>
      <c r="F301" s="3" t="n">
        <f aca="false">SUMIFS(Equipes!$D$2:$D$60,Equipes!$A$2:$A$60,"LOT-03",Equipes!$B$2:$B$60,"&lt;="&amp;$A301,Equipes!$C$2:$C$60,"&gt;="&amp;$A301)</f>
        <v>0</v>
      </c>
      <c r="G301" s="3" t="n">
        <f aca="false">IF(F301&gt;0,ROUNDUP(F301/Parametres!$B$7,0)+1,0)</f>
        <v>0</v>
      </c>
      <c r="H301" s="3" t="n">
        <f aca="false">SUMIFS(Equipes!$D$2:$D$60,Equipes!$A$2:$A$60,"LOT-04",Equipes!$B$2:$B$60,"&lt;="&amp;$A301,Equipes!$C$2:$C$60,"&gt;="&amp;$A301)</f>
        <v>0</v>
      </c>
      <c r="I301" s="3" t="n">
        <f aca="false">IF(H301&gt;0,ROUNDUP(H301/Parametres!$B$7,0)+1,0)</f>
        <v>0</v>
      </c>
      <c r="J301" s="3" t="n">
        <f aca="false">SUMIFS(Equipes!$D$2:$D$60,Equipes!$A$2:$A$60,"LOT-05",Equipes!$B$2:$B$60,"&lt;="&amp;$A301,Equipes!$C$2:$C$60,"&gt;="&amp;$A301)</f>
        <v>0</v>
      </c>
      <c r="K301" s="3" t="n">
        <f aca="false">IF(J301&gt;0,ROUNDUP(J301/Parametres!$B$7,0)+1,0)</f>
        <v>0</v>
      </c>
      <c r="L301" s="3" t="n">
        <f aca="false">SUMIFS(Equipes!$D$2:$D$60,Equipes!$A$2:$A$60,"LOT-06",Equipes!$B$2:$B$60,"&lt;="&amp;$A301,Equipes!$C$2:$C$60,"&gt;="&amp;$A301)</f>
        <v>22</v>
      </c>
      <c r="M301" s="3" t="n">
        <f aca="false">IF(L301&gt;0,ROUNDUP(L301/Parametres!$B$7,0)+1,0)</f>
        <v>3</v>
      </c>
      <c r="N301" s="3" t="n">
        <f aca="false">SUMIFS(Equipes!$D$2:$D$60,Equipes!$A$2:$A$60,"LOT-07",Equipes!$B$2:$B$60,"&lt;="&amp;$A301,Equipes!$C$2:$C$60,"&gt;="&amp;$A301)</f>
        <v>20</v>
      </c>
      <c r="O301" s="3" t="n">
        <f aca="false">IF(N301&gt;0,ROUNDUP(N301/Parametres!$B$7,0)+1,0)</f>
        <v>3</v>
      </c>
      <c r="P301" s="3" t="n">
        <f aca="false">SUMIFS(Equipes!$D$2:$D$60,Equipes!$A$2:$A$60,"LOT-08",Equipes!$B$2:$B$60,"&lt;="&amp;$A301,Equipes!$C$2:$C$60,"&gt;="&amp;$A301)</f>
        <v>0</v>
      </c>
      <c r="Q301" s="3" t="n">
        <f aca="false">IF(P301&gt;0,ROUNDUP(P301/Parametres!$B$7,0)+1,0)</f>
        <v>0</v>
      </c>
    </row>
    <row r="302" customFormat="false" ht="15" hidden="false" customHeight="false" outlineLevel="0" collapsed="false">
      <c r="A302" s="2" t="n">
        <v>46383</v>
      </c>
      <c r="B302" s="3" t="n">
        <f aca="false">SUMIFS(Equipes!$D$2:$D$60,Equipes!$A$2:$A$60,"LOT-01",Equipes!$B$2:$B$60,"&lt;="&amp;$A302,Equipes!$C$2:$C$60,"&gt;="&amp;$A302)</f>
        <v>0</v>
      </c>
      <c r="C302" s="3" t="n">
        <f aca="false">IF(B302&gt;0,ROUNDUP(B302/Parametres!$B$7,0)+1,0)</f>
        <v>0</v>
      </c>
      <c r="D302" s="3" t="n">
        <f aca="false">SUMIFS(Equipes!$D$2:$D$60,Equipes!$A$2:$A$60,"LOT-02",Equipes!$B$2:$B$60,"&lt;="&amp;$A302,Equipes!$C$2:$C$60,"&gt;="&amp;$A302)</f>
        <v>0</v>
      </c>
      <c r="E302" s="3" t="n">
        <f aca="false">IF(D302&gt;0,ROUNDUP(D302/Parametres!$B$7,0)+1,0)</f>
        <v>0</v>
      </c>
      <c r="F302" s="3" t="n">
        <f aca="false">SUMIFS(Equipes!$D$2:$D$60,Equipes!$A$2:$A$60,"LOT-03",Equipes!$B$2:$B$60,"&lt;="&amp;$A302,Equipes!$C$2:$C$60,"&gt;="&amp;$A302)</f>
        <v>0</v>
      </c>
      <c r="G302" s="3" t="n">
        <f aca="false">IF(F302&gt;0,ROUNDUP(F302/Parametres!$B$7,0)+1,0)</f>
        <v>0</v>
      </c>
      <c r="H302" s="3" t="n">
        <f aca="false">SUMIFS(Equipes!$D$2:$D$60,Equipes!$A$2:$A$60,"LOT-04",Equipes!$B$2:$B$60,"&lt;="&amp;$A302,Equipes!$C$2:$C$60,"&gt;="&amp;$A302)</f>
        <v>0</v>
      </c>
      <c r="I302" s="3" t="n">
        <f aca="false">IF(H302&gt;0,ROUNDUP(H302/Parametres!$B$7,0)+1,0)</f>
        <v>0</v>
      </c>
      <c r="J302" s="3" t="n">
        <f aca="false">SUMIFS(Equipes!$D$2:$D$60,Equipes!$A$2:$A$60,"LOT-05",Equipes!$B$2:$B$60,"&lt;="&amp;$A302,Equipes!$C$2:$C$60,"&gt;="&amp;$A302)</f>
        <v>0</v>
      </c>
      <c r="K302" s="3" t="n">
        <f aca="false">IF(J302&gt;0,ROUNDUP(J302/Parametres!$B$7,0)+1,0)</f>
        <v>0</v>
      </c>
      <c r="L302" s="3" t="n">
        <f aca="false">SUMIFS(Equipes!$D$2:$D$60,Equipes!$A$2:$A$60,"LOT-06",Equipes!$B$2:$B$60,"&lt;="&amp;$A302,Equipes!$C$2:$C$60,"&gt;="&amp;$A302)</f>
        <v>22</v>
      </c>
      <c r="M302" s="3" t="n">
        <f aca="false">IF(L302&gt;0,ROUNDUP(L302/Parametres!$B$7,0)+1,0)</f>
        <v>3</v>
      </c>
      <c r="N302" s="3" t="n">
        <f aca="false">SUMIFS(Equipes!$D$2:$D$60,Equipes!$A$2:$A$60,"LOT-07",Equipes!$B$2:$B$60,"&lt;="&amp;$A302,Equipes!$C$2:$C$60,"&gt;="&amp;$A302)</f>
        <v>20</v>
      </c>
      <c r="O302" s="3" t="n">
        <f aca="false">IF(N302&gt;0,ROUNDUP(N302/Parametres!$B$7,0)+1,0)</f>
        <v>3</v>
      </c>
      <c r="P302" s="3" t="n">
        <f aca="false">SUMIFS(Equipes!$D$2:$D$60,Equipes!$A$2:$A$60,"LOT-08",Equipes!$B$2:$B$60,"&lt;="&amp;$A302,Equipes!$C$2:$C$60,"&gt;="&amp;$A302)</f>
        <v>0</v>
      </c>
      <c r="Q302" s="3" t="n">
        <f aca="false">IF(P302&gt;0,ROUNDUP(P302/Parametres!$B$7,0)+1,0)</f>
        <v>0</v>
      </c>
    </row>
    <row r="303" customFormat="false" ht="15" hidden="false" customHeight="false" outlineLevel="0" collapsed="false">
      <c r="A303" s="2" t="n">
        <v>46384</v>
      </c>
      <c r="B303" s="3" t="n">
        <f aca="false">SUMIFS(Equipes!$D$2:$D$60,Equipes!$A$2:$A$60,"LOT-01",Equipes!$B$2:$B$60,"&lt;="&amp;$A303,Equipes!$C$2:$C$60,"&gt;="&amp;$A303)</f>
        <v>0</v>
      </c>
      <c r="C303" s="3" t="n">
        <f aca="false">IF(B303&gt;0,ROUNDUP(B303/Parametres!$B$7,0)+1,0)</f>
        <v>0</v>
      </c>
      <c r="D303" s="3" t="n">
        <f aca="false">SUMIFS(Equipes!$D$2:$D$60,Equipes!$A$2:$A$60,"LOT-02",Equipes!$B$2:$B$60,"&lt;="&amp;$A303,Equipes!$C$2:$C$60,"&gt;="&amp;$A303)</f>
        <v>0</v>
      </c>
      <c r="E303" s="3" t="n">
        <f aca="false">IF(D303&gt;0,ROUNDUP(D303/Parametres!$B$7,0)+1,0)</f>
        <v>0</v>
      </c>
      <c r="F303" s="3" t="n">
        <f aca="false">SUMIFS(Equipes!$D$2:$D$60,Equipes!$A$2:$A$60,"LOT-03",Equipes!$B$2:$B$60,"&lt;="&amp;$A303,Equipes!$C$2:$C$60,"&gt;="&amp;$A303)</f>
        <v>0</v>
      </c>
      <c r="G303" s="3" t="n">
        <f aca="false">IF(F303&gt;0,ROUNDUP(F303/Parametres!$B$7,0)+1,0)</f>
        <v>0</v>
      </c>
      <c r="H303" s="3" t="n">
        <f aca="false">SUMIFS(Equipes!$D$2:$D$60,Equipes!$A$2:$A$60,"LOT-04",Equipes!$B$2:$B$60,"&lt;="&amp;$A303,Equipes!$C$2:$C$60,"&gt;="&amp;$A303)</f>
        <v>0</v>
      </c>
      <c r="I303" s="3" t="n">
        <f aca="false">IF(H303&gt;0,ROUNDUP(H303/Parametres!$B$7,0)+1,0)</f>
        <v>0</v>
      </c>
      <c r="J303" s="3" t="n">
        <f aca="false">SUMIFS(Equipes!$D$2:$D$60,Equipes!$A$2:$A$60,"LOT-05",Equipes!$B$2:$B$60,"&lt;="&amp;$A303,Equipes!$C$2:$C$60,"&gt;="&amp;$A303)</f>
        <v>0</v>
      </c>
      <c r="K303" s="3" t="n">
        <f aca="false">IF(J303&gt;0,ROUNDUP(J303/Parametres!$B$7,0)+1,0)</f>
        <v>0</v>
      </c>
      <c r="L303" s="3" t="n">
        <f aca="false">SUMIFS(Equipes!$D$2:$D$60,Equipes!$A$2:$A$60,"LOT-06",Equipes!$B$2:$B$60,"&lt;="&amp;$A303,Equipes!$C$2:$C$60,"&gt;="&amp;$A303)</f>
        <v>22</v>
      </c>
      <c r="M303" s="3" t="n">
        <f aca="false">IF(L303&gt;0,ROUNDUP(L303/Parametres!$B$7,0)+1,0)</f>
        <v>3</v>
      </c>
      <c r="N303" s="3" t="n">
        <f aca="false">SUMIFS(Equipes!$D$2:$D$60,Equipes!$A$2:$A$60,"LOT-07",Equipes!$B$2:$B$60,"&lt;="&amp;$A303,Equipes!$C$2:$C$60,"&gt;="&amp;$A303)</f>
        <v>20</v>
      </c>
      <c r="O303" s="3" t="n">
        <f aca="false">IF(N303&gt;0,ROUNDUP(N303/Parametres!$B$7,0)+1,0)</f>
        <v>3</v>
      </c>
      <c r="P303" s="3" t="n">
        <f aca="false">SUMIFS(Equipes!$D$2:$D$60,Equipes!$A$2:$A$60,"LOT-08",Equipes!$B$2:$B$60,"&lt;="&amp;$A303,Equipes!$C$2:$C$60,"&gt;="&amp;$A303)</f>
        <v>0</v>
      </c>
      <c r="Q303" s="3" t="n">
        <f aca="false">IF(P303&gt;0,ROUNDUP(P303/Parametres!$B$7,0)+1,0)</f>
        <v>0</v>
      </c>
    </row>
    <row r="304" customFormat="false" ht="15" hidden="false" customHeight="false" outlineLevel="0" collapsed="false">
      <c r="A304" s="2" t="n">
        <v>46385</v>
      </c>
      <c r="B304" s="3" t="n">
        <f aca="false">SUMIFS(Equipes!$D$2:$D$60,Equipes!$A$2:$A$60,"LOT-01",Equipes!$B$2:$B$60,"&lt;="&amp;$A304,Equipes!$C$2:$C$60,"&gt;="&amp;$A304)</f>
        <v>0</v>
      </c>
      <c r="C304" s="3" t="n">
        <f aca="false">IF(B304&gt;0,ROUNDUP(B304/Parametres!$B$7,0)+1,0)</f>
        <v>0</v>
      </c>
      <c r="D304" s="3" t="n">
        <f aca="false">SUMIFS(Equipes!$D$2:$D$60,Equipes!$A$2:$A$60,"LOT-02",Equipes!$B$2:$B$60,"&lt;="&amp;$A304,Equipes!$C$2:$C$60,"&gt;="&amp;$A304)</f>
        <v>0</v>
      </c>
      <c r="E304" s="3" t="n">
        <f aca="false">IF(D304&gt;0,ROUNDUP(D304/Parametres!$B$7,0)+1,0)</f>
        <v>0</v>
      </c>
      <c r="F304" s="3" t="n">
        <f aca="false">SUMIFS(Equipes!$D$2:$D$60,Equipes!$A$2:$A$60,"LOT-03",Equipes!$B$2:$B$60,"&lt;="&amp;$A304,Equipes!$C$2:$C$60,"&gt;="&amp;$A304)</f>
        <v>0</v>
      </c>
      <c r="G304" s="3" t="n">
        <f aca="false">IF(F304&gt;0,ROUNDUP(F304/Parametres!$B$7,0)+1,0)</f>
        <v>0</v>
      </c>
      <c r="H304" s="3" t="n">
        <f aca="false">SUMIFS(Equipes!$D$2:$D$60,Equipes!$A$2:$A$60,"LOT-04",Equipes!$B$2:$B$60,"&lt;="&amp;$A304,Equipes!$C$2:$C$60,"&gt;="&amp;$A304)</f>
        <v>0</v>
      </c>
      <c r="I304" s="3" t="n">
        <f aca="false">IF(H304&gt;0,ROUNDUP(H304/Parametres!$B$7,0)+1,0)</f>
        <v>0</v>
      </c>
      <c r="J304" s="3" t="n">
        <f aca="false">SUMIFS(Equipes!$D$2:$D$60,Equipes!$A$2:$A$60,"LOT-05",Equipes!$B$2:$B$60,"&lt;="&amp;$A304,Equipes!$C$2:$C$60,"&gt;="&amp;$A304)</f>
        <v>0</v>
      </c>
      <c r="K304" s="3" t="n">
        <f aca="false">IF(J304&gt;0,ROUNDUP(J304/Parametres!$B$7,0)+1,0)</f>
        <v>0</v>
      </c>
      <c r="L304" s="3" t="n">
        <f aca="false">SUMIFS(Equipes!$D$2:$D$60,Equipes!$A$2:$A$60,"LOT-06",Equipes!$B$2:$B$60,"&lt;="&amp;$A304,Equipes!$C$2:$C$60,"&gt;="&amp;$A304)</f>
        <v>22</v>
      </c>
      <c r="M304" s="3" t="n">
        <f aca="false">IF(L304&gt;0,ROUNDUP(L304/Parametres!$B$7,0)+1,0)</f>
        <v>3</v>
      </c>
      <c r="N304" s="3" t="n">
        <f aca="false">SUMIFS(Equipes!$D$2:$D$60,Equipes!$A$2:$A$60,"LOT-07",Equipes!$B$2:$B$60,"&lt;="&amp;$A304,Equipes!$C$2:$C$60,"&gt;="&amp;$A304)</f>
        <v>20</v>
      </c>
      <c r="O304" s="3" t="n">
        <f aca="false">IF(N304&gt;0,ROUNDUP(N304/Parametres!$B$7,0)+1,0)</f>
        <v>3</v>
      </c>
      <c r="P304" s="3" t="n">
        <f aca="false">SUMIFS(Equipes!$D$2:$D$60,Equipes!$A$2:$A$60,"LOT-08",Equipes!$B$2:$B$60,"&lt;="&amp;$A304,Equipes!$C$2:$C$60,"&gt;="&amp;$A304)</f>
        <v>0</v>
      </c>
      <c r="Q304" s="3" t="n">
        <f aca="false">IF(P304&gt;0,ROUNDUP(P304/Parametres!$B$7,0)+1,0)</f>
        <v>0</v>
      </c>
    </row>
    <row r="305" customFormat="false" ht="15" hidden="false" customHeight="false" outlineLevel="0" collapsed="false">
      <c r="A305" s="2" t="n">
        <v>46386</v>
      </c>
      <c r="B305" s="3" t="n">
        <f aca="false">SUMIFS(Equipes!$D$2:$D$60,Equipes!$A$2:$A$60,"LOT-01",Equipes!$B$2:$B$60,"&lt;="&amp;$A305,Equipes!$C$2:$C$60,"&gt;="&amp;$A305)</f>
        <v>0</v>
      </c>
      <c r="C305" s="3" t="n">
        <f aca="false">IF(B305&gt;0,ROUNDUP(B305/Parametres!$B$7,0)+1,0)</f>
        <v>0</v>
      </c>
      <c r="D305" s="3" t="n">
        <f aca="false">SUMIFS(Equipes!$D$2:$D$60,Equipes!$A$2:$A$60,"LOT-02",Equipes!$B$2:$B$60,"&lt;="&amp;$A305,Equipes!$C$2:$C$60,"&gt;="&amp;$A305)</f>
        <v>0</v>
      </c>
      <c r="E305" s="3" t="n">
        <f aca="false">IF(D305&gt;0,ROUNDUP(D305/Parametres!$B$7,0)+1,0)</f>
        <v>0</v>
      </c>
      <c r="F305" s="3" t="n">
        <f aca="false">SUMIFS(Equipes!$D$2:$D$60,Equipes!$A$2:$A$60,"LOT-03",Equipes!$B$2:$B$60,"&lt;="&amp;$A305,Equipes!$C$2:$C$60,"&gt;="&amp;$A305)</f>
        <v>0</v>
      </c>
      <c r="G305" s="3" t="n">
        <f aca="false">IF(F305&gt;0,ROUNDUP(F305/Parametres!$B$7,0)+1,0)</f>
        <v>0</v>
      </c>
      <c r="H305" s="3" t="n">
        <f aca="false">SUMIFS(Equipes!$D$2:$D$60,Equipes!$A$2:$A$60,"LOT-04",Equipes!$B$2:$B$60,"&lt;="&amp;$A305,Equipes!$C$2:$C$60,"&gt;="&amp;$A305)</f>
        <v>0</v>
      </c>
      <c r="I305" s="3" t="n">
        <f aca="false">IF(H305&gt;0,ROUNDUP(H305/Parametres!$B$7,0)+1,0)</f>
        <v>0</v>
      </c>
      <c r="J305" s="3" t="n">
        <f aca="false">SUMIFS(Equipes!$D$2:$D$60,Equipes!$A$2:$A$60,"LOT-05",Equipes!$B$2:$B$60,"&lt;="&amp;$A305,Equipes!$C$2:$C$60,"&gt;="&amp;$A305)</f>
        <v>0</v>
      </c>
      <c r="K305" s="3" t="n">
        <f aca="false">IF(J305&gt;0,ROUNDUP(J305/Parametres!$B$7,0)+1,0)</f>
        <v>0</v>
      </c>
      <c r="L305" s="3" t="n">
        <f aca="false">SUMIFS(Equipes!$D$2:$D$60,Equipes!$A$2:$A$60,"LOT-06",Equipes!$B$2:$B$60,"&lt;="&amp;$A305,Equipes!$C$2:$C$60,"&gt;="&amp;$A305)</f>
        <v>22</v>
      </c>
      <c r="M305" s="3" t="n">
        <f aca="false">IF(L305&gt;0,ROUNDUP(L305/Parametres!$B$7,0)+1,0)</f>
        <v>3</v>
      </c>
      <c r="N305" s="3" t="n">
        <f aca="false">SUMIFS(Equipes!$D$2:$D$60,Equipes!$A$2:$A$60,"LOT-07",Equipes!$B$2:$B$60,"&lt;="&amp;$A305,Equipes!$C$2:$C$60,"&gt;="&amp;$A305)</f>
        <v>20</v>
      </c>
      <c r="O305" s="3" t="n">
        <f aca="false">IF(N305&gt;0,ROUNDUP(N305/Parametres!$B$7,0)+1,0)</f>
        <v>3</v>
      </c>
      <c r="P305" s="3" t="n">
        <f aca="false">SUMIFS(Equipes!$D$2:$D$60,Equipes!$A$2:$A$60,"LOT-08",Equipes!$B$2:$B$60,"&lt;="&amp;$A305,Equipes!$C$2:$C$60,"&gt;="&amp;$A305)</f>
        <v>0</v>
      </c>
      <c r="Q305" s="3" t="n">
        <f aca="false">IF(P305&gt;0,ROUNDUP(P305/Parametres!$B$7,0)+1,0)</f>
        <v>0</v>
      </c>
    </row>
    <row r="306" customFormat="false" ht="15" hidden="false" customHeight="false" outlineLevel="0" collapsed="false">
      <c r="A306" s="2" t="n">
        <v>46387</v>
      </c>
      <c r="B306" s="3" t="n">
        <f aca="false">SUMIFS(Equipes!$D$2:$D$60,Equipes!$A$2:$A$60,"LOT-01",Equipes!$B$2:$B$60,"&lt;="&amp;$A306,Equipes!$C$2:$C$60,"&gt;="&amp;$A306)</f>
        <v>0</v>
      </c>
      <c r="C306" s="3" t="n">
        <f aca="false">IF(B306&gt;0,ROUNDUP(B306/Parametres!$B$7,0)+1,0)</f>
        <v>0</v>
      </c>
      <c r="D306" s="3" t="n">
        <f aca="false">SUMIFS(Equipes!$D$2:$D$60,Equipes!$A$2:$A$60,"LOT-02",Equipes!$B$2:$B$60,"&lt;="&amp;$A306,Equipes!$C$2:$C$60,"&gt;="&amp;$A306)</f>
        <v>0</v>
      </c>
      <c r="E306" s="3" t="n">
        <f aca="false">IF(D306&gt;0,ROUNDUP(D306/Parametres!$B$7,0)+1,0)</f>
        <v>0</v>
      </c>
      <c r="F306" s="3" t="n">
        <f aca="false">SUMIFS(Equipes!$D$2:$D$60,Equipes!$A$2:$A$60,"LOT-03",Equipes!$B$2:$B$60,"&lt;="&amp;$A306,Equipes!$C$2:$C$60,"&gt;="&amp;$A306)</f>
        <v>0</v>
      </c>
      <c r="G306" s="3" t="n">
        <f aca="false">IF(F306&gt;0,ROUNDUP(F306/Parametres!$B$7,0)+1,0)</f>
        <v>0</v>
      </c>
      <c r="H306" s="3" t="n">
        <f aca="false">SUMIFS(Equipes!$D$2:$D$60,Equipes!$A$2:$A$60,"LOT-04",Equipes!$B$2:$B$60,"&lt;="&amp;$A306,Equipes!$C$2:$C$60,"&gt;="&amp;$A306)</f>
        <v>0</v>
      </c>
      <c r="I306" s="3" t="n">
        <f aca="false">IF(H306&gt;0,ROUNDUP(H306/Parametres!$B$7,0)+1,0)</f>
        <v>0</v>
      </c>
      <c r="J306" s="3" t="n">
        <f aca="false">SUMIFS(Equipes!$D$2:$D$60,Equipes!$A$2:$A$60,"LOT-05",Equipes!$B$2:$B$60,"&lt;="&amp;$A306,Equipes!$C$2:$C$60,"&gt;="&amp;$A306)</f>
        <v>0</v>
      </c>
      <c r="K306" s="3" t="n">
        <f aca="false">IF(J306&gt;0,ROUNDUP(J306/Parametres!$B$7,0)+1,0)</f>
        <v>0</v>
      </c>
      <c r="L306" s="3" t="n">
        <f aca="false">SUMIFS(Equipes!$D$2:$D$60,Equipes!$A$2:$A$60,"LOT-06",Equipes!$B$2:$B$60,"&lt;="&amp;$A306,Equipes!$C$2:$C$60,"&gt;="&amp;$A306)</f>
        <v>22</v>
      </c>
      <c r="M306" s="3" t="n">
        <f aca="false">IF(L306&gt;0,ROUNDUP(L306/Parametres!$B$7,0)+1,0)</f>
        <v>3</v>
      </c>
      <c r="N306" s="3" t="n">
        <f aca="false">SUMIFS(Equipes!$D$2:$D$60,Equipes!$A$2:$A$60,"LOT-07",Equipes!$B$2:$B$60,"&lt;="&amp;$A306,Equipes!$C$2:$C$60,"&gt;="&amp;$A306)</f>
        <v>20</v>
      </c>
      <c r="O306" s="3" t="n">
        <f aca="false">IF(N306&gt;0,ROUNDUP(N306/Parametres!$B$7,0)+1,0)</f>
        <v>3</v>
      </c>
      <c r="P306" s="3" t="n">
        <f aca="false">SUMIFS(Equipes!$D$2:$D$60,Equipes!$A$2:$A$60,"LOT-08",Equipes!$B$2:$B$60,"&lt;="&amp;$A306,Equipes!$C$2:$C$60,"&gt;="&amp;$A306)</f>
        <v>0</v>
      </c>
      <c r="Q306" s="3" t="n">
        <f aca="false">IF(P306&gt;0,ROUNDUP(P306/Parametres!$B$7,0)+1,0)</f>
        <v>0</v>
      </c>
    </row>
    <row r="307" customFormat="false" ht="15" hidden="false" customHeight="false" outlineLevel="0" collapsed="false">
      <c r="A307" s="2" t="n">
        <v>46388</v>
      </c>
      <c r="B307" s="3" t="n">
        <f aca="false">SUMIFS(Equipes!$D$2:$D$60,Equipes!$A$2:$A$60,"LOT-01",Equipes!$B$2:$B$60,"&lt;="&amp;$A307,Equipes!$C$2:$C$60,"&gt;="&amp;$A307)</f>
        <v>0</v>
      </c>
      <c r="C307" s="3" t="n">
        <f aca="false">IF(B307&gt;0,ROUNDUP(B307/Parametres!$B$7,0)+1,0)</f>
        <v>0</v>
      </c>
      <c r="D307" s="3" t="n">
        <f aca="false">SUMIFS(Equipes!$D$2:$D$60,Equipes!$A$2:$A$60,"LOT-02",Equipes!$B$2:$B$60,"&lt;="&amp;$A307,Equipes!$C$2:$C$60,"&gt;="&amp;$A307)</f>
        <v>0</v>
      </c>
      <c r="E307" s="3" t="n">
        <f aca="false">IF(D307&gt;0,ROUNDUP(D307/Parametres!$B$7,0)+1,0)</f>
        <v>0</v>
      </c>
      <c r="F307" s="3" t="n">
        <f aca="false">SUMIFS(Equipes!$D$2:$D$60,Equipes!$A$2:$A$60,"LOT-03",Equipes!$B$2:$B$60,"&lt;="&amp;$A307,Equipes!$C$2:$C$60,"&gt;="&amp;$A307)</f>
        <v>0</v>
      </c>
      <c r="G307" s="3" t="n">
        <f aca="false">IF(F307&gt;0,ROUNDUP(F307/Parametres!$B$7,0)+1,0)</f>
        <v>0</v>
      </c>
      <c r="H307" s="3" t="n">
        <f aca="false">SUMIFS(Equipes!$D$2:$D$60,Equipes!$A$2:$A$60,"LOT-04",Equipes!$B$2:$B$60,"&lt;="&amp;$A307,Equipes!$C$2:$C$60,"&gt;="&amp;$A307)</f>
        <v>0</v>
      </c>
      <c r="I307" s="3" t="n">
        <f aca="false">IF(H307&gt;0,ROUNDUP(H307/Parametres!$B$7,0)+1,0)</f>
        <v>0</v>
      </c>
      <c r="J307" s="3" t="n">
        <f aca="false">SUMIFS(Equipes!$D$2:$D$60,Equipes!$A$2:$A$60,"LOT-05",Equipes!$B$2:$B$60,"&lt;="&amp;$A307,Equipes!$C$2:$C$60,"&gt;="&amp;$A307)</f>
        <v>0</v>
      </c>
      <c r="K307" s="3" t="n">
        <f aca="false">IF(J307&gt;0,ROUNDUP(J307/Parametres!$B$7,0)+1,0)</f>
        <v>0</v>
      </c>
      <c r="L307" s="3" t="n">
        <f aca="false">SUMIFS(Equipes!$D$2:$D$60,Equipes!$A$2:$A$60,"LOT-06",Equipes!$B$2:$B$60,"&lt;="&amp;$A307,Equipes!$C$2:$C$60,"&gt;="&amp;$A307)</f>
        <v>22</v>
      </c>
      <c r="M307" s="3" t="n">
        <f aca="false">IF(L307&gt;0,ROUNDUP(L307/Parametres!$B$7,0)+1,0)</f>
        <v>3</v>
      </c>
      <c r="N307" s="3" t="n">
        <f aca="false">SUMIFS(Equipes!$D$2:$D$60,Equipes!$A$2:$A$60,"LOT-07",Equipes!$B$2:$B$60,"&lt;="&amp;$A307,Equipes!$C$2:$C$60,"&gt;="&amp;$A307)</f>
        <v>20</v>
      </c>
      <c r="O307" s="3" t="n">
        <f aca="false">IF(N307&gt;0,ROUNDUP(N307/Parametres!$B$7,0)+1,0)</f>
        <v>3</v>
      </c>
      <c r="P307" s="3" t="n">
        <f aca="false">SUMIFS(Equipes!$D$2:$D$60,Equipes!$A$2:$A$60,"LOT-08",Equipes!$B$2:$B$60,"&lt;="&amp;$A307,Equipes!$C$2:$C$60,"&gt;="&amp;$A307)</f>
        <v>0</v>
      </c>
      <c r="Q307" s="3" t="n">
        <f aca="false">IF(P307&gt;0,ROUNDUP(P307/Parametres!$B$7,0)+1,0)</f>
        <v>0</v>
      </c>
    </row>
    <row r="308" customFormat="false" ht="15" hidden="false" customHeight="false" outlineLevel="0" collapsed="false">
      <c r="A308" s="2" t="n">
        <v>46389</v>
      </c>
      <c r="B308" s="3" t="n">
        <f aca="false">SUMIFS(Equipes!$D$2:$D$60,Equipes!$A$2:$A$60,"LOT-01",Equipes!$B$2:$B$60,"&lt;="&amp;$A308,Equipes!$C$2:$C$60,"&gt;="&amp;$A308)</f>
        <v>0</v>
      </c>
      <c r="C308" s="3" t="n">
        <f aca="false">IF(B308&gt;0,ROUNDUP(B308/Parametres!$B$7,0)+1,0)</f>
        <v>0</v>
      </c>
      <c r="D308" s="3" t="n">
        <f aca="false">SUMIFS(Equipes!$D$2:$D$60,Equipes!$A$2:$A$60,"LOT-02",Equipes!$B$2:$B$60,"&lt;="&amp;$A308,Equipes!$C$2:$C$60,"&gt;="&amp;$A308)</f>
        <v>0</v>
      </c>
      <c r="E308" s="3" t="n">
        <f aca="false">IF(D308&gt;0,ROUNDUP(D308/Parametres!$B$7,0)+1,0)</f>
        <v>0</v>
      </c>
      <c r="F308" s="3" t="n">
        <f aca="false">SUMIFS(Equipes!$D$2:$D$60,Equipes!$A$2:$A$60,"LOT-03",Equipes!$B$2:$B$60,"&lt;="&amp;$A308,Equipes!$C$2:$C$60,"&gt;="&amp;$A308)</f>
        <v>0</v>
      </c>
      <c r="G308" s="3" t="n">
        <f aca="false">IF(F308&gt;0,ROUNDUP(F308/Parametres!$B$7,0)+1,0)</f>
        <v>0</v>
      </c>
      <c r="H308" s="3" t="n">
        <f aca="false">SUMIFS(Equipes!$D$2:$D$60,Equipes!$A$2:$A$60,"LOT-04",Equipes!$B$2:$B$60,"&lt;="&amp;$A308,Equipes!$C$2:$C$60,"&gt;="&amp;$A308)</f>
        <v>0</v>
      </c>
      <c r="I308" s="3" t="n">
        <f aca="false">IF(H308&gt;0,ROUNDUP(H308/Parametres!$B$7,0)+1,0)</f>
        <v>0</v>
      </c>
      <c r="J308" s="3" t="n">
        <f aca="false">SUMIFS(Equipes!$D$2:$D$60,Equipes!$A$2:$A$60,"LOT-05",Equipes!$B$2:$B$60,"&lt;="&amp;$A308,Equipes!$C$2:$C$60,"&gt;="&amp;$A308)</f>
        <v>0</v>
      </c>
      <c r="K308" s="3" t="n">
        <f aca="false">IF(J308&gt;0,ROUNDUP(J308/Parametres!$B$7,0)+1,0)</f>
        <v>0</v>
      </c>
      <c r="L308" s="3" t="n">
        <f aca="false">SUMIFS(Equipes!$D$2:$D$60,Equipes!$A$2:$A$60,"LOT-06",Equipes!$B$2:$B$60,"&lt;="&amp;$A308,Equipes!$C$2:$C$60,"&gt;="&amp;$A308)</f>
        <v>22</v>
      </c>
      <c r="M308" s="3" t="n">
        <f aca="false">IF(L308&gt;0,ROUNDUP(L308/Parametres!$B$7,0)+1,0)</f>
        <v>3</v>
      </c>
      <c r="N308" s="3" t="n">
        <f aca="false">SUMIFS(Equipes!$D$2:$D$60,Equipes!$A$2:$A$60,"LOT-07",Equipes!$B$2:$B$60,"&lt;="&amp;$A308,Equipes!$C$2:$C$60,"&gt;="&amp;$A308)</f>
        <v>20</v>
      </c>
      <c r="O308" s="3" t="n">
        <f aca="false">IF(N308&gt;0,ROUNDUP(N308/Parametres!$B$7,0)+1,0)</f>
        <v>3</v>
      </c>
      <c r="P308" s="3" t="n">
        <f aca="false">SUMIFS(Equipes!$D$2:$D$60,Equipes!$A$2:$A$60,"LOT-08",Equipes!$B$2:$B$60,"&lt;="&amp;$A308,Equipes!$C$2:$C$60,"&gt;="&amp;$A308)</f>
        <v>0</v>
      </c>
      <c r="Q308" s="3" t="n">
        <f aca="false">IF(P308&gt;0,ROUNDUP(P308/Parametres!$B$7,0)+1,0)</f>
        <v>0</v>
      </c>
    </row>
    <row r="309" customFormat="false" ht="15" hidden="false" customHeight="false" outlineLevel="0" collapsed="false">
      <c r="A309" s="2" t="n">
        <v>46390</v>
      </c>
      <c r="B309" s="3" t="n">
        <f aca="false">SUMIFS(Equipes!$D$2:$D$60,Equipes!$A$2:$A$60,"LOT-01",Equipes!$B$2:$B$60,"&lt;="&amp;$A309,Equipes!$C$2:$C$60,"&gt;="&amp;$A309)</f>
        <v>0</v>
      </c>
      <c r="C309" s="3" t="n">
        <f aca="false">IF(B309&gt;0,ROUNDUP(B309/Parametres!$B$7,0)+1,0)</f>
        <v>0</v>
      </c>
      <c r="D309" s="3" t="n">
        <f aca="false">SUMIFS(Equipes!$D$2:$D$60,Equipes!$A$2:$A$60,"LOT-02",Equipes!$B$2:$B$60,"&lt;="&amp;$A309,Equipes!$C$2:$C$60,"&gt;="&amp;$A309)</f>
        <v>0</v>
      </c>
      <c r="E309" s="3" t="n">
        <f aca="false">IF(D309&gt;0,ROUNDUP(D309/Parametres!$B$7,0)+1,0)</f>
        <v>0</v>
      </c>
      <c r="F309" s="3" t="n">
        <f aca="false">SUMIFS(Equipes!$D$2:$D$60,Equipes!$A$2:$A$60,"LOT-03",Equipes!$B$2:$B$60,"&lt;="&amp;$A309,Equipes!$C$2:$C$60,"&gt;="&amp;$A309)</f>
        <v>0</v>
      </c>
      <c r="G309" s="3" t="n">
        <f aca="false">IF(F309&gt;0,ROUNDUP(F309/Parametres!$B$7,0)+1,0)</f>
        <v>0</v>
      </c>
      <c r="H309" s="3" t="n">
        <f aca="false">SUMIFS(Equipes!$D$2:$D$60,Equipes!$A$2:$A$60,"LOT-04",Equipes!$B$2:$B$60,"&lt;="&amp;$A309,Equipes!$C$2:$C$60,"&gt;="&amp;$A309)</f>
        <v>0</v>
      </c>
      <c r="I309" s="3" t="n">
        <f aca="false">IF(H309&gt;0,ROUNDUP(H309/Parametres!$B$7,0)+1,0)</f>
        <v>0</v>
      </c>
      <c r="J309" s="3" t="n">
        <f aca="false">SUMIFS(Equipes!$D$2:$D$60,Equipes!$A$2:$A$60,"LOT-05",Equipes!$B$2:$B$60,"&lt;="&amp;$A309,Equipes!$C$2:$C$60,"&gt;="&amp;$A309)</f>
        <v>0</v>
      </c>
      <c r="K309" s="3" t="n">
        <f aca="false">IF(J309&gt;0,ROUNDUP(J309/Parametres!$B$7,0)+1,0)</f>
        <v>0</v>
      </c>
      <c r="L309" s="3" t="n">
        <f aca="false">SUMIFS(Equipes!$D$2:$D$60,Equipes!$A$2:$A$60,"LOT-06",Equipes!$B$2:$B$60,"&lt;="&amp;$A309,Equipes!$C$2:$C$60,"&gt;="&amp;$A309)</f>
        <v>22</v>
      </c>
      <c r="M309" s="3" t="n">
        <f aca="false">IF(L309&gt;0,ROUNDUP(L309/Parametres!$B$7,0)+1,0)</f>
        <v>3</v>
      </c>
      <c r="N309" s="3" t="n">
        <f aca="false">SUMIFS(Equipes!$D$2:$D$60,Equipes!$A$2:$A$60,"LOT-07",Equipes!$B$2:$B$60,"&lt;="&amp;$A309,Equipes!$C$2:$C$60,"&gt;="&amp;$A309)</f>
        <v>20</v>
      </c>
      <c r="O309" s="3" t="n">
        <f aca="false">IF(N309&gt;0,ROUNDUP(N309/Parametres!$B$7,0)+1,0)</f>
        <v>3</v>
      </c>
      <c r="P309" s="3" t="n">
        <f aca="false">SUMIFS(Equipes!$D$2:$D$60,Equipes!$A$2:$A$60,"LOT-08",Equipes!$B$2:$B$60,"&lt;="&amp;$A309,Equipes!$C$2:$C$60,"&gt;="&amp;$A309)</f>
        <v>0</v>
      </c>
      <c r="Q309" s="3" t="n">
        <f aca="false">IF(P309&gt;0,ROUNDUP(P309/Parametres!$B$7,0)+1,0)</f>
        <v>0</v>
      </c>
    </row>
    <row r="310" customFormat="false" ht="15" hidden="false" customHeight="false" outlineLevel="0" collapsed="false">
      <c r="A310" s="2" t="n">
        <v>46391</v>
      </c>
      <c r="B310" s="3" t="n">
        <f aca="false">SUMIFS(Equipes!$D$2:$D$60,Equipes!$A$2:$A$60,"LOT-01",Equipes!$B$2:$B$60,"&lt;="&amp;$A310,Equipes!$C$2:$C$60,"&gt;="&amp;$A310)</f>
        <v>0</v>
      </c>
      <c r="C310" s="3" t="n">
        <f aca="false">IF(B310&gt;0,ROUNDUP(B310/Parametres!$B$7,0)+1,0)</f>
        <v>0</v>
      </c>
      <c r="D310" s="3" t="n">
        <f aca="false">SUMIFS(Equipes!$D$2:$D$60,Equipes!$A$2:$A$60,"LOT-02",Equipes!$B$2:$B$60,"&lt;="&amp;$A310,Equipes!$C$2:$C$60,"&gt;="&amp;$A310)</f>
        <v>0</v>
      </c>
      <c r="E310" s="3" t="n">
        <f aca="false">IF(D310&gt;0,ROUNDUP(D310/Parametres!$B$7,0)+1,0)</f>
        <v>0</v>
      </c>
      <c r="F310" s="3" t="n">
        <f aca="false">SUMIFS(Equipes!$D$2:$D$60,Equipes!$A$2:$A$60,"LOT-03",Equipes!$B$2:$B$60,"&lt;="&amp;$A310,Equipes!$C$2:$C$60,"&gt;="&amp;$A310)</f>
        <v>0</v>
      </c>
      <c r="G310" s="3" t="n">
        <f aca="false">IF(F310&gt;0,ROUNDUP(F310/Parametres!$B$7,0)+1,0)</f>
        <v>0</v>
      </c>
      <c r="H310" s="3" t="n">
        <f aca="false">SUMIFS(Equipes!$D$2:$D$60,Equipes!$A$2:$A$60,"LOT-04",Equipes!$B$2:$B$60,"&lt;="&amp;$A310,Equipes!$C$2:$C$60,"&gt;="&amp;$A310)</f>
        <v>0</v>
      </c>
      <c r="I310" s="3" t="n">
        <f aca="false">IF(H310&gt;0,ROUNDUP(H310/Parametres!$B$7,0)+1,0)</f>
        <v>0</v>
      </c>
      <c r="J310" s="3" t="n">
        <f aca="false">SUMIFS(Equipes!$D$2:$D$60,Equipes!$A$2:$A$60,"LOT-05",Equipes!$B$2:$B$60,"&lt;="&amp;$A310,Equipes!$C$2:$C$60,"&gt;="&amp;$A310)</f>
        <v>0</v>
      </c>
      <c r="K310" s="3" t="n">
        <f aca="false">IF(J310&gt;0,ROUNDUP(J310/Parametres!$B$7,0)+1,0)</f>
        <v>0</v>
      </c>
      <c r="L310" s="3" t="n">
        <f aca="false">SUMIFS(Equipes!$D$2:$D$60,Equipes!$A$2:$A$60,"LOT-06",Equipes!$B$2:$B$60,"&lt;="&amp;$A310,Equipes!$C$2:$C$60,"&gt;="&amp;$A310)</f>
        <v>22</v>
      </c>
      <c r="M310" s="3" t="n">
        <f aca="false">IF(L310&gt;0,ROUNDUP(L310/Parametres!$B$7,0)+1,0)</f>
        <v>3</v>
      </c>
      <c r="N310" s="3" t="n">
        <f aca="false">SUMIFS(Equipes!$D$2:$D$60,Equipes!$A$2:$A$60,"LOT-07",Equipes!$B$2:$B$60,"&lt;="&amp;$A310,Equipes!$C$2:$C$60,"&gt;="&amp;$A310)</f>
        <v>20</v>
      </c>
      <c r="O310" s="3" t="n">
        <f aca="false">IF(N310&gt;0,ROUNDUP(N310/Parametres!$B$7,0)+1,0)</f>
        <v>3</v>
      </c>
      <c r="P310" s="3" t="n">
        <f aca="false">SUMIFS(Equipes!$D$2:$D$60,Equipes!$A$2:$A$60,"LOT-08",Equipes!$B$2:$B$60,"&lt;="&amp;$A310,Equipes!$C$2:$C$60,"&gt;="&amp;$A310)</f>
        <v>0</v>
      </c>
      <c r="Q310" s="3" t="n">
        <f aca="false">IF(P310&gt;0,ROUNDUP(P310/Parametres!$B$7,0)+1,0)</f>
        <v>0</v>
      </c>
    </row>
    <row r="311" customFormat="false" ht="15" hidden="false" customHeight="false" outlineLevel="0" collapsed="false">
      <c r="A311" s="2" t="n">
        <v>46392</v>
      </c>
      <c r="B311" s="3" t="n">
        <f aca="false">SUMIFS(Equipes!$D$2:$D$60,Equipes!$A$2:$A$60,"LOT-01",Equipes!$B$2:$B$60,"&lt;="&amp;$A311,Equipes!$C$2:$C$60,"&gt;="&amp;$A311)</f>
        <v>0</v>
      </c>
      <c r="C311" s="3" t="n">
        <f aca="false">IF(B311&gt;0,ROUNDUP(B311/Parametres!$B$7,0)+1,0)</f>
        <v>0</v>
      </c>
      <c r="D311" s="3" t="n">
        <f aca="false">SUMIFS(Equipes!$D$2:$D$60,Equipes!$A$2:$A$60,"LOT-02",Equipes!$B$2:$B$60,"&lt;="&amp;$A311,Equipes!$C$2:$C$60,"&gt;="&amp;$A311)</f>
        <v>0</v>
      </c>
      <c r="E311" s="3" t="n">
        <f aca="false">IF(D311&gt;0,ROUNDUP(D311/Parametres!$B$7,0)+1,0)</f>
        <v>0</v>
      </c>
      <c r="F311" s="3" t="n">
        <f aca="false">SUMIFS(Equipes!$D$2:$D$60,Equipes!$A$2:$A$60,"LOT-03",Equipes!$B$2:$B$60,"&lt;="&amp;$A311,Equipes!$C$2:$C$60,"&gt;="&amp;$A311)</f>
        <v>0</v>
      </c>
      <c r="G311" s="3" t="n">
        <f aca="false">IF(F311&gt;0,ROUNDUP(F311/Parametres!$B$7,0)+1,0)</f>
        <v>0</v>
      </c>
      <c r="H311" s="3" t="n">
        <f aca="false">SUMIFS(Equipes!$D$2:$D$60,Equipes!$A$2:$A$60,"LOT-04",Equipes!$B$2:$B$60,"&lt;="&amp;$A311,Equipes!$C$2:$C$60,"&gt;="&amp;$A311)</f>
        <v>0</v>
      </c>
      <c r="I311" s="3" t="n">
        <f aca="false">IF(H311&gt;0,ROUNDUP(H311/Parametres!$B$7,0)+1,0)</f>
        <v>0</v>
      </c>
      <c r="J311" s="3" t="n">
        <f aca="false">SUMIFS(Equipes!$D$2:$D$60,Equipes!$A$2:$A$60,"LOT-05",Equipes!$B$2:$B$60,"&lt;="&amp;$A311,Equipes!$C$2:$C$60,"&gt;="&amp;$A311)</f>
        <v>0</v>
      </c>
      <c r="K311" s="3" t="n">
        <f aca="false">IF(J311&gt;0,ROUNDUP(J311/Parametres!$B$7,0)+1,0)</f>
        <v>0</v>
      </c>
      <c r="L311" s="3" t="n">
        <f aca="false">SUMIFS(Equipes!$D$2:$D$60,Equipes!$A$2:$A$60,"LOT-06",Equipes!$B$2:$B$60,"&lt;="&amp;$A311,Equipes!$C$2:$C$60,"&gt;="&amp;$A311)</f>
        <v>22</v>
      </c>
      <c r="M311" s="3" t="n">
        <f aca="false">IF(L311&gt;0,ROUNDUP(L311/Parametres!$B$7,0)+1,0)</f>
        <v>3</v>
      </c>
      <c r="N311" s="3" t="n">
        <f aca="false">SUMIFS(Equipes!$D$2:$D$60,Equipes!$A$2:$A$60,"LOT-07",Equipes!$B$2:$B$60,"&lt;="&amp;$A311,Equipes!$C$2:$C$60,"&gt;="&amp;$A311)</f>
        <v>20</v>
      </c>
      <c r="O311" s="3" t="n">
        <f aca="false">IF(N311&gt;0,ROUNDUP(N311/Parametres!$B$7,0)+1,0)</f>
        <v>3</v>
      </c>
      <c r="P311" s="3" t="n">
        <f aca="false">SUMIFS(Equipes!$D$2:$D$60,Equipes!$A$2:$A$60,"LOT-08",Equipes!$B$2:$B$60,"&lt;="&amp;$A311,Equipes!$C$2:$C$60,"&gt;="&amp;$A311)</f>
        <v>0</v>
      </c>
      <c r="Q311" s="3" t="n">
        <f aca="false">IF(P311&gt;0,ROUNDUP(P311/Parametres!$B$7,0)+1,0)</f>
        <v>0</v>
      </c>
    </row>
    <row r="312" customFormat="false" ht="15" hidden="false" customHeight="false" outlineLevel="0" collapsed="false">
      <c r="A312" s="2" t="n">
        <v>46393</v>
      </c>
      <c r="B312" s="3" t="n">
        <f aca="false">SUMIFS(Equipes!$D$2:$D$60,Equipes!$A$2:$A$60,"LOT-01",Equipes!$B$2:$B$60,"&lt;="&amp;$A312,Equipes!$C$2:$C$60,"&gt;="&amp;$A312)</f>
        <v>0</v>
      </c>
      <c r="C312" s="3" t="n">
        <f aca="false">IF(B312&gt;0,ROUNDUP(B312/Parametres!$B$7,0)+1,0)</f>
        <v>0</v>
      </c>
      <c r="D312" s="3" t="n">
        <f aca="false">SUMIFS(Equipes!$D$2:$D$60,Equipes!$A$2:$A$60,"LOT-02",Equipes!$B$2:$B$60,"&lt;="&amp;$A312,Equipes!$C$2:$C$60,"&gt;="&amp;$A312)</f>
        <v>0</v>
      </c>
      <c r="E312" s="3" t="n">
        <f aca="false">IF(D312&gt;0,ROUNDUP(D312/Parametres!$B$7,0)+1,0)</f>
        <v>0</v>
      </c>
      <c r="F312" s="3" t="n">
        <f aca="false">SUMIFS(Equipes!$D$2:$D$60,Equipes!$A$2:$A$60,"LOT-03",Equipes!$B$2:$B$60,"&lt;="&amp;$A312,Equipes!$C$2:$C$60,"&gt;="&amp;$A312)</f>
        <v>0</v>
      </c>
      <c r="G312" s="3" t="n">
        <f aca="false">IF(F312&gt;0,ROUNDUP(F312/Parametres!$B$7,0)+1,0)</f>
        <v>0</v>
      </c>
      <c r="H312" s="3" t="n">
        <f aca="false">SUMIFS(Equipes!$D$2:$D$60,Equipes!$A$2:$A$60,"LOT-04",Equipes!$B$2:$B$60,"&lt;="&amp;$A312,Equipes!$C$2:$C$60,"&gt;="&amp;$A312)</f>
        <v>0</v>
      </c>
      <c r="I312" s="3" t="n">
        <f aca="false">IF(H312&gt;0,ROUNDUP(H312/Parametres!$B$7,0)+1,0)</f>
        <v>0</v>
      </c>
      <c r="J312" s="3" t="n">
        <f aca="false">SUMIFS(Equipes!$D$2:$D$60,Equipes!$A$2:$A$60,"LOT-05",Equipes!$B$2:$B$60,"&lt;="&amp;$A312,Equipes!$C$2:$C$60,"&gt;="&amp;$A312)</f>
        <v>0</v>
      </c>
      <c r="K312" s="3" t="n">
        <f aca="false">IF(J312&gt;0,ROUNDUP(J312/Parametres!$B$7,0)+1,0)</f>
        <v>0</v>
      </c>
      <c r="L312" s="3" t="n">
        <f aca="false">SUMIFS(Equipes!$D$2:$D$60,Equipes!$A$2:$A$60,"LOT-06",Equipes!$B$2:$B$60,"&lt;="&amp;$A312,Equipes!$C$2:$C$60,"&gt;="&amp;$A312)</f>
        <v>22</v>
      </c>
      <c r="M312" s="3" t="n">
        <f aca="false">IF(L312&gt;0,ROUNDUP(L312/Parametres!$B$7,0)+1,0)</f>
        <v>3</v>
      </c>
      <c r="N312" s="3" t="n">
        <f aca="false">SUMIFS(Equipes!$D$2:$D$60,Equipes!$A$2:$A$60,"LOT-07",Equipes!$B$2:$B$60,"&lt;="&amp;$A312,Equipes!$C$2:$C$60,"&gt;="&amp;$A312)</f>
        <v>20</v>
      </c>
      <c r="O312" s="3" t="n">
        <f aca="false">IF(N312&gt;0,ROUNDUP(N312/Parametres!$B$7,0)+1,0)</f>
        <v>3</v>
      </c>
      <c r="P312" s="3" t="n">
        <f aca="false">SUMIFS(Equipes!$D$2:$D$60,Equipes!$A$2:$A$60,"LOT-08",Equipes!$B$2:$B$60,"&lt;="&amp;$A312,Equipes!$C$2:$C$60,"&gt;="&amp;$A312)</f>
        <v>0</v>
      </c>
      <c r="Q312" s="3" t="n">
        <f aca="false">IF(P312&gt;0,ROUNDUP(P312/Parametres!$B$7,0)+1,0)</f>
        <v>0</v>
      </c>
    </row>
    <row r="313" customFormat="false" ht="15" hidden="false" customHeight="false" outlineLevel="0" collapsed="false">
      <c r="A313" s="2" t="n">
        <v>46394</v>
      </c>
      <c r="B313" s="3" t="n">
        <f aca="false">SUMIFS(Equipes!$D$2:$D$60,Equipes!$A$2:$A$60,"LOT-01",Equipes!$B$2:$B$60,"&lt;="&amp;$A313,Equipes!$C$2:$C$60,"&gt;="&amp;$A313)</f>
        <v>0</v>
      </c>
      <c r="C313" s="3" t="n">
        <f aca="false">IF(B313&gt;0,ROUNDUP(B313/Parametres!$B$7,0)+1,0)</f>
        <v>0</v>
      </c>
      <c r="D313" s="3" t="n">
        <f aca="false">SUMIFS(Equipes!$D$2:$D$60,Equipes!$A$2:$A$60,"LOT-02",Equipes!$B$2:$B$60,"&lt;="&amp;$A313,Equipes!$C$2:$C$60,"&gt;="&amp;$A313)</f>
        <v>0</v>
      </c>
      <c r="E313" s="3" t="n">
        <f aca="false">IF(D313&gt;0,ROUNDUP(D313/Parametres!$B$7,0)+1,0)</f>
        <v>0</v>
      </c>
      <c r="F313" s="3" t="n">
        <f aca="false">SUMIFS(Equipes!$D$2:$D$60,Equipes!$A$2:$A$60,"LOT-03",Equipes!$B$2:$B$60,"&lt;="&amp;$A313,Equipes!$C$2:$C$60,"&gt;="&amp;$A313)</f>
        <v>0</v>
      </c>
      <c r="G313" s="3" t="n">
        <f aca="false">IF(F313&gt;0,ROUNDUP(F313/Parametres!$B$7,0)+1,0)</f>
        <v>0</v>
      </c>
      <c r="H313" s="3" t="n">
        <f aca="false">SUMIFS(Equipes!$D$2:$D$60,Equipes!$A$2:$A$60,"LOT-04",Equipes!$B$2:$B$60,"&lt;="&amp;$A313,Equipes!$C$2:$C$60,"&gt;="&amp;$A313)</f>
        <v>0</v>
      </c>
      <c r="I313" s="3" t="n">
        <f aca="false">IF(H313&gt;0,ROUNDUP(H313/Parametres!$B$7,0)+1,0)</f>
        <v>0</v>
      </c>
      <c r="J313" s="3" t="n">
        <f aca="false">SUMIFS(Equipes!$D$2:$D$60,Equipes!$A$2:$A$60,"LOT-05",Equipes!$B$2:$B$60,"&lt;="&amp;$A313,Equipes!$C$2:$C$60,"&gt;="&amp;$A313)</f>
        <v>0</v>
      </c>
      <c r="K313" s="3" t="n">
        <f aca="false">IF(J313&gt;0,ROUNDUP(J313/Parametres!$B$7,0)+1,0)</f>
        <v>0</v>
      </c>
      <c r="L313" s="3" t="n">
        <f aca="false">SUMIFS(Equipes!$D$2:$D$60,Equipes!$A$2:$A$60,"LOT-06",Equipes!$B$2:$B$60,"&lt;="&amp;$A313,Equipes!$C$2:$C$60,"&gt;="&amp;$A313)</f>
        <v>22</v>
      </c>
      <c r="M313" s="3" t="n">
        <f aca="false">IF(L313&gt;0,ROUNDUP(L313/Parametres!$B$7,0)+1,0)</f>
        <v>3</v>
      </c>
      <c r="N313" s="3" t="n">
        <f aca="false">SUMIFS(Equipes!$D$2:$D$60,Equipes!$A$2:$A$60,"LOT-07",Equipes!$B$2:$B$60,"&lt;="&amp;$A313,Equipes!$C$2:$C$60,"&gt;="&amp;$A313)</f>
        <v>20</v>
      </c>
      <c r="O313" s="3" t="n">
        <f aca="false">IF(N313&gt;0,ROUNDUP(N313/Parametres!$B$7,0)+1,0)</f>
        <v>3</v>
      </c>
      <c r="P313" s="3" t="n">
        <f aca="false">SUMIFS(Equipes!$D$2:$D$60,Equipes!$A$2:$A$60,"LOT-08",Equipes!$B$2:$B$60,"&lt;="&amp;$A313,Equipes!$C$2:$C$60,"&gt;="&amp;$A313)</f>
        <v>0</v>
      </c>
      <c r="Q313" s="3" t="n">
        <f aca="false">IF(P313&gt;0,ROUNDUP(P313/Parametres!$B$7,0)+1,0)</f>
        <v>0</v>
      </c>
    </row>
    <row r="314" customFormat="false" ht="15" hidden="false" customHeight="false" outlineLevel="0" collapsed="false">
      <c r="A314" s="2" t="n">
        <v>46395</v>
      </c>
      <c r="B314" s="3" t="n">
        <f aca="false">SUMIFS(Equipes!$D$2:$D$60,Equipes!$A$2:$A$60,"LOT-01",Equipes!$B$2:$B$60,"&lt;="&amp;$A314,Equipes!$C$2:$C$60,"&gt;="&amp;$A314)</f>
        <v>0</v>
      </c>
      <c r="C314" s="3" t="n">
        <f aca="false">IF(B314&gt;0,ROUNDUP(B314/Parametres!$B$7,0)+1,0)</f>
        <v>0</v>
      </c>
      <c r="D314" s="3" t="n">
        <f aca="false">SUMIFS(Equipes!$D$2:$D$60,Equipes!$A$2:$A$60,"LOT-02",Equipes!$B$2:$B$60,"&lt;="&amp;$A314,Equipes!$C$2:$C$60,"&gt;="&amp;$A314)</f>
        <v>0</v>
      </c>
      <c r="E314" s="3" t="n">
        <f aca="false">IF(D314&gt;0,ROUNDUP(D314/Parametres!$B$7,0)+1,0)</f>
        <v>0</v>
      </c>
      <c r="F314" s="3" t="n">
        <f aca="false">SUMIFS(Equipes!$D$2:$D$60,Equipes!$A$2:$A$60,"LOT-03",Equipes!$B$2:$B$60,"&lt;="&amp;$A314,Equipes!$C$2:$C$60,"&gt;="&amp;$A314)</f>
        <v>0</v>
      </c>
      <c r="G314" s="3" t="n">
        <f aca="false">IF(F314&gt;0,ROUNDUP(F314/Parametres!$B$7,0)+1,0)</f>
        <v>0</v>
      </c>
      <c r="H314" s="3" t="n">
        <f aca="false">SUMIFS(Equipes!$D$2:$D$60,Equipes!$A$2:$A$60,"LOT-04",Equipes!$B$2:$B$60,"&lt;="&amp;$A314,Equipes!$C$2:$C$60,"&gt;="&amp;$A314)</f>
        <v>0</v>
      </c>
      <c r="I314" s="3" t="n">
        <f aca="false">IF(H314&gt;0,ROUNDUP(H314/Parametres!$B$7,0)+1,0)</f>
        <v>0</v>
      </c>
      <c r="J314" s="3" t="n">
        <f aca="false">SUMIFS(Equipes!$D$2:$D$60,Equipes!$A$2:$A$60,"LOT-05",Equipes!$B$2:$B$60,"&lt;="&amp;$A314,Equipes!$C$2:$C$60,"&gt;="&amp;$A314)</f>
        <v>0</v>
      </c>
      <c r="K314" s="3" t="n">
        <f aca="false">IF(J314&gt;0,ROUNDUP(J314/Parametres!$B$7,0)+1,0)</f>
        <v>0</v>
      </c>
      <c r="L314" s="3" t="n">
        <f aca="false">SUMIFS(Equipes!$D$2:$D$60,Equipes!$A$2:$A$60,"LOT-06",Equipes!$B$2:$B$60,"&lt;="&amp;$A314,Equipes!$C$2:$C$60,"&gt;="&amp;$A314)</f>
        <v>20</v>
      </c>
      <c r="M314" s="3" t="n">
        <f aca="false">IF(L314&gt;0,ROUNDUP(L314/Parametres!$B$7,0)+1,0)</f>
        <v>3</v>
      </c>
      <c r="N314" s="3" t="n">
        <f aca="false">SUMIFS(Equipes!$D$2:$D$60,Equipes!$A$2:$A$60,"LOT-07",Equipes!$B$2:$B$60,"&lt;="&amp;$A314,Equipes!$C$2:$C$60,"&gt;="&amp;$A314)</f>
        <v>10</v>
      </c>
      <c r="O314" s="3" t="n">
        <f aca="false">IF(N314&gt;0,ROUNDUP(N314/Parametres!$B$7,0)+1,0)</f>
        <v>2</v>
      </c>
      <c r="P314" s="3" t="n">
        <f aca="false">SUMIFS(Equipes!$D$2:$D$60,Equipes!$A$2:$A$60,"LOT-08",Equipes!$B$2:$B$60,"&lt;="&amp;$A314,Equipes!$C$2:$C$60,"&gt;="&amp;$A314)</f>
        <v>0</v>
      </c>
      <c r="Q314" s="3" t="n">
        <f aca="false">IF(P314&gt;0,ROUNDUP(P314/Parametres!$B$7,0)+1,0)</f>
        <v>0</v>
      </c>
    </row>
    <row r="315" customFormat="false" ht="15" hidden="false" customHeight="false" outlineLevel="0" collapsed="false">
      <c r="A315" s="2" t="n">
        <v>46396</v>
      </c>
      <c r="B315" s="3" t="n">
        <f aca="false">SUMIFS(Equipes!$D$2:$D$60,Equipes!$A$2:$A$60,"LOT-01",Equipes!$B$2:$B$60,"&lt;="&amp;$A315,Equipes!$C$2:$C$60,"&gt;="&amp;$A315)</f>
        <v>0</v>
      </c>
      <c r="C315" s="3" t="n">
        <f aca="false">IF(B315&gt;0,ROUNDUP(B315/Parametres!$B$7,0)+1,0)</f>
        <v>0</v>
      </c>
      <c r="D315" s="3" t="n">
        <f aca="false">SUMIFS(Equipes!$D$2:$D$60,Equipes!$A$2:$A$60,"LOT-02",Equipes!$B$2:$B$60,"&lt;="&amp;$A315,Equipes!$C$2:$C$60,"&gt;="&amp;$A315)</f>
        <v>0</v>
      </c>
      <c r="E315" s="3" t="n">
        <f aca="false">IF(D315&gt;0,ROUNDUP(D315/Parametres!$B$7,0)+1,0)</f>
        <v>0</v>
      </c>
      <c r="F315" s="3" t="n">
        <f aca="false">SUMIFS(Equipes!$D$2:$D$60,Equipes!$A$2:$A$60,"LOT-03",Equipes!$B$2:$B$60,"&lt;="&amp;$A315,Equipes!$C$2:$C$60,"&gt;="&amp;$A315)</f>
        <v>0</v>
      </c>
      <c r="G315" s="3" t="n">
        <f aca="false">IF(F315&gt;0,ROUNDUP(F315/Parametres!$B$7,0)+1,0)</f>
        <v>0</v>
      </c>
      <c r="H315" s="3" t="n">
        <f aca="false">SUMIFS(Equipes!$D$2:$D$60,Equipes!$A$2:$A$60,"LOT-04",Equipes!$B$2:$B$60,"&lt;="&amp;$A315,Equipes!$C$2:$C$60,"&gt;="&amp;$A315)</f>
        <v>0</v>
      </c>
      <c r="I315" s="3" t="n">
        <f aca="false">IF(H315&gt;0,ROUNDUP(H315/Parametres!$B$7,0)+1,0)</f>
        <v>0</v>
      </c>
      <c r="J315" s="3" t="n">
        <f aca="false">SUMIFS(Equipes!$D$2:$D$60,Equipes!$A$2:$A$60,"LOT-05",Equipes!$B$2:$B$60,"&lt;="&amp;$A315,Equipes!$C$2:$C$60,"&gt;="&amp;$A315)</f>
        <v>0</v>
      </c>
      <c r="K315" s="3" t="n">
        <f aca="false">IF(J315&gt;0,ROUNDUP(J315/Parametres!$B$7,0)+1,0)</f>
        <v>0</v>
      </c>
      <c r="L315" s="3" t="n">
        <f aca="false">SUMIFS(Equipes!$D$2:$D$60,Equipes!$A$2:$A$60,"LOT-06",Equipes!$B$2:$B$60,"&lt;="&amp;$A315,Equipes!$C$2:$C$60,"&gt;="&amp;$A315)</f>
        <v>20</v>
      </c>
      <c r="M315" s="3" t="n">
        <f aca="false">IF(L315&gt;0,ROUNDUP(L315/Parametres!$B$7,0)+1,0)</f>
        <v>3</v>
      </c>
      <c r="N315" s="3" t="n">
        <f aca="false">SUMIFS(Equipes!$D$2:$D$60,Equipes!$A$2:$A$60,"LOT-07",Equipes!$B$2:$B$60,"&lt;="&amp;$A315,Equipes!$C$2:$C$60,"&gt;="&amp;$A315)</f>
        <v>10</v>
      </c>
      <c r="O315" s="3" t="n">
        <f aca="false">IF(N315&gt;0,ROUNDUP(N315/Parametres!$B$7,0)+1,0)</f>
        <v>2</v>
      </c>
      <c r="P315" s="3" t="n">
        <f aca="false">SUMIFS(Equipes!$D$2:$D$60,Equipes!$A$2:$A$60,"LOT-08",Equipes!$B$2:$B$60,"&lt;="&amp;$A315,Equipes!$C$2:$C$60,"&gt;="&amp;$A315)</f>
        <v>0</v>
      </c>
      <c r="Q315" s="3" t="n">
        <f aca="false">IF(P315&gt;0,ROUNDUP(P315/Parametres!$B$7,0)+1,0)</f>
        <v>0</v>
      </c>
    </row>
    <row r="316" customFormat="false" ht="15" hidden="false" customHeight="false" outlineLevel="0" collapsed="false">
      <c r="A316" s="2" t="n">
        <v>46397</v>
      </c>
      <c r="B316" s="3" t="n">
        <f aca="false">SUMIFS(Equipes!$D$2:$D$60,Equipes!$A$2:$A$60,"LOT-01",Equipes!$B$2:$B$60,"&lt;="&amp;$A316,Equipes!$C$2:$C$60,"&gt;="&amp;$A316)</f>
        <v>0</v>
      </c>
      <c r="C316" s="3" t="n">
        <f aca="false">IF(B316&gt;0,ROUNDUP(B316/Parametres!$B$7,0)+1,0)</f>
        <v>0</v>
      </c>
      <c r="D316" s="3" t="n">
        <f aca="false">SUMIFS(Equipes!$D$2:$D$60,Equipes!$A$2:$A$60,"LOT-02",Equipes!$B$2:$B$60,"&lt;="&amp;$A316,Equipes!$C$2:$C$60,"&gt;="&amp;$A316)</f>
        <v>0</v>
      </c>
      <c r="E316" s="3" t="n">
        <f aca="false">IF(D316&gt;0,ROUNDUP(D316/Parametres!$B$7,0)+1,0)</f>
        <v>0</v>
      </c>
      <c r="F316" s="3" t="n">
        <f aca="false">SUMIFS(Equipes!$D$2:$D$60,Equipes!$A$2:$A$60,"LOT-03",Equipes!$B$2:$B$60,"&lt;="&amp;$A316,Equipes!$C$2:$C$60,"&gt;="&amp;$A316)</f>
        <v>0</v>
      </c>
      <c r="G316" s="3" t="n">
        <f aca="false">IF(F316&gt;0,ROUNDUP(F316/Parametres!$B$7,0)+1,0)</f>
        <v>0</v>
      </c>
      <c r="H316" s="3" t="n">
        <f aca="false">SUMIFS(Equipes!$D$2:$D$60,Equipes!$A$2:$A$60,"LOT-04",Equipes!$B$2:$B$60,"&lt;="&amp;$A316,Equipes!$C$2:$C$60,"&gt;="&amp;$A316)</f>
        <v>0</v>
      </c>
      <c r="I316" s="3" t="n">
        <f aca="false">IF(H316&gt;0,ROUNDUP(H316/Parametres!$B$7,0)+1,0)</f>
        <v>0</v>
      </c>
      <c r="J316" s="3" t="n">
        <f aca="false">SUMIFS(Equipes!$D$2:$D$60,Equipes!$A$2:$A$60,"LOT-05",Equipes!$B$2:$B$60,"&lt;="&amp;$A316,Equipes!$C$2:$C$60,"&gt;="&amp;$A316)</f>
        <v>0</v>
      </c>
      <c r="K316" s="3" t="n">
        <f aca="false">IF(J316&gt;0,ROUNDUP(J316/Parametres!$B$7,0)+1,0)</f>
        <v>0</v>
      </c>
      <c r="L316" s="3" t="n">
        <f aca="false">SUMIFS(Equipes!$D$2:$D$60,Equipes!$A$2:$A$60,"LOT-06",Equipes!$B$2:$B$60,"&lt;="&amp;$A316,Equipes!$C$2:$C$60,"&gt;="&amp;$A316)</f>
        <v>20</v>
      </c>
      <c r="M316" s="3" t="n">
        <f aca="false">IF(L316&gt;0,ROUNDUP(L316/Parametres!$B$7,0)+1,0)</f>
        <v>3</v>
      </c>
      <c r="N316" s="3" t="n">
        <f aca="false">SUMIFS(Equipes!$D$2:$D$60,Equipes!$A$2:$A$60,"LOT-07",Equipes!$B$2:$B$60,"&lt;="&amp;$A316,Equipes!$C$2:$C$60,"&gt;="&amp;$A316)</f>
        <v>10</v>
      </c>
      <c r="O316" s="3" t="n">
        <f aca="false">IF(N316&gt;0,ROUNDUP(N316/Parametres!$B$7,0)+1,0)</f>
        <v>2</v>
      </c>
      <c r="P316" s="3" t="n">
        <f aca="false">SUMIFS(Equipes!$D$2:$D$60,Equipes!$A$2:$A$60,"LOT-08",Equipes!$B$2:$B$60,"&lt;="&amp;$A316,Equipes!$C$2:$C$60,"&gt;="&amp;$A316)</f>
        <v>0</v>
      </c>
      <c r="Q316" s="3" t="n">
        <f aca="false">IF(P316&gt;0,ROUNDUP(P316/Parametres!$B$7,0)+1,0)</f>
        <v>0</v>
      </c>
    </row>
    <row r="317" customFormat="false" ht="15" hidden="false" customHeight="false" outlineLevel="0" collapsed="false">
      <c r="A317" s="2" t="n">
        <v>46398</v>
      </c>
      <c r="B317" s="3" t="n">
        <f aca="false">SUMIFS(Equipes!$D$2:$D$60,Equipes!$A$2:$A$60,"LOT-01",Equipes!$B$2:$B$60,"&lt;="&amp;$A317,Equipes!$C$2:$C$60,"&gt;="&amp;$A317)</f>
        <v>0</v>
      </c>
      <c r="C317" s="3" t="n">
        <f aca="false">IF(B317&gt;0,ROUNDUP(B317/Parametres!$B$7,0)+1,0)</f>
        <v>0</v>
      </c>
      <c r="D317" s="3" t="n">
        <f aca="false">SUMIFS(Equipes!$D$2:$D$60,Equipes!$A$2:$A$60,"LOT-02",Equipes!$B$2:$B$60,"&lt;="&amp;$A317,Equipes!$C$2:$C$60,"&gt;="&amp;$A317)</f>
        <v>0</v>
      </c>
      <c r="E317" s="3" t="n">
        <f aca="false">IF(D317&gt;0,ROUNDUP(D317/Parametres!$B$7,0)+1,0)</f>
        <v>0</v>
      </c>
      <c r="F317" s="3" t="n">
        <f aca="false">SUMIFS(Equipes!$D$2:$D$60,Equipes!$A$2:$A$60,"LOT-03",Equipes!$B$2:$B$60,"&lt;="&amp;$A317,Equipes!$C$2:$C$60,"&gt;="&amp;$A317)</f>
        <v>0</v>
      </c>
      <c r="G317" s="3" t="n">
        <f aca="false">IF(F317&gt;0,ROUNDUP(F317/Parametres!$B$7,0)+1,0)</f>
        <v>0</v>
      </c>
      <c r="H317" s="3" t="n">
        <f aca="false">SUMIFS(Equipes!$D$2:$D$60,Equipes!$A$2:$A$60,"LOT-04",Equipes!$B$2:$B$60,"&lt;="&amp;$A317,Equipes!$C$2:$C$60,"&gt;="&amp;$A317)</f>
        <v>0</v>
      </c>
      <c r="I317" s="3" t="n">
        <f aca="false">IF(H317&gt;0,ROUNDUP(H317/Parametres!$B$7,0)+1,0)</f>
        <v>0</v>
      </c>
      <c r="J317" s="3" t="n">
        <f aca="false">SUMIFS(Equipes!$D$2:$D$60,Equipes!$A$2:$A$60,"LOT-05",Equipes!$B$2:$B$60,"&lt;="&amp;$A317,Equipes!$C$2:$C$60,"&gt;="&amp;$A317)</f>
        <v>0</v>
      </c>
      <c r="K317" s="3" t="n">
        <f aca="false">IF(J317&gt;0,ROUNDUP(J317/Parametres!$B$7,0)+1,0)</f>
        <v>0</v>
      </c>
      <c r="L317" s="3" t="n">
        <f aca="false">SUMIFS(Equipes!$D$2:$D$60,Equipes!$A$2:$A$60,"LOT-06",Equipes!$B$2:$B$60,"&lt;="&amp;$A317,Equipes!$C$2:$C$60,"&gt;="&amp;$A317)</f>
        <v>20</v>
      </c>
      <c r="M317" s="3" t="n">
        <f aca="false">IF(L317&gt;0,ROUNDUP(L317/Parametres!$B$7,0)+1,0)</f>
        <v>3</v>
      </c>
      <c r="N317" s="3" t="n">
        <f aca="false">SUMIFS(Equipes!$D$2:$D$60,Equipes!$A$2:$A$60,"LOT-07",Equipes!$B$2:$B$60,"&lt;="&amp;$A317,Equipes!$C$2:$C$60,"&gt;="&amp;$A317)</f>
        <v>10</v>
      </c>
      <c r="O317" s="3" t="n">
        <f aca="false">IF(N317&gt;0,ROUNDUP(N317/Parametres!$B$7,0)+1,0)</f>
        <v>2</v>
      </c>
      <c r="P317" s="3" t="n">
        <f aca="false">SUMIFS(Equipes!$D$2:$D$60,Equipes!$A$2:$A$60,"LOT-08",Equipes!$B$2:$B$60,"&lt;="&amp;$A317,Equipes!$C$2:$C$60,"&gt;="&amp;$A317)</f>
        <v>0</v>
      </c>
      <c r="Q317" s="3" t="n">
        <f aca="false">IF(P317&gt;0,ROUNDUP(P317/Parametres!$B$7,0)+1,0)</f>
        <v>0</v>
      </c>
    </row>
    <row r="318" customFormat="false" ht="15" hidden="false" customHeight="false" outlineLevel="0" collapsed="false">
      <c r="A318" s="2" t="n">
        <v>46399</v>
      </c>
      <c r="B318" s="3" t="n">
        <f aca="false">SUMIFS(Equipes!$D$2:$D$60,Equipes!$A$2:$A$60,"LOT-01",Equipes!$B$2:$B$60,"&lt;="&amp;$A318,Equipes!$C$2:$C$60,"&gt;="&amp;$A318)</f>
        <v>0</v>
      </c>
      <c r="C318" s="3" t="n">
        <f aca="false">IF(B318&gt;0,ROUNDUP(B318/Parametres!$B$7,0)+1,0)</f>
        <v>0</v>
      </c>
      <c r="D318" s="3" t="n">
        <f aca="false">SUMIFS(Equipes!$D$2:$D$60,Equipes!$A$2:$A$60,"LOT-02",Equipes!$B$2:$B$60,"&lt;="&amp;$A318,Equipes!$C$2:$C$60,"&gt;="&amp;$A318)</f>
        <v>0</v>
      </c>
      <c r="E318" s="3" t="n">
        <f aca="false">IF(D318&gt;0,ROUNDUP(D318/Parametres!$B$7,0)+1,0)</f>
        <v>0</v>
      </c>
      <c r="F318" s="3" t="n">
        <f aca="false">SUMIFS(Equipes!$D$2:$D$60,Equipes!$A$2:$A$60,"LOT-03",Equipes!$B$2:$B$60,"&lt;="&amp;$A318,Equipes!$C$2:$C$60,"&gt;="&amp;$A318)</f>
        <v>0</v>
      </c>
      <c r="G318" s="3" t="n">
        <f aca="false">IF(F318&gt;0,ROUNDUP(F318/Parametres!$B$7,0)+1,0)</f>
        <v>0</v>
      </c>
      <c r="H318" s="3" t="n">
        <f aca="false">SUMIFS(Equipes!$D$2:$D$60,Equipes!$A$2:$A$60,"LOT-04",Equipes!$B$2:$B$60,"&lt;="&amp;$A318,Equipes!$C$2:$C$60,"&gt;="&amp;$A318)</f>
        <v>0</v>
      </c>
      <c r="I318" s="3" t="n">
        <f aca="false">IF(H318&gt;0,ROUNDUP(H318/Parametres!$B$7,0)+1,0)</f>
        <v>0</v>
      </c>
      <c r="J318" s="3" t="n">
        <f aca="false">SUMIFS(Equipes!$D$2:$D$60,Equipes!$A$2:$A$60,"LOT-05",Equipes!$B$2:$B$60,"&lt;="&amp;$A318,Equipes!$C$2:$C$60,"&gt;="&amp;$A318)</f>
        <v>0</v>
      </c>
      <c r="K318" s="3" t="n">
        <f aca="false">IF(J318&gt;0,ROUNDUP(J318/Parametres!$B$7,0)+1,0)</f>
        <v>0</v>
      </c>
      <c r="L318" s="3" t="n">
        <f aca="false">SUMIFS(Equipes!$D$2:$D$60,Equipes!$A$2:$A$60,"LOT-06",Equipes!$B$2:$B$60,"&lt;="&amp;$A318,Equipes!$C$2:$C$60,"&gt;="&amp;$A318)</f>
        <v>20</v>
      </c>
      <c r="M318" s="3" t="n">
        <f aca="false">IF(L318&gt;0,ROUNDUP(L318/Parametres!$B$7,0)+1,0)</f>
        <v>3</v>
      </c>
      <c r="N318" s="3" t="n">
        <f aca="false">SUMIFS(Equipes!$D$2:$D$60,Equipes!$A$2:$A$60,"LOT-07",Equipes!$B$2:$B$60,"&lt;="&amp;$A318,Equipes!$C$2:$C$60,"&gt;="&amp;$A318)</f>
        <v>10</v>
      </c>
      <c r="O318" s="3" t="n">
        <f aca="false">IF(N318&gt;0,ROUNDUP(N318/Parametres!$B$7,0)+1,0)</f>
        <v>2</v>
      </c>
      <c r="P318" s="3" t="n">
        <f aca="false">SUMIFS(Equipes!$D$2:$D$60,Equipes!$A$2:$A$60,"LOT-08",Equipes!$B$2:$B$60,"&lt;="&amp;$A318,Equipes!$C$2:$C$60,"&gt;="&amp;$A318)</f>
        <v>0</v>
      </c>
      <c r="Q318" s="3" t="n">
        <f aca="false">IF(P318&gt;0,ROUNDUP(P318/Parametres!$B$7,0)+1,0)</f>
        <v>0</v>
      </c>
    </row>
    <row r="319" customFormat="false" ht="15" hidden="false" customHeight="false" outlineLevel="0" collapsed="false">
      <c r="A319" s="2" t="n">
        <v>46400</v>
      </c>
      <c r="B319" s="3" t="n">
        <f aca="false">SUMIFS(Equipes!$D$2:$D$60,Equipes!$A$2:$A$60,"LOT-01",Equipes!$B$2:$B$60,"&lt;="&amp;$A319,Equipes!$C$2:$C$60,"&gt;="&amp;$A319)</f>
        <v>0</v>
      </c>
      <c r="C319" s="3" t="n">
        <f aca="false">IF(B319&gt;0,ROUNDUP(B319/Parametres!$B$7,0)+1,0)</f>
        <v>0</v>
      </c>
      <c r="D319" s="3" t="n">
        <f aca="false">SUMIFS(Equipes!$D$2:$D$60,Equipes!$A$2:$A$60,"LOT-02",Equipes!$B$2:$B$60,"&lt;="&amp;$A319,Equipes!$C$2:$C$60,"&gt;="&amp;$A319)</f>
        <v>0</v>
      </c>
      <c r="E319" s="3" t="n">
        <f aca="false">IF(D319&gt;0,ROUNDUP(D319/Parametres!$B$7,0)+1,0)</f>
        <v>0</v>
      </c>
      <c r="F319" s="3" t="n">
        <f aca="false">SUMIFS(Equipes!$D$2:$D$60,Equipes!$A$2:$A$60,"LOT-03",Equipes!$B$2:$B$60,"&lt;="&amp;$A319,Equipes!$C$2:$C$60,"&gt;="&amp;$A319)</f>
        <v>0</v>
      </c>
      <c r="G319" s="3" t="n">
        <f aca="false">IF(F319&gt;0,ROUNDUP(F319/Parametres!$B$7,0)+1,0)</f>
        <v>0</v>
      </c>
      <c r="H319" s="3" t="n">
        <f aca="false">SUMIFS(Equipes!$D$2:$D$60,Equipes!$A$2:$A$60,"LOT-04",Equipes!$B$2:$B$60,"&lt;="&amp;$A319,Equipes!$C$2:$C$60,"&gt;="&amp;$A319)</f>
        <v>0</v>
      </c>
      <c r="I319" s="3" t="n">
        <f aca="false">IF(H319&gt;0,ROUNDUP(H319/Parametres!$B$7,0)+1,0)</f>
        <v>0</v>
      </c>
      <c r="J319" s="3" t="n">
        <f aca="false">SUMIFS(Equipes!$D$2:$D$60,Equipes!$A$2:$A$60,"LOT-05",Equipes!$B$2:$B$60,"&lt;="&amp;$A319,Equipes!$C$2:$C$60,"&gt;="&amp;$A319)</f>
        <v>0</v>
      </c>
      <c r="K319" s="3" t="n">
        <f aca="false">IF(J319&gt;0,ROUNDUP(J319/Parametres!$B$7,0)+1,0)</f>
        <v>0</v>
      </c>
      <c r="L319" s="3" t="n">
        <f aca="false">SUMIFS(Equipes!$D$2:$D$60,Equipes!$A$2:$A$60,"LOT-06",Equipes!$B$2:$B$60,"&lt;="&amp;$A319,Equipes!$C$2:$C$60,"&gt;="&amp;$A319)</f>
        <v>20</v>
      </c>
      <c r="M319" s="3" t="n">
        <f aca="false">IF(L319&gt;0,ROUNDUP(L319/Parametres!$B$7,0)+1,0)</f>
        <v>3</v>
      </c>
      <c r="N319" s="3" t="n">
        <f aca="false">SUMIFS(Equipes!$D$2:$D$60,Equipes!$A$2:$A$60,"LOT-07",Equipes!$B$2:$B$60,"&lt;="&amp;$A319,Equipes!$C$2:$C$60,"&gt;="&amp;$A319)</f>
        <v>10</v>
      </c>
      <c r="O319" s="3" t="n">
        <f aca="false">IF(N319&gt;0,ROUNDUP(N319/Parametres!$B$7,0)+1,0)</f>
        <v>2</v>
      </c>
      <c r="P319" s="3" t="n">
        <f aca="false">SUMIFS(Equipes!$D$2:$D$60,Equipes!$A$2:$A$60,"LOT-08",Equipes!$B$2:$B$60,"&lt;="&amp;$A319,Equipes!$C$2:$C$60,"&gt;="&amp;$A319)</f>
        <v>0</v>
      </c>
      <c r="Q319" s="3" t="n">
        <f aca="false">IF(P319&gt;0,ROUNDUP(P319/Parametres!$B$7,0)+1,0)</f>
        <v>0</v>
      </c>
    </row>
    <row r="320" customFormat="false" ht="15" hidden="false" customHeight="false" outlineLevel="0" collapsed="false">
      <c r="A320" s="2" t="n">
        <v>46401</v>
      </c>
      <c r="B320" s="3" t="n">
        <f aca="false">SUMIFS(Equipes!$D$2:$D$60,Equipes!$A$2:$A$60,"LOT-01",Equipes!$B$2:$B$60,"&lt;="&amp;$A320,Equipes!$C$2:$C$60,"&gt;="&amp;$A320)</f>
        <v>0</v>
      </c>
      <c r="C320" s="3" t="n">
        <f aca="false">IF(B320&gt;0,ROUNDUP(B320/Parametres!$B$7,0)+1,0)</f>
        <v>0</v>
      </c>
      <c r="D320" s="3" t="n">
        <f aca="false">SUMIFS(Equipes!$D$2:$D$60,Equipes!$A$2:$A$60,"LOT-02",Equipes!$B$2:$B$60,"&lt;="&amp;$A320,Equipes!$C$2:$C$60,"&gt;="&amp;$A320)</f>
        <v>0</v>
      </c>
      <c r="E320" s="3" t="n">
        <f aca="false">IF(D320&gt;0,ROUNDUP(D320/Parametres!$B$7,0)+1,0)</f>
        <v>0</v>
      </c>
      <c r="F320" s="3" t="n">
        <f aca="false">SUMIFS(Equipes!$D$2:$D$60,Equipes!$A$2:$A$60,"LOT-03",Equipes!$B$2:$B$60,"&lt;="&amp;$A320,Equipes!$C$2:$C$60,"&gt;="&amp;$A320)</f>
        <v>0</v>
      </c>
      <c r="G320" s="3" t="n">
        <f aca="false">IF(F320&gt;0,ROUNDUP(F320/Parametres!$B$7,0)+1,0)</f>
        <v>0</v>
      </c>
      <c r="H320" s="3" t="n">
        <f aca="false">SUMIFS(Equipes!$D$2:$D$60,Equipes!$A$2:$A$60,"LOT-04",Equipes!$B$2:$B$60,"&lt;="&amp;$A320,Equipes!$C$2:$C$60,"&gt;="&amp;$A320)</f>
        <v>0</v>
      </c>
      <c r="I320" s="3" t="n">
        <f aca="false">IF(H320&gt;0,ROUNDUP(H320/Parametres!$B$7,0)+1,0)</f>
        <v>0</v>
      </c>
      <c r="J320" s="3" t="n">
        <f aca="false">SUMIFS(Equipes!$D$2:$D$60,Equipes!$A$2:$A$60,"LOT-05",Equipes!$B$2:$B$60,"&lt;="&amp;$A320,Equipes!$C$2:$C$60,"&gt;="&amp;$A320)</f>
        <v>0</v>
      </c>
      <c r="K320" s="3" t="n">
        <f aca="false">IF(J320&gt;0,ROUNDUP(J320/Parametres!$B$7,0)+1,0)</f>
        <v>0</v>
      </c>
      <c r="L320" s="3" t="n">
        <f aca="false">SUMIFS(Equipes!$D$2:$D$60,Equipes!$A$2:$A$60,"LOT-06",Equipes!$B$2:$B$60,"&lt;="&amp;$A320,Equipes!$C$2:$C$60,"&gt;="&amp;$A320)</f>
        <v>10</v>
      </c>
      <c r="M320" s="3" t="n">
        <f aca="false">IF(L320&gt;0,ROUNDUP(L320/Parametres!$B$7,0)+1,0)</f>
        <v>2</v>
      </c>
      <c r="N320" s="3" t="n">
        <f aca="false">SUMIFS(Equipes!$D$2:$D$60,Equipes!$A$2:$A$60,"LOT-07",Equipes!$B$2:$B$60,"&lt;="&amp;$A320,Equipes!$C$2:$C$60,"&gt;="&amp;$A320)</f>
        <v>10</v>
      </c>
      <c r="O320" s="3" t="n">
        <f aca="false">IF(N320&gt;0,ROUNDUP(N320/Parametres!$B$7,0)+1,0)</f>
        <v>2</v>
      </c>
      <c r="P320" s="3" t="n">
        <f aca="false">SUMIFS(Equipes!$D$2:$D$60,Equipes!$A$2:$A$60,"LOT-08",Equipes!$B$2:$B$60,"&lt;="&amp;$A320,Equipes!$C$2:$C$60,"&gt;="&amp;$A320)</f>
        <v>10</v>
      </c>
      <c r="Q320" s="3" t="n">
        <f aca="false">IF(P320&gt;0,ROUNDUP(P320/Parametres!$B$7,0)+1,0)</f>
        <v>2</v>
      </c>
    </row>
    <row r="321" customFormat="false" ht="15" hidden="false" customHeight="false" outlineLevel="0" collapsed="false">
      <c r="A321" s="2" t="n">
        <v>46402</v>
      </c>
      <c r="B321" s="3" t="n">
        <f aca="false">SUMIFS(Equipes!$D$2:$D$60,Equipes!$A$2:$A$60,"LOT-01",Equipes!$B$2:$B$60,"&lt;="&amp;$A321,Equipes!$C$2:$C$60,"&gt;="&amp;$A321)</f>
        <v>0</v>
      </c>
      <c r="C321" s="3" t="n">
        <f aca="false">IF(B321&gt;0,ROUNDUP(B321/Parametres!$B$7,0)+1,0)</f>
        <v>0</v>
      </c>
      <c r="D321" s="3" t="n">
        <f aca="false">SUMIFS(Equipes!$D$2:$D$60,Equipes!$A$2:$A$60,"LOT-02",Equipes!$B$2:$B$60,"&lt;="&amp;$A321,Equipes!$C$2:$C$60,"&gt;="&amp;$A321)</f>
        <v>0</v>
      </c>
      <c r="E321" s="3" t="n">
        <f aca="false">IF(D321&gt;0,ROUNDUP(D321/Parametres!$B$7,0)+1,0)</f>
        <v>0</v>
      </c>
      <c r="F321" s="3" t="n">
        <f aca="false">SUMIFS(Equipes!$D$2:$D$60,Equipes!$A$2:$A$60,"LOT-03",Equipes!$B$2:$B$60,"&lt;="&amp;$A321,Equipes!$C$2:$C$60,"&gt;="&amp;$A321)</f>
        <v>0</v>
      </c>
      <c r="G321" s="3" t="n">
        <f aca="false">IF(F321&gt;0,ROUNDUP(F321/Parametres!$B$7,0)+1,0)</f>
        <v>0</v>
      </c>
      <c r="H321" s="3" t="n">
        <f aca="false">SUMIFS(Equipes!$D$2:$D$60,Equipes!$A$2:$A$60,"LOT-04",Equipes!$B$2:$B$60,"&lt;="&amp;$A321,Equipes!$C$2:$C$60,"&gt;="&amp;$A321)</f>
        <v>0</v>
      </c>
      <c r="I321" s="3" t="n">
        <f aca="false">IF(H321&gt;0,ROUNDUP(H321/Parametres!$B$7,0)+1,0)</f>
        <v>0</v>
      </c>
      <c r="J321" s="3" t="n">
        <f aca="false">SUMIFS(Equipes!$D$2:$D$60,Equipes!$A$2:$A$60,"LOT-05",Equipes!$B$2:$B$60,"&lt;="&amp;$A321,Equipes!$C$2:$C$60,"&gt;="&amp;$A321)</f>
        <v>0</v>
      </c>
      <c r="K321" s="3" t="n">
        <f aca="false">IF(J321&gt;0,ROUNDUP(J321/Parametres!$B$7,0)+1,0)</f>
        <v>0</v>
      </c>
      <c r="L321" s="3" t="n">
        <f aca="false">SUMIFS(Equipes!$D$2:$D$60,Equipes!$A$2:$A$60,"LOT-06",Equipes!$B$2:$B$60,"&lt;="&amp;$A321,Equipes!$C$2:$C$60,"&gt;="&amp;$A321)</f>
        <v>10</v>
      </c>
      <c r="M321" s="3" t="n">
        <f aca="false">IF(L321&gt;0,ROUNDUP(L321/Parametres!$B$7,0)+1,0)</f>
        <v>2</v>
      </c>
      <c r="N321" s="3" t="n">
        <f aca="false">SUMIFS(Equipes!$D$2:$D$60,Equipes!$A$2:$A$60,"LOT-07",Equipes!$B$2:$B$60,"&lt;="&amp;$A321,Equipes!$C$2:$C$60,"&gt;="&amp;$A321)</f>
        <v>10</v>
      </c>
      <c r="O321" s="3" t="n">
        <f aca="false">IF(N321&gt;0,ROUNDUP(N321/Parametres!$B$7,0)+1,0)</f>
        <v>2</v>
      </c>
      <c r="P321" s="3" t="n">
        <f aca="false">SUMIFS(Equipes!$D$2:$D$60,Equipes!$A$2:$A$60,"LOT-08",Equipes!$B$2:$B$60,"&lt;="&amp;$A321,Equipes!$C$2:$C$60,"&gt;="&amp;$A321)</f>
        <v>10</v>
      </c>
      <c r="Q321" s="3" t="n">
        <f aca="false">IF(P321&gt;0,ROUNDUP(P321/Parametres!$B$7,0)+1,0)</f>
        <v>2</v>
      </c>
    </row>
    <row r="322" customFormat="false" ht="15" hidden="false" customHeight="false" outlineLevel="0" collapsed="false">
      <c r="A322" s="2" t="n">
        <v>46403</v>
      </c>
      <c r="B322" s="3" t="n">
        <f aca="false">SUMIFS(Equipes!$D$2:$D$60,Equipes!$A$2:$A$60,"LOT-01",Equipes!$B$2:$B$60,"&lt;="&amp;$A322,Equipes!$C$2:$C$60,"&gt;="&amp;$A322)</f>
        <v>0</v>
      </c>
      <c r="C322" s="3" t="n">
        <f aca="false">IF(B322&gt;0,ROUNDUP(B322/Parametres!$B$7,0)+1,0)</f>
        <v>0</v>
      </c>
      <c r="D322" s="3" t="n">
        <f aca="false">SUMIFS(Equipes!$D$2:$D$60,Equipes!$A$2:$A$60,"LOT-02",Equipes!$B$2:$B$60,"&lt;="&amp;$A322,Equipes!$C$2:$C$60,"&gt;="&amp;$A322)</f>
        <v>0</v>
      </c>
      <c r="E322" s="3" t="n">
        <f aca="false">IF(D322&gt;0,ROUNDUP(D322/Parametres!$B$7,0)+1,0)</f>
        <v>0</v>
      </c>
      <c r="F322" s="3" t="n">
        <f aca="false">SUMIFS(Equipes!$D$2:$D$60,Equipes!$A$2:$A$60,"LOT-03",Equipes!$B$2:$B$60,"&lt;="&amp;$A322,Equipes!$C$2:$C$60,"&gt;="&amp;$A322)</f>
        <v>0</v>
      </c>
      <c r="G322" s="3" t="n">
        <f aca="false">IF(F322&gt;0,ROUNDUP(F322/Parametres!$B$7,0)+1,0)</f>
        <v>0</v>
      </c>
      <c r="H322" s="3" t="n">
        <f aca="false">SUMIFS(Equipes!$D$2:$D$60,Equipes!$A$2:$A$60,"LOT-04",Equipes!$B$2:$B$60,"&lt;="&amp;$A322,Equipes!$C$2:$C$60,"&gt;="&amp;$A322)</f>
        <v>0</v>
      </c>
      <c r="I322" s="3" t="n">
        <f aca="false">IF(H322&gt;0,ROUNDUP(H322/Parametres!$B$7,0)+1,0)</f>
        <v>0</v>
      </c>
      <c r="J322" s="3" t="n">
        <f aca="false">SUMIFS(Equipes!$D$2:$D$60,Equipes!$A$2:$A$60,"LOT-05",Equipes!$B$2:$B$60,"&lt;="&amp;$A322,Equipes!$C$2:$C$60,"&gt;="&amp;$A322)</f>
        <v>0</v>
      </c>
      <c r="K322" s="3" t="n">
        <f aca="false">IF(J322&gt;0,ROUNDUP(J322/Parametres!$B$7,0)+1,0)</f>
        <v>0</v>
      </c>
      <c r="L322" s="3" t="n">
        <f aca="false">SUMIFS(Equipes!$D$2:$D$60,Equipes!$A$2:$A$60,"LOT-06",Equipes!$B$2:$B$60,"&lt;="&amp;$A322,Equipes!$C$2:$C$60,"&gt;="&amp;$A322)</f>
        <v>10</v>
      </c>
      <c r="M322" s="3" t="n">
        <f aca="false">IF(L322&gt;0,ROUNDUP(L322/Parametres!$B$7,0)+1,0)</f>
        <v>2</v>
      </c>
      <c r="N322" s="3" t="n">
        <f aca="false">SUMIFS(Equipes!$D$2:$D$60,Equipes!$A$2:$A$60,"LOT-07",Equipes!$B$2:$B$60,"&lt;="&amp;$A322,Equipes!$C$2:$C$60,"&gt;="&amp;$A322)</f>
        <v>10</v>
      </c>
      <c r="O322" s="3" t="n">
        <f aca="false">IF(N322&gt;0,ROUNDUP(N322/Parametres!$B$7,0)+1,0)</f>
        <v>2</v>
      </c>
      <c r="P322" s="3" t="n">
        <f aca="false">SUMIFS(Equipes!$D$2:$D$60,Equipes!$A$2:$A$60,"LOT-08",Equipes!$B$2:$B$60,"&lt;="&amp;$A322,Equipes!$C$2:$C$60,"&gt;="&amp;$A322)</f>
        <v>10</v>
      </c>
      <c r="Q322" s="3" t="n">
        <f aca="false">IF(P322&gt;0,ROUNDUP(P322/Parametres!$B$7,0)+1,0)</f>
        <v>2</v>
      </c>
    </row>
    <row r="323" customFormat="false" ht="15" hidden="false" customHeight="false" outlineLevel="0" collapsed="false">
      <c r="A323" s="2" t="n">
        <v>46404</v>
      </c>
      <c r="B323" s="3" t="n">
        <f aca="false">SUMIFS(Equipes!$D$2:$D$60,Equipes!$A$2:$A$60,"LOT-01",Equipes!$B$2:$B$60,"&lt;="&amp;$A323,Equipes!$C$2:$C$60,"&gt;="&amp;$A323)</f>
        <v>0</v>
      </c>
      <c r="C323" s="3" t="n">
        <f aca="false">IF(B323&gt;0,ROUNDUP(B323/Parametres!$B$7,0)+1,0)</f>
        <v>0</v>
      </c>
      <c r="D323" s="3" t="n">
        <f aca="false">SUMIFS(Equipes!$D$2:$D$60,Equipes!$A$2:$A$60,"LOT-02",Equipes!$B$2:$B$60,"&lt;="&amp;$A323,Equipes!$C$2:$C$60,"&gt;="&amp;$A323)</f>
        <v>0</v>
      </c>
      <c r="E323" s="3" t="n">
        <f aca="false">IF(D323&gt;0,ROUNDUP(D323/Parametres!$B$7,0)+1,0)</f>
        <v>0</v>
      </c>
      <c r="F323" s="3" t="n">
        <f aca="false">SUMIFS(Equipes!$D$2:$D$60,Equipes!$A$2:$A$60,"LOT-03",Equipes!$B$2:$B$60,"&lt;="&amp;$A323,Equipes!$C$2:$C$60,"&gt;="&amp;$A323)</f>
        <v>0</v>
      </c>
      <c r="G323" s="3" t="n">
        <f aca="false">IF(F323&gt;0,ROUNDUP(F323/Parametres!$B$7,0)+1,0)</f>
        <v>0</v>
      </c>
      <c r="H323" s="3" t="n">
        <f aca="false">SUMIFS(Equipes!$D$2:$D$60,Equipes!$A$2:$A$60,"LOT-04",Equipes!$B$2:$B$60,"&lt;="&amp;$A323,Equipes!$C$2:$C$60,"&gt;="&amp;$A323)</f>
        <v>0</v>
      </c>
      <c r="I323" s="3" t="n">
        <f aca="false">IF(H323&gt;0,ROUNDUP(H323/Parametres!$B$7,0)+1,0)</f>
        <v>0</v>
      </c>
      <c r="J323" s="3" t="n">
        <f aca="false">SUMIFS(Equipes!$D$2:$D$60,Equipes!$A$2:$A$60,"LOT-05",Equipes!$B$2:$B$60,"&lt;="&amp;$A323,Equipes!$C$2:$C$60,"&gt;="&amp;$A323)</f>
        <v>0</v>
      </c>
      <c r="K323" s="3" t="n">
        <f aca="false">IF(J323&gt;0,ROUNDUP(J323/Parametres!$B$7,0)+1,0)</f>
        <v>0</v>
      </c>
      <c r="L323" s="3" t="n">
        <f aca="false">SUMIFS(Equipes!$D$2:$D$60,Equipes!$A$2:$A$60,"LOT-06",Equipes!$B$2:$B$60,"&lt;="&amp;$A323,Equipes!$C$2:$C$60,"&gt;="&amp;$A323)</f>
        <v>10</v>
      </c>
      <c r="M323" s="3" t="n">
        <f aca="false">IF(L323&gt;0,ROUNDUP(L323/Parametres!$B$7,0)+1,0)</f>
        <v>2</v>
      </c>
      <c r="N323" s="3" t="n">
        <f aca="false">SUMIFS(Equipes!$D$2:$D$60,Equipes!$A$2:$A$60,"LOT-07",Equipes!$B$2:$B$60,"&lt;="&amp;$A323,Equipes!$C$2:$C$60,"&gt;="&amp;$A323)</f>
        <v>10</v>
      </c>
      <c r="O323" s="3" t="n">
        <f aca="false">IF(N323&gt;0,ROUNDUP(N323/Parametres!$B$7,0)+1,0)</f>
        <v>2</v>
      </c>
      <c r="P323" s="3" t="n">
        <f aca="false">SUMIFS(Equipes!$D$2:$D$60,Equipes!$A$2:$A$60,"LOT-08",Equipes!$B$2:$B$60,"&lt;="&amp;$A323,Equipes!$C$2:$C$60,"&gt;="&amp;$A323)</f>
        <v>10</v>
      </c>
      <c r="Q323" s="3" t="n">
        <f aca="false">IF(P323&gt;0,ROUNDUP(P323/Parametres!$B$7,0)+1,0)</f>
        <v>2</v>
      </c>
    </row>
    <row r="324" customFormat="false" ht="15" hidden="false" customHeight="false" outlineLevel="0" collapsed="false">
      <c r="A324" s="2" t="n">
        <v>46405</v>
      </c>
      <c r="B324" s="3" t="n">
        <f aca="false">SUMIFS(Equipes!$D$2:$D$60,Equipes!$A$2:$A$60,"LOT-01",Equipes!$B$2:$B$60,"&lt;="&amp;$A324,Equipes!$C$2:$C$60,"&gt;="&amp;$A324)</f>
        <v>0</v>
      </c>
      <c r="C324" s="3" t="n">
        <f aca="false">IF(B324&gt;0,ROUNDUP(B324/Parametres!$B$7,0)+1,0)</f>
        <v>0</v>
      </c>
      <c r="D324" s="3" t="n">
        <f aca="false">SUMIFS(Equipes!$D$2:$D$60,Equipes!$A$2:$A$60,"LOT-02",Equipes!$B$2:$B$60,"&lt;="&amp;$A324,Equipes!$C$2:$C$60,"&gt;="&amp;$A324)</f>
        <v>0</v>
      </c>
      <c r="E324" s="3" t="n">
        <f aca="false">IF(D324&gt;0,ROUNDUP(D324/Parametres!$B$7,0)+1,0)</f>
        <v>0</v>
      </c>
      <c r="F324" s="3" t="n">
        <f aca="false">SUMIFS(Equipes!$D$2:$D$60,Equipes!$A$2:$A$60,"LOT-03",Equipes!$B$2:$B$60,"&lt;="&amp;$A324,Equipes!$C$2:$C$60,"&gt;="&amp;$A324)</f>
        <v>0</v>
      </c>
      <c r="G324" s="3" t="n">
        <f aca="false">IF(F324&gt;0,ROUNDUP(F324/Parametres!$B$7,0)+1,0)</f>
        <v>0</v>
      </c>
      <c r="H324" s="3" t="n">
        <f aca="false">SUMIFS(Equipes!$D$2:$D$60,Equipes!$A$2:$A$60,"LOT-04",Equipes!$B$2:$B$60,"&lt;="&amp;$A324,Equipes!$C$2:$C$60,"&gt;="&amp;$A324)</f>
        <v>0</v>
      </c>
      <c r="I324" s="3" t="n">
        <f aca="false">IF(H324&gt;0,ROUNDUP(H324/Parametres!$B$7,0)+1,0)</f>
        <v>0</v>
      </c>
      <c r="J324" s="3" t="n">
        <f aca="false">SUMIFS(Equipes!$D$2:$D$60,Equipes!$A$2:$A$60,"LOT-05",Equipes!$B$2:$B$60,"&lt;="&amp;$A324,Equipes!$C$2:$C$60,"&gt;="&amp;$A324)</f>
        <v>0</v>
      </c>
      <c r="K324" s="3" t="n">
        <f aca="false">IF(J324&gt;0,ROUNDUP(J324/Parametres!$B$7,0)+1,0)</f>
        <v>0</v>
      </c>
      <c r="L324" s="3" t="n">
        <f aca="false">SUMIFS(Equipes!$D$2:$D$60,Equipes!$A$2:$A$60,"LOT-06",Equipes!$B$2:$B$60,"&lt;="&amp;$A324,Equipes!$C$2:$C$60,"&gt;="&amp;$A324)</f>
        <v>10</v>
      </c>
      <c r="M324" s="3" t="n">
        <f aca="false">IF(L324&gt;0,ROUNDUP(L324/Parametres!$B$7,0)+1,0)</f>
        <v>2</v>
      </c>
      <c r="N324" s="3" t="n">
        <f aca="false">SUMIFS(Equipes!$D$2:$D$60,Equipes!$A$2:$A$60,"LOT-07",Equipes!$B$2:$B$60,"&lt;="&amp;$A324,Equipes!$C$2:$C$60,"&gt;="&amp;$A324)</f>
        <v>10</v>
      </c>
      <c r="O324" s="3" t="n">
        <f aca="false">IF(N324&gt;0,ROUNDUP(N324/Parametres!$B$7,0)+1,0)</f>
        <v>2</v>
      </c>
      <c r="P324" s="3" t="n">
        <f aca="false">SUMIFS(Equipes!$D$2:$D$60,Equipes!$A$2:$A$60,"LOT-08",Equipes!$B$2:$B$60,"&lt;="&amp;$A324,Equipes!$C$2:$C$60,"&gt;="&amp;$A324)</f>
        <v>10</v>
      </c>
      <c r="Q324" s="3" t="n">
        <f aca="false">IF(P324&gt;0,ROUNDUP(P324/Parametres!$B$7,0)+1,0)</f>
        <v>2</v>
      </c>
    </row>
    <row r="325" customFormat="false" ht="15" hidden="false" customHeight="false" outlineLevel="0" collapsed="false">
      <c r="A325" s="2" t="n">
        <v>46406</v>
      </c>
      <c r="B325" s="3" t="n">
        <f aca="false">SUMIFS(Equipes!$D$2:$D$60,Equipes!$A$2:$A$60,"LOT-01",Equipes!$B$2:$B$60,"&lt;="&amp;$A325,Equipes!$C$2:$C$60,"&gt;="&amp;$A325)</f>
        <v>0</v>
      </c>
      <c r="C325" s="3" t="n">
        <f aca="false">IF(B325&gt;0,ROUNDUP(B325/Parametres!$B$7,0)+1,0)</f>
        <v>0</v>
      </c>
      <c r="D325" s="3" t="n">
        <f aca="false">SUMIFS(Equipes!$D$2:$D$60,Equipes!$A$2:$A$60,"LOT-02",Equipes!$B$2:$B$60,"&lt;="&amp;$A325,Equipes!$C$2:$C$60,"&gt;="&amp;$A325)</f>
        <v>0</v>
      </c>
      <c r="E325" s="3" t="n">
        <f aca="false">IF(D325&gt;0,ROUNDUP(D325/Parametres!$B$7,0)+1,0)</f>
        <v>0</v>
      </c>
      <c r="F325" s="3" t="n">
        <f aca="false">SUMIFS(Equipes!$D$2:$D$60,Equipes!$A$2:$A$60,"LOT-03",Equipes!$B$2:$B$60,"&lt;="&amp;$A325,Equipes!$C$2:$C$60,"&gt;="&amp;$A325)</f>
        <v>0</v>
      </c>
      <c r="G325" s="3" t="n">
        <f aca="false">IF(F325&gt;0,ROUNDUP(F325/Parametres!$B$7,0)+1,0)</f>
        <v>0</v>
      </c>
      <c r="H325" s="3" t="n">
        <f aca="false">SUMIFS(Equipes!$D$2:$D$60,Equipes!$A$2:$A$60,"LOT-04",Equipes!$B$2:$B$60,"&lt;="&amp;$A325,Equipes!$C$2:$C$60,"&gt;="&amp;$A325)</f>
        <v>0</v>
      </c>
      <c r="I325" s="3" t="n">
        <f aca="false">IF(H325&gt;0,ROUNDUP(H325/Parametres!$B$7,0)+1,0)</f>
        <v>0</v>
      </c>
      <c r="J325" s="3" t="n">
        <f aca="false">SUMIFS(Equipes!$D$2:$D$60,Equipes!$A$2:$A$60,"LOT-05",Equipes!$B$2:$B$60,"&lt;="&amp;$A325,Equipes!$C$2:$C$60,"&gt;="&amp;$A325)</f>
        <v>0</v>
      </c>
      <c r="K325" s="3" t="n">
        <f aca="false">IF(J325&gt;0,ROUNDUP(J325/Parametres!$B$7,0)+1,0)</f>
        <v>0</v>
      </c>
      <c r="L325" s="3" t="n">
        <f aca="false">SUMIFS(Equipes!$D$2:$D$60,Equipes!$A$2:$A$60,"LOT-06",Equipes!$B$2:$B$60,"&lt;="&amp;$A325,Equipes!$C$2:$C$60,"&gt;="&amp;$A325)</f>
        <v>10</v>
      </c>
      <c r="M325" s="3" t="n">
        <f aca="false">IF(L325&gt;0,ROUNDUP(L325/Parametres!$B$7,0)+1,0)</f>
        <v>2</v>
      </c>
      <c r="N325" s="3" t="n">
        <f aca="false">SUMIFS(Equipes!$D$2:$D$60,Equipes!$A$2:$A$60,"LOT-07",Equipes!$B$2:$B$60,"&lt;="&amp;$A325,Equipes!$C$2:$C$60,"&gt;="&amp;$A325)</f>
        <v>10</v>
      </c>
      <c r="O325" s="3" t="n">
        <f aca="false">IF(N325&gt;0,ROUNDUP(N325/Parametres!$B$7,0)+1,0)</f>
        <v>2</v>
      </c>
      <c r="P325" s="3" t="n">
        <f aca="false">SUMIFS(Equipes!$D$2:$D$60,Equipes!$A$2:$A$60,"LOT-08",Equipes!$B$2:$B$60,"&lt;="&amp;$A325,Equipes!$C$2:$C$60,"&gt;="&amp;$A325)</f>
        <v>10</v>
      </c>
      <c r="Q325" s="3" t="n">
        <f aca="false">IF(P325&gt;0,ROUNDUP(P325/Parametres!$B$7,0)+1,0)</f>
        <v>2</v>
      </c>
    </row>
    <row r="326" customFormat="false" ht="15" hidden="false" customHeight="false" outlineLevel="0" collapsed="false">
      <c r="A326" s="2" t="n">
        <v>46407</v>
      </c>
      <c r="B326" s="3" t="n">
        <f aca="false">SUMIFS(Equipes!$D$2:$D$60,Equipes!$A$2:$A$60,"LOT-01",Equipes!$B$2:$B$60,"&lt;="&amp;$A326,Equipes!$C$2:$C$60,"&gt;="&amp;$A326)</f>
        <v>0</v>
      </c>
      <c r="C326" s="3" t="n">
        <f aca="false">IF(B326&gt;0,ROUNDUP(B326/Parametres!$B$7,0)+1,0)</f>
        <v>0</v>
      </c>
      <c r="D326" s="3" t="n">
        <f aca="false">SUMIFS(Equipes!$D$2:$D$60,Equipes!$A$2:$A$60,"LOT-02",Equipes!$B$2:$B$60,"&lt;="&amp;$A326,Equipes!$C$2:$C$60,"&gt;="&amp;$A326)</f>
        <v>0</v>
      </c>
      <c r="E326" s="3" t="n">
        <f aca="false">IF(D326&gt;0,ROUNDUP(D326/Parametres!$B$7,0)+1,0)</f>
        <v>0</v>
      </c>
      <c r="F326" s="3" t="n">
        <f aca="false">SUMIFS(Equipes!$D$2:$D$60,Equipes!$A$2:$A$60,"LOT-03",Equipes!$B$2:$B$60,"&lt;="&amp;$A326,Equipes!$C$2:$C$60,"&gt;="&amp;$A326)</f>
        <v>0</v>
      </c>
      <c r="G326" s="3" t="n">
        <f aca="false">IF(F326&gt;0,ROUNDUP(F326/Parametres!$B$7,0)+1,0)</f>
        <v>0</v>
      </c>
      <c r="H326" s="3" t="n">
        <f aca="false">SUMIFS(Equipes!$D$2:$D$60,Equipes!$A$2:$A$60,"LOT-04",Equipes!$B$2:$B$60,"&lt;="&amp;$A326,Equipes!$C$2:$C$60,"&gt;="&amp;$A326)</f>
        <v>0</v>
      </c>
      <c r="I326" s="3" t="n">
        <f aca="false">IF(H326&gt;0,ROUNDUP(H326/Parametres!$B$7,0)+1,0)</f>
        <v>0</v>
      </c>
      <c r="J326" s="3" t="n">
        <f aca="false">SUMIFS(Equipes!$D$2:$D$60,Equipes!$A$2:$A$60,"LOT-05",Equipes!$B$2:$B$60,"&lt;="&amp;$A326,Equipes!$C$2:$C$60,"&gt;="&amp;$A326)</f>
        <v>0</v>
      </c>
      <c r="K326" s="3" t="n">
        <f aca="false">IF(J326&gt;0,ROUNDUP(J326/Parametres!$B$7,0)+1,0)</f>
        <v>0</v>
      </c>
      <c r="L326" s="3" t="n">
        <f aca="false">SUMIFS(Equipes!$D$2:$D$60,Equipes!$A$2:$A$60,"LOT-06",Equipes!$B$2:$B$60,"&lt;="&amp;$A326,Equipes!$C$2:$C$60,"&gt;="&amp;$A326)</f>
        <v>10</v>
      </c>
      <c r="M326" s="3" t="n">
        <f aca="false">IF(L326&gt;0,ROUNDUP(L326/Parametres!$B$7,0)+1,0)</f>
        <v>2</v>
      </c>
      <c r="N326" s="3" t="n">
        <f aca="false">SUMIFS(Equipes!$D$2:$D$60,Equipes!$A$2:$A$60,"LOT-07",Equipes!$B$2:$B$60,"&lt;="&amp;$A326,Equipes!$C$2:$C$60,"&gt;="&amp;$A326)</f>
        <v>10</v>
      </c>
      <c r="O326" s="3" t="n">
        <f aca="false">IF(N326&gt;0,ROUNDUP(N326/Parametres!$B$7,0)+1,0)</f>
        <v>2</v>
      </c>
      <c r="P326" s="3" t="n">
        <f aca="false">SUMIFS(Equipes!$D$2:$D$60,Equipes!$A$2:$A$60,"LOT-08",Equipes!$B$2:$B$60,"&lt;="&amp;$A326,Equipes!$C$2:$C$60,"&gt;="&amp;$A326)</f>
        <v>10</v>
      </c>
      <c r="Q326" s="3" t="n">
        <f aca="false">IF(P326&gt;0,ROUNDUP(P326/Parametres!$B$7,0)+1,0)</f>
        <v>2</v>
      </c>
    </row>
    <row r="327" customFormat="false" ht="15" hidden="false" customHeight="false" outlineLevel="0" collapsed="false">
      <c r="A327" s="2" t="n">
        <v>46408</v>
      </c>
      <c r="B327" s="3" t="n">
        <f aca="false">SUMIFS(Equipes!$D$2:$D$60,Equipes!$A$2:$A$60,"LOT-01",Equipes!$B$2:$B$60,"&lt;="&amp;$A327,Equipes!$C$2:$C$60,"&gt;="&amp;$A327)</f>
        <v>0</v>
      </c>
      <c r="C327" s="3" t="n">
        <f aca="false">IF(B327&gt;0,ROUNDUP(B327/Parametres!$B$7,0)+1,0)</f>
        <v>0</v>
      </c>
      <c r="D327" s="3" t="n">
        <f aca="false">SUMIFS(Equipes!$D$2:$D$60,Equipes!$A$2:$A$60,"LOT-02",Equipes!$B$2:$B$60,"&lt;="&amp;$A327,Equipes!$C$2:$C$60,"&gt;="&amp;$A327)</f>
        <v>0</v>
      </c>
      <c r="E327" s="3" t="n">
        <f aca="false">IF(D327&gt;0,ROUNDUP(D327/Parametres!$B$7,0)+1,0)</f>
        <v>0</v>
      </c>
      <c r="F327" s="3" t="n">
        <f aca="false">SUMIFS(Equipes!$D$2:$D$60,Equipes!$A$2:$A$60,"LOT-03",Equipes!$B$2:$B$60,"&lt;="&amp;$A327,Equipes!$C$2:$C$60,"&gt;="&amp;$A327)</f>
        <v>0</v>
      </c>
      <c r="G327" s="3" t="n">
        <f aca="false">IF(F327&gt;0,ROUNDUP(F327/Parametres!$B$7,0)+1,0)</f>
        <v>0</v>
      </c>
      <c r="H327" s="3" t="n">
        <f aca="false">SUMIFS(Equipes!$D$2:$D$60,Equipes!$A$2:$A$60,"LOT-04",Equipes!$B$2:$B$60,"&lt;="&amp;$A327,Equipes!$C$2:$C$60,"&gt;="&amp;$A327)</f>
        <v>0</v>
      </c>
      <c r="I327" s="3" t="n">
        <f aca="false">IF(H327&gt;0,ROUNDUP(H327/Parametres!$B$7,0)+1,0)</f>
        <v>0</v>
      </c>
      <c r="J327" s="3" t="n">
        <f aca="false">SUMIFS(Equipes!$D$2:$D$60,Equipes!$A$2:$A$60,"LOT-05",Equipes!$B$2:$B$60,"&lt;="&amp;$A327,Equipes!$C$2:$C$60,"&gt;="&amp;$A327)</f>
        <v>0</v>
      </c>
      <c r="K327" s="3" t="n">
        <f aca="false">IF(J327&gt;0,ROUNDUP(J327/Parametres!$B$7,0)+1,0)</f>
        <v>0</v>
      </c>
      <c r="L327" s="3" t="n">
        <f aca="false">SUMIFS(Equipes!$D$2:$D$60,Equipes!$A$2:$A$60,"LOT-06",Equipes!$B$2:$B$60,"&lt;="&amp;$A327,Equipes!$C$2:$C$60,"&gt;="&amp;$A327)</f>
        <v>10</v>
      </c>
      <c r="M327" s="3" t="n">
        <f aca="false">IF(L327&gt;0,ROUNDUP(L327/Parametres!$B$7,0)+1,0)</f>
        <v>2</v>
      </c>
      <c r="N327" s="3" t="n">
        <f aca="false">SUMIFS(Equipes!$D$2:$D$60,Equipes!$A$2:$A$60,"LOT-07",Equipes!$B$2:$B$60,"&lt;="&amp;$A327,Equipes!$C$2:$C$60,"&gt;="&amp;$A327)</f>
        <v>10</v>
      </c>
      <c r="O327" s="3" t="n">
        <f aca="false">IF(N327&gt;0,ROUNDUP(N327/Parametres!$B$7,0)+1,0)</f>
        <v>2</v>
      </c>
      <c r="P327" s="3" t="n">
        <f aca="false">SUMIFS(Equipes!$D$2:$D$60,Equipes!$A$2:$A$60,"LOT-08",Equipes!$B$2:$B$60,"&lt;="&amp;$A327,Equipes!$C$2:$C$60,"&gt;="&amp;$A327)</f>
        <v>10</v>
      </c>
      <c r="Q327" s="3" t="n">
        <f aca="false">IF(P327&gt;0,ROUNDUP(P327/Parametres!$B$7,0)+1,0)</f>
        <v>2</v>
      </c>
    </row>
    <row r="328" customFormat="false" ht="15" hidden="false" customHeight="false" outlineLevel="0" collapsed="false">
      <c r="A328" s="2" t="n">
        <v>46409</v>
      </c>
      <c r="B328" s="3" t="n">
        <f aca="false">SUMIFS(Equipes!$D$2:$D$60,Equipes!$A$2:$A$60,"LOT-01",Equipes!$B$2:$B$60,"&lt;="&amp;$A328,Equipes!$C$2:$C$60,"&gt;="&amp;$A328)</f>
        <v>0</v>
      </c>
      <c r="C328" s="3" t="n">
        <f aca="false">IF(B328&gt;0,ROUNDUP(B328/Parametres!$B$7,0)+1,0)</f>
        <v>0</v>
      </c>
      <c r="D328" s="3" t="n">
        <f aca="false">SUMIFS(Equipes!$D$2:$D$60,Equipes!$A$2:$A$60,"LOT-02",Equipes!$B$2:$B$60,"&lt;="&amp;$A328,Equipes!$C$2:$C$60,"&gt;="&amp;$A328)</f>
        <v>0</v>
      </c>
      <c r="E328" s="3" t="n">
        <f aca="false">IF(D328&gt;0,ROUNDUP(D328/Parametres!$B$7,0)+1,0)</f>
        <v>0</v>
      </c>
      <c r="F328" s="3" t="n">
        <f aca="false">SUMIFS(Equipes!$D$2:$D$60,Equipes!$A$2:$A$60,"LOT-03",Equipes!$B$2:$B$60,"&lt;="&amp;$A328,Equipes!$C$2:$C$60,"&gt;="&amp;$A328)</f>
        <v>0</v>
      </c>
      <c r="G328" s="3" t="n">
        <f aca="false">IF(F328&gt;0,ROUNDUP(F328/Parametres!$B$7,0)+1,0)</f>
        <v>0</v>
      </c>
      <c r="H328" s="3" t="n">
        <f aca="false">SUMIFS(Equipes!$D$2:$D$60,Equipes!$A$2:$A$60,"LOT-04",Equipes!$B$2:$B$60,"&lt;="&amp;$A328,Equipes!$C$2:$C$60,"&gt;="&amp;$A328)</f>
        <v>0</v>
      </c>
      <c r="I328" s="3" t="n">
        <f aca="false">IF(H328&gt;0,ROUNDUP(H328/Parametres!$B$7,0)+1,0)</f>
        <v>0</v>
      </c>
      <c r="J328" s="3" t="n">
        <f aca="false">SUMIFS(Equipes!$D$2:$D$60,Equipes!$A$2:$A$60,"LOT-05",Equipes!$B$2:$B$60,"&lt;="&amp;$A328,Equipes!$C$2:$C$60,"&gt;="&amp;$A328)</f>
        <v>0</v>
      </c>
      <c r="K328" s="3" t="n">
        <f aca="false">IF(J328&gt;0,ROUNDUP(J328/Parametres!$B$7,0)+1,0)</f>
        <v>0</v>
      </c>
      <c r="L328" s="3" t="n">
        <f aca="false">SUMIFS(Equipes!$D$2:$D$60,Equipes!$A$2:$A$60,"LOT-06",Equipes!$B$2:$B$60,"&lt;="&amp;$A328,Equipes!$C$2:$C$60,"&gt;="&amp;$A328)</f>
        <v>10</v>
      </c>
      <c r="M328" s="3" t="n">
        <f aca="false">IF(L328&gt;0,ROUNDUP(L328/Parametres!$B$7,0)+1,0)</f>
        <v>2</v>
      </c>
      <c r="N328" s="3" t="n">
        <f aca="false">SUMIFS(Equipes!$D$2:$D$60,Equipes!$A$2:$A$60,"LOT-07",Equipes!$B$2:$B$60,"&lt;="&amp;$A328,Equipes!$C$2:$C$60,"&gt;="&amp;$A328)</f>
        <v>10</v>
      </c>
      <c r="O328" s="3" t="n">
        <f aca="false">IF(N328&gt;0,ROUNDUP(N328/Parametres!$B$7,0)+1,0)</f>
        <v>2</v>
      </c>
      <c r="P328" s="3" t="n">
        <f aca="false">SUMIFS(Equipes!$D$2:$D$60,Equipes!$A$2:$A$60,"LOT-08",Equipes!$B$2:$B$60,"&lt;="&amp;$A328,Equipes!$C$2:$C$60,"&gt;="&amp;$A328)</f>
        <v>10</v>
      </c>
      <c r="Q328" s="3" t="n">
        <f aca="false">IF(P328&gt;0,ROUNDUP(P328/Parametres!$B$7,0)+1,0)</f>
        <v>2</v>
      </c>
    </row>
    <row r="329" customFormat="false" ht="15" hidden="false" customHeight="false" outlineLevel="0" collapsed="false">
      <c r="A329" s="2" t="n">
        <v>46410</v>
      </c>
      <c r="B329" s="3" t="n">
        <f aca="false">SUMIFS(Equipes!$D$2:$D$60,Equipes!$A$2:$A$60,"LOT-01",Equipes!$B$2:$B$60,"&lt;="&amp;$A329,Equipes!$C$2:$C$60,"&gt;="&amp;$A329)</f>
        <v>0</v>
      </c>
      <c r="C329" s="3" t="n">
        <f aca="false">IF(B329&gt;0,ROUNDUP(B329/Parametres!$B$7,0)+1,0)</f>
        <v>0</v>
      </c>
      <c r="D329" s="3" t="n">
        <f aca="false">SUMIFS(Equipes!$D$2:$D$60,Equipes!$A$2:$A$60,"LOT-02",Equipes!$B$2:$B$60,"&lt;="&amp;$A329,Equipes!$C$2:$C$60,"&gt;="&amp;$A329)</f>
        <v>0</v>
      </c>
      <c r="E329" s="3" t="n">
        <f aca="false">IF(D329&gt;0,ROUNDUP(D329/Parametres!$B$7,0)+1,0)</f>
        <v>0</v>
      </c>
      <c r="F329" s="3" t="n">
        <f aca="false">SUMIFS(Equipes!$D$2:$D$60,Equipes!$A$2:$A$60,"LOT-03",Equipes!$B$2:$B$60,"&lt;="&amp;$A329,Equipes!$C$2:$C$60,"&gt;="&amp;$A329)</f>
        <v>0</v>
      </c>
      <c r="G329" s="3" t="n">
        <f aca="false">IF(F329&gt;0,ROUNDUP(F329/Parametres!$B$7,0)+1,0)</f>
        <v>0</v>
      </c>
      <c r="H329" s="3" t="n">
        <f aca="false">SUMIFS(Equipes!$D$2:$D$60,Equipes!$A$2:$A$60,"LOT-04",Equipes!$B$2:$B$60,"&lt;="&amp;$A329,Equipes!$C$2:$C$60,"&gt;="&amp;$A329)</f>
        <v>0</v>
      </c>
      <c r="I329" s="3" t="n">
        <f aca="false">IF(H329&gt;0,ROUNDUP(H329/Parametres!$B$7,0)+1,0)</f>
        <v>0</v>
      </c>
      <c r="J329" s="3" t="n">
        <f aca="false">SUMIFS(Equipes!$D$2:$D$60,Equipes!$A$2:$A$60,"LOT-05",Equipes!$B$2:$B$60,"&lt;="&amp;$A329,Equipes!$C$2:$C$60,"&gt;="&amp;$A329)</f>
        <v>0</v>
      </c>
      <c r="K329" s="3" t="n">
        <f aca="false">IF(J329&gt;0,ROUNDUP(J329/Parametres!$B$7,0)+1,0)</f>
        <v>0</v>
      </c>
      <c r="L329" s="3" t="n">
        <f aca="false">SUMIFS(Equipes!$D$2:$D$60,Equipes!$A$2:$A$60,"LOT-06",Equipes!$B$2:$B$60,"&lt;="&amp;$A329,Equipes!$C$2:$C$60,"&gt;="&amp;$A329)</f>
        <v>10</v>
      </c>
      <c r="M329" s="3" t="n">
        <f aca="false">IF(L329&gt;0,ROUNDUP(L329/Parametres!$B$7,0)+1,0)</f>
        <v>2</v>
      </c>
      <c r="N329" s="3" t="n">
        <f aca="false">SUMIFS(Equipes!$D$2:$D$60,Equipes!$A$2:$A$60,"LOT-07",Equipes!$B$2:$B$60,"&lt;="&amp;$A329,Equipes!$C$2:$C$60,"&gt;="&amp;$A329)</f>
        <v>10</v>
      </c>
      <c r="O329" s="3" t="n">
        <f aca="false">IF(N329&gt;0,ROUNDUP(N329/Parametres!$B$7,0)+1,0)</f>
        <v>2</v>
      </c>
      <c r="P329" s="3" t="n">
        <f aca="false">SUMIFS(Equipes!$D$2:$D$60,Equipes!$A$2:$A$60,"LOT-08",Equipes!$B$2:$B$60,"&lt;="&amp;$A329,Equipes!$C$2:$C$60,"&gt;="&amp;$A329)</f>
        <v>10</v>
      </c>
      <c r="Q329" s="3" t="n">
        <f aca="false">IF(P329&gt;0,ROUNDUP(P329/Parametres!$B$7,0)+1,0)</f>
        <v>2</v>
      </c>
    </row>
    <row r="330" customFormat="false" ht="15" hidden="false" customHeight="false" outlineLevel="0" collapsed="false">
      <c r="A330" s="2" t="n">
        <v>46411</v>
      </c>
      <c r="B330" s="3" t="n">
        <f aca="false">SUMIFS(Equipes!$D$2:$D$60,Equipes!$A$2:$A$60,"LOT-01",Equipes!$B$2:$B$60,"&lt;="&amp;$A330,Equipes!$C$2:$C$60,"&gt;="&amp;$A330)</f>
        <v>0</v>
      </c>
      <c r="C330" s="3" t="n">
        <f aca="false">IF(B330&gt;0,ROUNDUP(B330/Parametres!$B$7,0)+1,0)</f>
        <v>0</v>
      </c>
      <c r="D330" s="3" t="n">
        <f aca="false">SUMIFS(Equipes!$D$2:$D$60,Equipes!$A$2:$A$60,"LOT-02",Equipes!$B$2:$B$60,"&lt;="&amp;$A330,Equipes!$C$2:$C$60,"&gt;="&amp;$A330)</f>
        <v>0</v>
      </c>
      <c r="E330" s="3" t="n">
        <f aca="false">IF(D330&gt;0,ROUNDUP(D330/Parametres!$B$7,0)+1,0)</f>
        <v>0</v>
      </c>
      <c r="F330" s="3" t="n">
        <f aca="false">SUMIFS(Equipes!$D$2:$D$60,Equipes!$A$2:$A$60,"LOT-03",Equipes!$B$2:$B$60,"&lt;="&amp;$A330,Equipes!$C$2:$C$60,"&gt;="&amp;$A330)</f>
        <v>0</v>
      </c>
      <c r="G330" s="3" t="n">
        <f aca="false">IF(F330&gt;0,ROUNDUP(F330/Parametres!$B$7,0)+1,0)</f>
        <v>0</v>
      </c>
      <c r="H330" s="3" t="n">
        <f aca="false">SUMIFS(Equipes!$D$2:$D$60,Equipes!$A$2:$A$60,"LOT-04",Equipes!$B$2:$B$60,"&lt;="&amp;$A330,Equipes!$C$2:$C$60,"&gt;="&amp;$A330)</f>
        <v>0</v>
      </c>
      <c r="I330" s="3" t="n">
        <f aca="false">IF(H330&gt;0,ROUNDUP(H330/Parametres!$B$7,0)+1,0)</f>
        <v>0</v>
      </c>
      <c r="J330" s="3" t="n">
        <f aca="false">SUMIFS(Equipes!$D$2:$D$60,Equipes!$A$2:$A$60,"LOT-05",Equipes!$B$2:$B$60,"&lt;="&amp;$A330,Equipes!$C$2:$C$60,"&gt;="&amp;$A330)</f>
        <v>0</v>
      </c>
      <c r="K330" s="3" t="n">
        <f aca="false">IF(J330&gt;0,ROUNDUP(J330/Parametres!$B$7,0)+1,0)</f>
        <v>0</v>
      </c>
      <c r="L330" s="3" t="n">
        <f aca="false">SUMIFS(Equipes!$D$2:$D$60,Equipes!$A$2:$A$60,"LOT-06",Equipes!$B$2:$B$60,"&lt;="&amp;$A330,Equipes!$C$2:$C$60,"&gt;="&amp;$A330)</f>
        <v>10</v>
      </c>
      <c r="M330" s="3" t="n">
        <f aca="false">IF(L330&gt;0,ROUNDUP(L330/Parametres!$B$7,0)+1,0)</f>
        <v>2</v>
      </c>
      <c r="N330" s="3" t="n">
        <f aca="false">SUMIFS(Equipes!$D$2:$D$60,Equipes!$A$2:$A$60,"LOT-07",Equipes!$B$2:$B$60,"&lt;="&amp;$A330,Equipes!$C$2:$C$60,"&gt;="&amp;$A330)</f>
        <v>0</v>
      </c>
      <c r="O330" s="3" t="n">
        <f aca="false">IF(N330&gt;0,ROUNDUP(N330/Parametres!$B$7,0)+1,0)</f>
        <v>0</v>
      </c>
      <c r="P330" s="3" t="n">
        <f aca="false">SUMIFS(Equipes!$D$2:$D$60,Equipes!$A$2:$A$60,"LOT-08",Equipes!$B$2:$B$60,"&lt;="&amp;$A330,Equipes!$C$2:$C$60,"&gt;="&amp;$A330)</f>
        <v>10</v>
      </c>
      <c r="Q330" s="3" t="n">
        <f aca="false">IF(P330&gt;0,ROUNDUP(P330/Parametres!$B$7,0)+1,0)</f>
        <v>2</v>
      </c>
    </row>
    <row r="331" customFormat="false" ht="15" hidden="false" customHeight="false" outlineLevel="0" collapsed="false">
      <c r="A331" s="2" t="n">
        <v>46412</v>
      </c>
      <c r="B331" s="3" t="n">
        <f aca="false">SUMIFS(Equipes!$D$2:$D$60,Equipes!$A$2:$A$60,"LOT-01",Equipes!$B$2:$B$60,"&lt;="&amp;$A331,Equipes!$C$2:$C$60,"&gt;="&amp;$A331)</f>
        <v>0</v>
      </c>
      <c r="C331" s="3" t="n">
        <f aca="false">IF(B331&gt;0,ROUNDUP(B331/Parametres!$B$7,0)+1,0)</f>
        <v>0</v>
      </c>
      <c r="D331" s="3" t="n">
        <f aca="false">SUMIFS(Equipes!$D$2:$D$60,Equipes!$A$2:$A$60,"LOT-02",Equipes!$B$2:$B$60,"&lt;="&amp;$A331,Equipes!$C$2:$C$60,"&gt;="&amp;$A331)</f>
        <v>0</v>
      </c>
      <c r="E331" s="3" t="n">
        <f aca="false">IF(D331&gt;0,ROUNDUP(D331/Parametres!$B$7,0)+1,0)</f>
        <v>0</v>
      </c>
      <c r="F331" s="3" t="n">
        <f aca="false">SUMIFS(Equipes!$D$2:$D$60,Equipes!$A$2:$A$60,"LOT-03",Equipes!$B$2:$B$60,"&lt;="&amp;$A331,Equipes!$C$2:$C$60,"&gt;="&amp;$A331)</f>
        <v>0</v>
      </c>
      <c r="G331" s="3" t="n">
        <f aca="false">IF(F331&gt;0,ROUNDUP(F331/Parametres!$B$7,0)+1,0)</f>
        <v>0</v>
      </c>
      <c r="H331" s="3" t="n">
        <f aca="false">SUMIFS(Equipes!$D$2:$D$60,Equipes!$A$2:$A$60,"LOT-04",Equipes!$B$2:$B$60,"&lt;="&amp;$A331,Equipes!$C$2:$C$60,"&gt;="&amp;$A331)</f>
        <v>0</v>
      </c>
      <c r="I331" s="3" t="n">
        <f aca="false">IF(H331&gt;0,ROUNDUP(H331/Parametres!$B$7,0)+1,0)</f>
        <v>0</v>
      </c>
      <c r="J331" s="3" t="n">
        <f aca="false">SUMIFS(Equipes!$D$2:$D$60,Equipes!$A$2:$A$60,"LOT-05",Equipes!$B$2:$B$60,"&lt;="&amp;$A331,Equipes!$C$2:$C$60,"&gt;="&amp;$A331)</f>
        <v>0</v>
      </c>
      <c r="K331" s="3" t="n">
        <f aca="false">IF(J331&gt;0,ROUNDUP(J331/Parametres!$B$7,0)+1,0)</f>
        <v>0</v>
      </c>
      <c r="L331" s="3" t="n">
        <f aca="false">SUMIFS(Equipes!$D$2:$D$60,Equipes!$A$2:$A$60,"LOT-06",Equipes!$B$2:$B$60,"&lt;="&amp;$A331,Equipes!$C$2:$C$60,"&gt;="&amp;$A331)</f>
        <v>10</v>
      </c>
      <c r="M331" s="3" t="n">
        <f aca="false">IF(L331&gt;0,ROUNDUP(L331/Parametres!$B$7,0)+1,0)</f>
        <v>2</v>
      </c>
      <c r="N331" s="3" t="n">
        <f aca="false">SUMIFS(Equipes!$D$2:$D$60,Equipes!$A$2:$A$60,"LOT-07",Equipes!$B$2:$B$60,"&lt;="&amp;$A331,Equipes!$C$2:$C$60,"&gt;="&amp;$A331)</f>
        <v>0</v>
      </c>
      <c r="O331" s="3" t="n">
        <f aca="false">IF(N331&gt;0,ROUNDUP(N331/Parametres!$B$7,0)+1,0)</f>
        <v>0</v>
      </c>
      <c r="P331" s="3" t="n">
        <f aca="false">SUMIFS(Equipes!$D$2:$D$60,Equipes!$A$2:$A$60,"LOT-08",Equipes!$B$2:$B$60,"&lt;="&amp;$A331,Equipes!$C$2:$C$60,"&gt;="&amp;$A331)</f>
        <v>10</v>
      </c>
      <c r="Q331" s="3" t="n">
        <f aca="false">IF(P331&gt;0,ROUNDUP(P331/Parametres!$B$7,0)+1,0)</f>
        <v>2</v>
      </c>
    </row>
    <row r="332" customFormat="false" ht="15" hidden="false" customHeight="false" outlineLevel="0" collapsed="false">
      <c r="A332" s="2" t="n">
        <v>46413</v>
      </c>
      <c r="B332" s="3" t="n">
        <f aca="false">SUMIFS(Equipes!$D$2:$D$60,Equipes!$A$2:$A$60,"LOT-01",Equipes!$B$2:$B$60,"&lt;="&amp;$A332,Equipes!$C$2:$C$60,"&gt;="&amp;$A332)</f>
        <v>0</v>
      </c>
      <c r="C332" s="3" t="n">
        <f aca="false">IF(B332&gt;0,ROUNDUP(B332/Parametres!$B$7,0)+1,0)</f>
        <v>0</v>
      </c>
      <c r="D332" s="3" t="n">
        <f aca="false">SUMIFS(Equipes!$D$2:$D$60,Equipes!$A$2:$A$60,"LOT-02",Equipes!$B$2:$B$60,"&lt;="&amp;$A332,Equipes!$C$2:$C$60,"&gt;="&amp;$A332)</f>
        <v>0</v>
      </c>
      <c r="E332" s="3" t="n">
        <f aca="false">IF(D332&gt;0,ROUNDUP(D332/Parametres!$B$7,0)+1,0)</f>
        <v>0</v>
      </c>
      <c r="F332" s="3" t="n">
        <f aca="false">SUMIFS(Equipes!$D$2:$D$60,Equipes!$A$2:$A$60,"LOT-03",Equipes!$B$2:$B$60,"&lt;="&amp;$A332,Equipes!$C$2:$C$60,"&gt;="&amp;$A332)</f>
        <v>0</v>
      </c>
      <c r="G332" s="3" t="n">
        <f aca="false">IF(F332&gt;0,ROUNDUP(F332/Parametres!$B$7,0)+1,0)</f>
        <v>0</v>
      </c>
      <c r="H332" s="3" t="n">
        <f aca="false">SUMIFS(Equipes!$D$2:$D$60,Equipes!$A$2:$A$60,"LOT-04",Equipes!$B$2:$B$60,"&lt;="&amp;$A332,Equipes!$C$2:$C$60,"&gt;="&amp;$A332)</f>
        <v>0</v>
      </c>
      <c r="I332" s="3" t="n">
        <f aca="false">IF(H332&gt;0,ROUNDUP(H332/Parametres!$B$7,0)+1,0)</f>
        <v>0</v>
      </c>
      <c r="J332" s="3" t="n">
        <f aca="false">SUMIFS(Equipes!$D$2:$D$60,Equipes!$A$2:$A$60,"LOT-05",Equipes!$B$2:$B$60,"&lt;="&amp;$A332,Equipes!$C$2:$C$60,"&gt;="&amp;$A332)</f>
        <v>0</v>
      </c>
      <c r="K332" s="3" t="n">
        <f aca="false">IF(J332&gt;0,ROUNDUP(J332/Parametres!$B$7,0)+1,0)</f>
        <v>0</v>
      </c>
      <c r="L332" s="3" t="n">
        <f aca="false">SUMIFS(Equipes!$D$2:$D$60,Equipes!$A$2:$A$60,"LOT-06",Equipes!$B$2:$B$60,"&lt;="&amp;$A332,Equipes!$C$2:$C$60,"&gt;="&amp;$A332)</f>
        <v>10</v>
      </c>
      <c r="M332" s="3" t="n">
        <f aca="false">IF(L332&gt;0,ROUNDUP(L332/Parametres!$B$7,0)+1,0)</f>
        <v>2</v>
      </c>
      <c r="N332" s="3" t="n">
        <f aca="false">SUMIFS(Equipes!$D$2:$D$60,Equipes!$A$2:$A$60,"LOT-07",Equipes!$B$2:$B$60,"&lt;="&amp;$A332,Equipes!$C$2:$C$60,"&gt;="&amp;$A332)</f>
        <v>0</v>
      </c>
      <c r="O332" s="3" t="n">
        <f aca="false">IF(N332&gt;0,ROUNDUP(N332/Parametres!$B$7,0)+1,0)</f>
        <v>0</v>
      </c>
      <c r="P332" s="3" t="n">
        <f aca="false">SUMIFS(Equipes!$D$2:$D$60,Equipes!$A$2:$A$60,"LOT-08",Equipes!$B$2:$B$60,"&lt;="&amp;$A332,Equipes!$C$2:$C$60,"&gt;="&amp;$A332)</f>
        <v>10</v>
      </c>
      <c r="Q332" s="3" t="n">
        <f aca="false">IF(P332&gt;0,ROUNDUP(P332/Parametres!$B$7,0)+1,0)</f>
        <v>2</v>
      </c>
    </row>
    <row r="333" customFormat="false" ht="15" hidden="false" customHeight="false" outlineLevel="0" collapsed="false">
      <c r="A333" s="2" t="n">
        <v>46414</v>
      </c>
      <c r="B333" s="3" t="n">
        <f aca="false">SUMIFS(Equipes!$D$2:$D$60,Equipes!$A$2:$A$60,"LOT-01",Equipes!$B$2:$B$60,"&lt;="&amp;$A333,Equipes!$C$2:$C$60,"&gt;="&amp;$A333)</f>
        <v>0</v>
      </c>
      <c r="C333" s="3" t="n">
        <f aca="false">IF(B333&gt;0,ROUNDUP(B333/Parametres!$B$7,0)+1,0)</f>
        <v>0</v>
      </c>
      <c r="D333" s="3" t="n">
        <f aca="false">SUMIFS(Equipes!$D$2:$D$60,Equipes!$A$2:$A$60,"LOT-02",Equipes!$B$2:$B$60,"&lt;="&amp;$A333,Equipes!$C$2:$C$60,"&gt;="&amp;$A333)</f>
        <v>0</v>
      </c>
      <c r="E333" s="3" t="n">
        <f aca="false">IF(D333&gt;0,ROUNDUP(D333/Parametres!$B$7,0)+1,0)</f>
        <v>0</v>
      </c>
      <c r="F333" s="3" t="n">
        <f aca="false">SUMIFS(Equipes!$D$2:$D$60,Equipes!$A$2:$A$60,"LOT-03",Equipes!$B$2:$B$60,"&lt;="&amp;$A333,Equipes!$C$2:$C$60,"&gt;="&amp;$A333)</f>
        <v>0</v>
      </c>
      <c r="G333" s="3" t="n">
        <f aca="false">IF(F333&gt;0,ROUNDUP(F333/Parametres!$B$7,0)+1,0)</f>
        <v>0</v>
      </c>
      <c r="H333" s="3" t="n">
        <f aca="false">SUMIFS(Equipes!$D$2:$D$60,Equipes!$A$2:$A$60,"LOT-04",Equipes!$B$2:$B$60,"&lt;="&amp;$A333,Equipes!$C$2:$C$60,"&gt;="&amp;$A333)</f>
        <v>0</v>
      </c>
      <c r="I333" s="3" t="n">
        <f aca="false">IF(H333&gt;0,ROUNDUP(H333/Parametres!$B$7,0)+1,0)</f>
        <v>0</v>
      </c>
      <c r="J333" s="3" t="n">
        <f aca="false">SUMIFS(Equipes!$D$2:$D$60,Equipes!$A$2:$A$60,"LOT-05",Equipes!$B$2:$B$60,"&lt;="&amp;$A333,Equipes!$C$2:$C$60,"&gt;="&amp;$A333)</f>
        <v>0</v>
      </c>
      <c r="K333" s="3" t="n">
        <f aca="false">IF(J333&gt;0,ROUNDUP(J333/Parametres!$B$7,0)+1,0)</f>
        <v>0</v>
      </c>
      <c r="L333" s="3" t="n">
        <f aca="false">SUMIFS(Equipes!$D$2:$D$60,Equipes!$A$2:$A$60,"LOT-06",Equipes!$B$2:$B$60,"&lt;="&amp;$A333,Equipes!$C$2:$C$60,"&gt;="&amp;$A333)</f>
        <v>10</v>
      </c>
      <c r="M333" s="3" t="n">
        <f aca="false">IF(L333&gt;0,ROUNDUP(L333/Parametres!$B$7,0)+1,0)</f>
        <v>2</v>
      </c>
      <c r="N333" s="3" t="n">
        <f aca="false">SUMIFS(Equipes!$D$2:$D$60,Equipes!$A$2:$A$60,"LOT-07",Equipes!$B$2:$B$60,"&lt;="&amp;$A333,Equipes!$C$2:$C$60,"&gt;="&amp;$A333)</f>
        <v>0</v>
      </c>
      <c r="O333" s="3" t="n">
        <f aca="false">IF(N333&gt;0,ROUNDUP(N333/Parametres!$B$7,0)+1,0)</f>
        <v>0</v>
      </c>
      <c r="P333" s="3" t="n">
        <f aca="false">SUMIFS(Equipes!$D$2:$D$60,Equipes!$A$2:$A$60,"LOT-08",Equipes!$B$2:$B$60,"&lt;="&amp;$A333,Equipes!$C$2:$C$60,"&gt;="&amp;$A333)</f>
        <v>10</v>
      </c>
      <c r="Q333" s="3" t="n">
        <f aca="false">IF(P333&gt;0,ROUNDUP(P333/Parametres!$B$7,0)+1,0)</f>
        <v>2</v>
      </c>
    </row>
    <row r="334" customFormat="false" ht="15" hidden="false" customHeight="false" outlineLevel="0" collapsed="false">
      <c r="A334" s="2" t="n">
        <v>46415</v>
      </c>
      <c r="B334" s="3" t="n">
        <f aca="false">SUMIFS(Equipes!$D$2:$D$60,Equipes!$A$2:$A$60,"LOT-01",Equipes!$B$2:$B$60,"&lt;="&amp;$A334,Equipes!$C$2:$C$60,"&gt;="&amp;$A334)</f>
        <v>0</v>
      </c>
      <c r="C334" s="3" t="n">
        <f aca="false">IF(B334&gt;0,ROUNDUP(B334/Parametres!$B$7,0)+1,0)</f>
        <v>0</v>
      </c>
      <c r="D334" s="3" t="n">
        <f aca="false">SUMIFS(Equipes!$D$2:$D$60,Equipes!$A$2:$A$60,"LOT-02",Equipes!$B$2:$B$60,"&lt;="&amp;$A334,Equipes!$C$2:$C$60,"&gt;="&amp;$A334)</f>
        <v>0</v>
      </c>
      <c r="E334" s="3" t="n">
        <f aca="false">IF(D334&gt;0,ROUNDUP(D334/Parametres!$B$7,0)+1,0)</f>
        <v>0</v>
      </c>
      <c r="F334" s="3" t="n">
        <f aca="false">SUMIFS(Equipes!$D$2:$D$60,Equipes!$A$2:$A$60,"LOT-03",Equipes!$B$2:$B$60,"&lt;="&amp;$A334,Equipes!$C$2:$C$60,"&gt;="&amp;$A334)</f>
        <v>0</v>
      </c>
      <c r="G334" s="3" t="n">
        <f aca="false">IF(F334&gt;0,ROUNDUP(F334/Parametres!$B$7,0)+1,0)</f>
        <v>0</v>
      </c>
      <c r="H334" s="3" t="n">
        <f aca="false">SUMIFS(Equipes!$D$2:$D$60,Equipes!$A$2:$A$60,"LOT-04",Equipes!$B$2:$B$60,"&lt;="&amp;$A334,Equipes!$C$2:$C$60,"&gt;="&amp;$A334)</f>
        <v>0</v>
      </c>
      <c r="I334" s="3" t="n">
        <f aca="false">IF(H334&gt;0,ROUNDUP(H334/Parametres!$B$7,0)+1,0)</f>
        <v>0</v>
      </c>
      <c r="J334" s="3" t="n">
        <f aca="false">SUMIFS(Equipes!$D$2:$D$60,Equipes!$A$2:$A$60,"LOT-05",Equipes!$B$2:$B$60,"&lt;="&amp;$A334,Equipes!$C$2:$C$60,"&gt;="&amp;$A334)</f>
        <v>0</v>
      </c>
      <c r="K334" s="3" t="n">
        <f aca="false">IF(J334&gt;0,ROUNDUP(J334/Parametres!$B$7,0)+1,0)</f>
        <v>0</v>
      </c>
      <c r="L334" s="3" t="n">
        <f aca="false">SUMIFS(Equipes!$D$2:$D$60,Equipes!$A$2:$A$60,"LOT-06",Equipes!$B$2:$B$60,"&lt;="&amp;$A334,Equipes!$C$2:$C$60,"&gt;="&amp;$A334)</f>
        <v>10</v>
      </c>
      <c r="M334" s="3" t="n">
        <f aca="false">IF(L334&gt;0,ROUNDUP(L334/Parametres!$B$7,0)+1,0)</f>
        <v>2</v>
      </c>
      <c r="N334" s="3" t="n">
        <f aca="false">SUMIFS(Equipes!$D$2:$D$60,Equipes!$A$2:$A$60,"LOT-07",Equipes!$B$2:$B$60,"&lt;="&amp;$A334,Equipes!$C$2:$C$60,"&gt;="&amp;$A334)</f>
        <v>0</v>
      </c>
      <c r="O334" s="3" t="n">
        <f aca="false">IF(N334&gt;0,ROUNDUP(N334/Parametres!$B$7,0)+1,0)</f>
        <v>0</v>
      </c>
      <c r="P334" s="3" t="n">
        <f aca="false">SUMIFS(Equipes!$D$2:$D$60,Equipes!$A$2:$A$60,"LOT-08",Equipes!$B$2:$B$60,"&lt;="&amp;$A334,Equipes!$C$2:$C$60,"&gt;="&amp;$A334)</f>
        <v>10</v>
      </c>
      <c r="Q334" s="3" t="n">
        <f aca="false">IF(P334&gt;0,ROUNDUP(P334/Parametres!$B$7,0)+1,0)</f>
        <v>2</v>
      </c>
    </row>
    <row r="335" customFormat="false" ht="15" hidden="false" customHeight="false" outlineLevel="0" collapsed="false">
      <c r="A335" s="2" t="n">
        <v>46416</v>
      </c>
      <c r="B335" s="3" t="n">
        <f aca="false">SUMIFS(Equipes!$D$2:$D$60,Equipes!$A$2:$A$60,"LOT-01",Equipes!$B$2:$B$60,"&lt;="&amp;$A335,Equipes!$C$2:$C$60,"&gt;="&amp;$A335)</f>
        <v>0</v>
      </c>
      <c r="C335" s="3" t="n">
        <f aca="false">IF(B335&gt;0,ROUNDUP(B335/Parametres!$B$7,0)+1,0)</f>
        <v>0</v>
      </c>
      <c r="D335" s="3" t="n">
        <f aca="false">SUMIFS(Equipes!$D$2:$D$60,Equipes!$A$2:$A$60,"LOT-02",Equipes!$B$2:$B$60,"&lt;="&amp;$A335,Equipes!$C$2:$C$60,"&gt;="&amp;$A335)</f>
        <v>0</v>
      </c>
      <c r="E335" s="3" t="n">
        <f aca="false">IF(D335&gt;0,ROUNDUP(D335/Parametres!$B$7,0)+1,0)</f>
        <v>0</v>
      </c>
      <c r="F335" s="3" t="n">
        <f aca="false">SUMIFS(Equipes!$D$2:$D$60,Equipes!$A$2:$A$60,"LOT-03",Equipes!$B$2:$B$60,"&lt;="&amp;$A335,Equipes!$C$2:$C$60,"&gt;="&amp;$A335)</f>
        <v>0</v>
      </c>
      <c r="G335" s="3" t="n">
        <f aca="false">IF(F335&gt;0,ROUNDUP(F335/Parametres!$B$7,0)+1,0)</f>
        <v>0</v>
      </c>
      <c r="H335" s="3" t="n">
        <f aca="false">SUMIFS(Equipes!$D$2:$D$60,Equipes!$A$2:$A$60,"LOT-04",Equipes!$B$2:$B$60,"&lt;="&amp;$A335,Equipes!$C$2:$C$60,"&gt;="&amp;$A335)</f>
        <v>0</v>
      </c>
      <c r="I335" s="3" t="n">
        <f aca="false">IF(H335&gt;0,ROUNDUP(H335/Parametres!$B$7,0)+1,0)</f>
        <v>0</v>
      </c>
      <c r="J335" s="3" t="n">
        <f aca="false">SUMIFS(Equipes!$D$2:$D$60,Equipes!$A$2:$A$60,"LOT-05",Equipes!$B$2:$B$60,"&lt;="&amp;$A335,Equipes!$C$2:$C$60,"&gt;="&amp;$A335)</f>
        <v>0</v>
      </c>
      <c r="K335" s="3" t="n">
        <f aca="false">IF(J335&gt;0,ROUNDUP(J335/Parametres!$B$7,0)+1,0)</f>
        <v>0</v>
      </c>
      <c r="L335" s="3" t="n">
        <f aca="false">SUMIFS(Equipes!$D$2:$D$60,Equipes!$A$2:$A$60,"LOT-06",Equipes!$B$2:$B$60,"&lt;="&amp;$A335,Equipes!$C$2:$C$60,"&gt;="&amp;$A335)</f>
        <v>10</v>
      </c>
      <c r="M335" s="3" t="n">
        <f aca="false">IF(L335&gt;0,ROUNDUP(L335/Parametres!$B$7,0)+1,0)</f>
        <v>2</v>
      </c>
      <c r="N335" s="3" t="n">
        <f aca="false">SUMIFS(Equipes!$D$2:$D$60,Equipes!$A$2:$A$60,"LOT-07",Equipes!$B$2:$B$60,"&lt;="&amp;$A335,Equipes!$C$2:$C$60,"&gt;="&amp;$A335)</f>
        <v>0</v>
      </c>
      <c r="O335" s="3" t="n">
        <f aca="false">IF(N335&gt;0,ROUNDUP(N335/Parametres!$B$7,0)+1,0)</f>
        <v>0</v>
      </c>
      <c r="P335" s="3" t="n">
        <f aca="false">SUMIFS(Equipes!$D$2:$D$60,Equipes!$A$2:$A$60,"LOT-08",Equipes!$B$2:$B$60,"&lt;="&amp;$A335,Equipes!$C$2:$C$60,"&gt;="&amp;$A335)</f>
        <v>10</v>
      </c>
      <c r="Q335" s="3" t="n">
        <f aca="false">IF(P335&gt;0,ROUNDUP(P335/Parametres!$B$7,0)+1,0)</f>
        <v>2</v>
      </c>
    </row>
    <row r="336" customFormat="false" ht="15" hidden="false" customHeight="false" outlineLevel="0" collapsed="false">
      <c r="A336" s="2" t="n">
        <v>46417</v>
      </c>
      <c r="B336" s="3" t="n">
        <f aca="false">SUMIFS(Equipes!$D$2:$D$60,Equipes!$A$2:$A$60,"LOT-01",Equipes!$B$2:$B$60,"&lt;="&amp;$A336,Equipes!$C$2:$C$60,"&gt;="&amp;$A336)</f>
        <v>0</v>
      </c>
      <c r="C336" s="3" t="n">
        <f aca="false">IF(B336&gt;0,ROUNDUP(B336/Parametres!$B$7,0)+1,0)</f>
        <v>0</v>
      </c>
      <c r="D336" s="3" t="n">
        <f aca="false">SUMIFS(Equipes!$D$2:$D$60,Equipes!$A$2:$A$60,"LOT-02",Equipes!$B$2:$B$60,"&lt;="&amp;$A336,Equipes!$C$2:$C$60,"&gt;="&amp;$A336)</f>
        <v>0</v>
      </c>
      <c r="E336" s="3" t="n">
        <f aca="false">IF(D336&gt;0,ROUNDUP(D336/Parametres!$B$7,0)+1,0)</f>
        <v>0</v>
      </c>
      <c r="F336" s="3" t="n">
        <f aca="false">SUMIFS(Equipes!$D$2:$D$60,Equipes!$A$2:$A$60,"LOT-03",Equipes!$B$2:$B$60,"&lt;="&amp;$A336,Equipes!$C$2:$C$60,"&gt;="&amp;$A336)</f>
        <v>0</v>
      </c>
      <c r="G336" s="3" t="n">
        <f aca="false">IF(F336&gt;0,ROUNDUP(F336/Parametres!$B$7,0)+1,0)</f>
        <v>0</v>
      </c>
      <c r="H336" s="3" t="n">
        <f aca="false">SUMIFS(Equipes!$D$2:$D$60,Equipes!$A$2:$A$60,"LOT-04",Equipes!$B$2:$B$60,"&lt;="&amp;$A336,Equipes!$C$2:$C$60,"&gt;="&amp;$A336)</f>
        <v>0</v>
      </c>
      <c r="I336" s="3" t="n">
        <f aca="false">IF(H336&gt;0,ROUNDUP(H336/Parametres!$B$7,0)+1,0)</f>
        <v>0</v>
      </c>
      <c r="J336" s="3" t="n">
        <f aca="false">SUMIFS(Equipes!$D$2:$D$60,Equipes!$A$2:$A$60,"LOT-05",Equipes!$B$2:$B$60,"&lt;="&amp;$A336,Equipes!$C$2:$C$60,"&gt;="&amp;$A336)</f>
        <v>0</v>
      </c>
      <c r="K336" s="3" t="n">
        <f aca="false">IF(J336&gt;0,ROUNDUP(J336/Parametres!$B$7,0)+1,0)</f>
        <v>0</v>
      </c>
      <c r="L336" s="3" t="n">
        <f aca="false">SUMIFS(Equipes!$D$2:$D$60,Equipes!$A$2:$A$60,"LOT-06",Equipes!$B$2:$B$60,"&lt;="&amp;$A336,Equipes!$C$2:$C$60,"&gt;="&amp;$A336)</f>
        <v>10</v>
      </c>
      <c r="M336" s="3" t="n">
        <f aca="false">IF(L336&gt;0,ROUNDUP(L336/Parametres!$B$7,0)+1,0)</f>
        <v>2</v>
      </c>
      <c r="N336" s="3" t="n">
        <f aca="false">SUMIFS(Equipes!$D$2:$D$60,Equipes!$A$2:$A$60,"LOT-07",Equipes!$B$2:$B$60,"&lt;="&amp;$A336,Equipes!$C$2:$C$60,"&gt;="&amp;$A336)</f>
        <v>0</v>
      </c>
      <c r="O336" s="3" t="n">
        <f aca="false">IF(N336&gt;0,ROUNDUP(N336/Parametres!$B$7,0)+1,0)</f>
        <v>0</v>
      </c>
      <c r="P336" s="3" t="n">
        <f aca="false">SUMIFS(Equipes!$D$2:$D$60,Equipes!$A$2:$A$60,"LOT-08",Equipes!$B$2:$B$60,"&lt;="&amp;$A336,Equipes!$C$2:$C$60,"&gt;="&amp;$A336)</f>
        <v>10</v>
      </c>
      <c r="Q336" s="3" t="n">
        <f aca="false">IF(P336&gt;0,ROUNDUP(P336/Parametres!$B$7,0)+1,0)</f>
        <v>2</v>
      </c>
    </row>
    <row r="337" customFormat="false" ht="15" hidden="false" customHeight="false" outlineLevel="0" collapsed="false">
      <c r="A337" s="2" t="n">
        <v>46418</v>
      </c>
      <c r="B337" s="3" t="n">
        <f aca="false">SUMIFS(Equipes!$D$2:$D$60,Equipes!$A$2:$A$60,"LOT-01",Equipes!$B$2:$B$60,"&lt;="&amp;$A337,Equipes!$C$2:$C$60,"&gt;="&amp;$A337)</f>
        <v>0</v>
      </c>
      <c r="C337" s="3" t="n">
        <f aca="false">IF(B337&gt;0,ROUNDUP(B337/Parametres!$B$7,0)+1,0)</f>
        <v>0</v>
      </c>
      <c r="D337" s="3" t="n">
        <f aca="false">SUMIFS(Equipes!$D$2:$D$60,Equipes!$A$2:$A$60,"LOT-02",Equipes!$B$2:$B$60,"&lt;="&amp;$A337,Equipes!$C$2:$C$60,"&gt;="&amp;$A337)</f>
        <v>0</v>
      </c>
      <c r="E337" s="3" t="n">
        <f aca="false">IF(D337&gt;0,ROUNDUP(D337/Parametres!$B$7,0)+1,0)</f>
        <v>0</v>
      </c>
      <c r="F337" s="3" t="n">
        <f aca="false">SUMIFS(Equipes!$D$2:$D$60,Equipes!$A$2:$A$60,"LOT-03",Equipes!$B$2:$B$60,"&lt;="&amp;$A337,Equipes!$C$2:$C$60,"&gt;="&amp;$A337)</f>
        <v>0</v>
      </c>
      <c r="G337" s="3" t="n">
        <f aca="false">IF(F337&gt;0,ROUNDUP(F337/Parametres!$B$7,0)+1,0)</f>
        <v>0</v>
      </c>
      <c r="H337" s="3" t="n">
        <f aca="false">SUMIFS(Equipes!$D$2:$D$60,Equipes!$A$2:$A$60,"LOT-04",Equipes!$B$2:$B$60,"&lt;="&amp;$A337,Equipes!$C$2:$C$60,"&gt;="&amp;$A337)</f>
        <v>0</v>
      </c>
      <c r="I337" s="3" t="n">
        <f aca="false">IF(H337&gt;0,ROUNDUP(H337/Parametres!$B$7,0)+1,0)</f>
        <v>0</v>
      </c>
      <c r="J337" s="3" t="n">
        <f aca="false">SUMIFS(Equipes!$D$2:$D$60,Equipes!$A$2:$A$60,"LOT-05",Equipes!$B$2:$B$60,"&lt;="&amp;$A337,Equipes!$C$2:$C$60,"&gt;="&amp;$A337)</f>
        <v>0</v>
      </c>
      <c r="K337" s="3" t="n">
        <f aca="false">IF(J337&gt;0,ROUNDUP(J337/Parametres!$B$7,0)+1,0)</f>
        <v>0</v>
      </c>
      <c r="L337" s="3" t="n">
        <f aca="false">SUMIFS(Equipes!$D$2:$D$60,Equipes!$A$2:$A$60,"LOT-06",Equipes!$B$2:$B$60,"&lt;="&amp;$A337,Equipes!$C$2:$C$60,"&gt;="&amp;$A337)</f>
        <v>10</v>
      </c>
      <c r="M337" s="3" t="n">
        <f aca="false">IF(L337&gt;0,ROUNDUP(L337/Parametres!$B$7,0)+1,0)</f>
        <v>2</v>
      </c>
      <c r="N337" s="3" t="n">
        <f aca="false">SUMIFS(Equipes!$D$2:$D$60,Equipes!$A$2:$A$60,"LOT-07",Equipes!$B$2:$B$60,"&lt;="&amp;$A337,Equipes!$C$2:$C$60,"&gt;="&amp;$A337)</f>
        <v>0</v>
      </c>
      <c r="O337" s="3" t="n">
        <f aca="false">IF(N337&gt;0,ROUNDUP(N337/Parametres!$B$7,0)+1,0)</f>
        <v>0</v>
      </c>
      <c r="P337" s="3" t="n">
        <f aca="false">SUMIFS(Equipes!$D$2:$D$60,Equipes!$A$2:$A$60,"LOT-08",Equipes!$B$2:$B$60,"&lt;="&amp;$A337,Equipes!$C$2:$C$60,"&gt;="&amp;$A337)</f>
        <v>10</v>
      </c>
      <c r="Q337" s="3" t="n">
        <f aca="false">IF(P337&gt;0,ROUNDUP(P337/Parametres!$B$7,0)+1,0)</f>
        <v>2</v>
      </c>
    </row>
    <row r="338" customFormat="false" ht="15" hidden="false" customHeight="false" outlineLevel="0" collapsed="false">
      <c r="A338" s="2" t="n">
        <v>46419</v>
      </c>
      <c r="B338" s="3" t="n">
        <f aca="false">SUMIFS(Equipes!$D$2:$D$60,Equipes!$A$2:$A$60,"LOT-01",Equipes!$B$2:$B$60,"&lt;="&amp;$A338,Equipes!$C$2:$C$60,"&gt;="&amp;$A338)</f>
        <v>0</v>
      </c>
      <c r="C338" s="3" t="n">
        <f aca="false">IF(B338&gt;0,ROUNDUP(B338/Parametres!$B$7,0)+1,0)</f>
        <v>0</v>
      </c>
      <c r="D338" s="3" t="n">
        <f aca="false">SUMIFS(Equipes!$D$2:$D$60,Equipes!$A$2:$A$60,"LOT-02",Equipes!$B$2:$B$60,"&lt;="&amp;$A338,Equipes!$C$2:$C$60,"&gt;="&amp;$A338)</f>
        <v>0</v>
      </c>
      <c r="E338" s="3" t="n">
        <f aca="false">IF(D338&gt;0,ROUNDUP(D338/Parametres!$B$7,0)+1,0)</f>
        <v>0</v>
      </c>
      <c r="F338" s="3" t="n">
        <f aca="false">SUMIFS(Equipes!$D$2:$D$60,Equipes!$A$2:$A$60,"LOT-03",Equipes!$B$2:$B$60,"&lt;="&amp;$A338,Equipes!$C$2:$C$60,"&gt;="&amp;$A338)</f>
        <v>0</v>
      </c>
      <c r="G338" s="3" t="n">
        <f aca="false">IF(F338&gt;0,ROUNDUP(F338/Parametres!$B$7,0)+1,0)</f>
        <v>0</v>
      </c>
      <c r="H338" s="3" t="n">
        <f aca="false">SUMIFS(Equipes!$D$2:$D$60,Equipes!$A$2:$A$60,"LOT-04",Equipes!$B$2:$B$60,"&lt;="&amp;$A338,Equipes!$C$2:$C$60,"&gt;="&amp;$A338)</f>
        <v>0</v>
      </c>
      <c r="I338" s="3" t="n">
        <f aca="false">IF(H338&gt;0,ROUNDUP(H338/Parametres!$B$7,0)+1,0)</f>
        <v>0</v>
      </c>
      <c r="J338" s="3" t="n">
        <f aca="false">SUMIFS(Equipes!$D$2:$D$60,Equipes!$A$2:$A$60,"LOT-05",Equipes!$B$2:$B$60,"&lt;="&amp;$A338,Equipes!$C$2:$C$60,"&gt;="&amp;$A338)</f>
        <v>0</v>
      </c>
      <c r="K338" s="3" t="n">
        <f aca="false">IF(J338&gt;0,ROUNDUP(J338/Parametres!$B$7,0)+1,0)</f>
        <v>0</v>
      </c>
      <c r="L338" s="3" t="n">
        <f aca="false">SUMIFS(Equipes!$D$2:$D$60,Equipes!$A$2:$A$60,"LOT-06",Equipes!$B$2:$B$60,"&lt;="&amp;$A338,Equipes!$C$2:$C$60,"&gt;="&amp;$A338)</f>
        <v>10</v>
      </c>
      <c r="M338" s="3" t="n">
        <f aca="false">IF(L338&gt;0,ROUNDUP(L338/Parametres!$B$7,0)+1,0)</f>
        <v>2</v>
      </c>
      <c r="N338" s="3" t="n">
        <f aca="false">SUMIFS(Equipes!$D$2:$D$60,Equipes!$A$2:$A$60,"LOT-07",Equipes!$B$2:$B$60,"&lt;="&amp;$A338,Equipes!$C$2:$C$60,"&gt;="&amp;$A338)</f>
        <v>0</v>
      </c>
      <c r="O338" s="3" t="n">
        <f aca="false">IF(N338&gt;0,ROUNDUP(N338/Parametres!$B$7,0)+1,0)</f>
        <v>0</v>
      </c>
      <c r="P338" s="3" t="n">
        <f aca="false">SUMIFS(Equipes!$D$2:$D$60,Equipes!$A$2:$A$60,"LOT-08",Equipes!$B$2:$B$60,"&lt;="&amp;$A338,Equipes!$C$2:$C$60,"&gt;="&amp;$A338)</f>
        <v>10</v>
      </c>
      <c r="Q338" s="3" t="n">
        <f aca="false">IF(P338&gt;0,ROUNDUP(P338/Parametres!$B$7,0)+1,0)</f>
        <v>2</v>
      </c>
    </row>
    <row r="339" customFormat="false" ht="15" hidden="false" customHeight="false" outlineLevel="0" collapsed="false">
      <c r="A339" s="2" t="n">
        <v>46420</v>
      </c>
      <c r="B339" s="3" t="n">
        <f aca="false">SUMIFS(Equipes!$D$2:$D$60,Equipes!$A$2:$A$60,"LOT-01",Equipes!$B$2:$B$60,"&lt;="&amp;$A339,Equipes!$C$2:$C$60,"&gt;="&amp;$A339)</f>
        <v>0</v>
      </c>
      <c r="C339" s="3" t="n">
        <f aca="false">IF(B339&gt;0,ROUNDUP(B339/Parametres!$B$7,0)+1,0)</f>
        <v>0</v>
      </c>
      <c r="D339" s="3" t="n">
        <f aca="false">SUMIFS(Equipes!$D$2:$D$60,Equipes!$A$2:$A$60,"LOT-02",Equipes!$B$2:$B$60,"&lt;="&amp;$A339,Equipes!$C$2:$C$60,"&gt;="&amp;$A339)</f>
        <v>0</v>
      </c>
      <c r="E339" s="3" t="n">
        <f aca="false">IF(D339&gt;0,ROUNDUP(D339/Parametres!$B$7,0)+1,0)</f>
        <v>0</v>
      </c>
      <c r="F339" s="3" t="n">
        <f aca="false">SUMIFS(Equipes!$D$2:$D$60,Equipes!$A$2:$A$60,"LOT-03",Equipes!$B$2:$B$60,"&lt;="&amp;$A339,Equipes!$C$2:$C$60,"&gt;="&amp;$A339)</f>
        <v>0</v>
      </c>
      <c r="G339" s="3" t="n">
        <f aca="false">IF(F339&gt;0,ROUNDUP(F339/Parametres!$B$7,0)+1,0)</f>
        <v>0</v>
      </c>
      <c r="H339" s="3" t="n">
        <f aca="false">SUMIFS(Equipes!$D$2:$D$60,Equipes!$A$2:$A$60,"LOT-04",Equipes!$B$2:$B$60,"&lt;="&amp;$A339,Equipes!$C$2:$C$60,"&gt;="&amp;$A339)</f>
        <v>0</v>
      </c>
      <c r="I339" s="3" t="n">
        <f aca="false">IF(H339&gt;0,ROUNDUP(H339/Parametres!$B$7,0)+1,0)</f>
        <v>0</v>
      </c>
      <c r="J339" s="3" t="n">
        <f aca="false">SUMIFS(Equipes!$D$2:$D$60,Equipes!$A$2:$A$60,"LOT-05",Equipes!$B$2:$B$60,"&lt;="&amp;$A339,Equipes!$C$2:$C$60,"&gt;="&amp;$A339)</f>
        <v>0</v>
      </c>
      <c r="K339" s="3" t="n">
        <f aca="false">IF(J339&gt;0,ROUNDUP(J339/Parametres!$B$7,0)+1,0)</f>
        <v>0</v>
      </c>
      <c r="L339" s="3" t="n">
        <f aca="false">SUMIFS(Equipes!$D$2:$D$60,Equipes!$A$2:$A$60,"LOT-06",Equipes!$B$2:$B$60,"&lt;="&amp;$A339,Equipes!$C$2:$C$60,"&gt;="&amp;$A339)</f>
        <v>10</v>
      </c>
      <c r="M339" s="3" t="n">
        <f aca="false">IF(L339&gt;0,ROUNDUP(L339/Parametres!$B$7,0)+1,0)</f>
        <v>2</v>
      </c>
      <c r="N339" s="3" t="n">
        <f aca="false">SUMIFS(Equipes!$D$2:$D$60,Equipes!$A$2:$A$60,"LOT-07",Equipes!$B$2:$B$60,"&lt;="&amp;$A339,Equipes!$C$2:$C$60,"&gt;="&amp;$A339)</f>
        <v>0</v>
      </c>
      <c r="O339" s="3" t="n">
        <f aca="false">IF(N339&gt;0,ROUNDUP(N339/Parametres!$B$7,0)+1,0)</f>
        <v>0</v>
      </c>
      <c r="P339" s="3" t="n">
        <f aca="false">SUMIFS(Equipes!$D$2:$D$60,Equipes!$A$2:$A$60,"LOT-08",Equipes!$B$2:$B$60,"&lt;="&amp;$A339,Equipes!$C$2:$C$60,"&gt;="&amp;$A339)</f>
        <v>10</v>
      </c>
      <c r="Q339" s="3" t="n">
        <f aca="false">IF(P339&gt;0,ROUNDUP(P339/Parametres!$B$7,0)+1,0)</f>
        <v>2</v>
      </c>
    </row>
    <row r="340" customFormat="false" ht="15" hidden="false" customHeight="false" outlineLevel="0" collapsed="false">
      <c r="A340" s="2" t="n">
        <v>46421</v>
      </c>
      <c r="B340" s="3" t="n">
        <f aca="false">SUMIFS(Equipes!$D$2:$D$60,Equipes!$A$2:$A$60,"LOT-01",Equipes!$B$2:$B$60,"&lt;="&amp;$A340,Equipes!$C$2:$C$60,"&gt;="&amp;$A340)</f>
        <v>0</v>
      </c>
      <c r="C340" s="3" t="n">
        <f aca="false">IF(B340&gt;0,ROUNDUP(B340/Parametres!$B$7,0)+1,0)</f>
        <v>0</v>
      </c>
      <c r="D340" s="3" t="n">
        <f aca="false">SUMIFS(Equipes!$D$2:$D$60,Equipes!$A$2:$A$60,"LOT-02",Equipes!$B$2:$B$60,"&lt;="&amp;$A340,Equipes!$C$2:$C$60,"&gt;="&amp;$A340)</f>
        <v>0</v>
      </c>
      <c r="E340" s="3" t="n">
        <f aca="false">IF(D340&gt;0,ROUNDUP(D340/Parametres!$B$7,0)+1,0)</f>
        <v>0</v>
      </c>
      <c r="F340" s="3" t="n">
        <f aca="false">SUMIFS(Equipes!$D$2:$D$60,Equipes!$A$2:$A$60,"LOT-03",Equipes!$B$2:$B$60,"&lt;="&amp;$A340,Equipes!$C$2:$C$60,"&gt;="&amp;$A340)</f>
        <v>0</v>
      </c>
      <c r="G340" s="3" t="n">
        <f aca="false">IF(F340&gt;0,ROUNDUP(F340/Parametres!$B$7,0)+1,0)</f>
        <v>0</v>
      </c>
      <c r="H340" s="3" t="n">
        <f aca="false">SUMIFS(Equipes!$D$2:$D$60,Equipes!$A$2:$A$60,"LOT-04",Equipes!$B$2:$B$60,"&lt;="&amp;$A340,Equipes!$C$2:$C$60,"&gt;="&amp;$A340)</f>
        <v>0</v>
      </c>
      <c r="I340" s="3" t="n">
        <f aca="false">IF(H340&gt;0,ROUNDUP(H340/Parametres!$B$7,0)+1,0)</f>
        <v>0</v>
      </c>
      <c r="J340" s="3" t="n">
        <f aca="false">SUMIFS(Equipes!$D$2:$D$60,Equipes!$A$2:$A$60,"LOT-05",Equipes!$B$2:$B$60,"&lt;="&amp;$A340,Equipes!$C$2:$C$60,"&gt;="&amp;$A340)</f>
        <v>0</v>
      </c>
      <c r="K340" s="3" t="n">
        <f aca="false">IF(J340&gt;0,ROUNDUP(J340/Parametres!$B$7,0)+1,0)</f>
        <v>0</v>
      </c>
      <c r="L340" s="3" t="n">
        <f aca="false">SUMIFS(Equipes!$D$2:$D$60,Equipes!$A$2:$A$60,"LOT-06",Equipes!$B$2:$B$60,"&lt;="&amp;$A340,Equipes!$C$2:$C$60,"&gt;="&amp;$A340)</f>
        <v>0</v>
      </c>
      <c r="M340" s="3" t="n">
        <f aca="false">IF(L340&gt;0,ROUNDUP(L340/Parametres!$B$7,0)+1,0)</f>
        <v>0</v>
      </c>
      <c r="N340" s="3" t="n">
        <f aca="false">SUMIFS(Equipes!$D$2:$D$60,Equipes!$A$2:$A$60,"LOT-07",Equipes!$B$2:$B$60,"&lt;="&amp;$A340,Equipes!$C$2:$C$60,"&gt;="&amp;$A340)</f>
        <v>0</v>
      </c>
      <c r="O340" s="3" t="n">
        <f aca="false">IF(N340&gt;0,ROUNDUP(N340/Parametres!$B$7,0)+1,0)</f>
        <v>0</v>
      </c>
      <c r="P340" s="3" t="n">
        <f aca="false">SUMIFS(Equipes!$D$2:$D$60,Equipes!$A$2:$A$60,"LOT-08",Equipes!$B$2:$B$60,"&lt;="&amp;$A340,Equipes!$C$2:$C$60,"&gt;="&amp;$A340)</f>
        <v>22</v>
      </c>
      <c r="Q340" s="3" t="n">
        <f aca="false">IF(P340&gt;0,ROUNDUP(P340/Parametres!$B$7,0)+1,0)</f>
        <v>3</v>
      </c>
    </row>
    <row r="341" customFormat="false" ht="15" hidden="false" customHeight="false" outlineLevel="0" collapsed="false">
      <c r="A341" s="2" t="n">
        <v>46422</v>
      </c>
      <c r="B341" s="3" t="n">
        <f aca="false">SUMIFS(Equipes!$D$2:$D$60,Equipes!$A$2:$A$60,"LOT-01",Equipes!$B$2:$B$60,"&lt;="&amp;$A341,Equipes!$C$2:$C$60,"&gt;="&amp;$A341)</f>
        <v>0</v>
      </c>
      <c r="C341" s="3" t="n">
        <f aca="false">IF(B341&gt;0,ROUNDUP(B341/Parametres!$B$7,0)+1,0)</f>
        <v>0</v>
      </c>
      <c r="D341" s="3" t="n">
        <f aca="false">SUMIFS(Equipes!$D$2:$D$60,Equipes!$A$2:$A$60,"LOT-02",Equipes!$B$2:$B$60,"&lt;="&amp;$A341,Equipes!$C$2:$C$60,"&gt;="&amp;$A341)</f>
        <v>0</v>
      </c>
      <c r="E341" s="3" t="n">
        <f aca="false">IF(D341&gt;0,ROUNDUP(D341/Parametres!$B$7,0)+1,0)</f>
        <v>0</v>
      </c>
      <c r="F341" s="3" t="n">
        <f aca="false">SUMIFS(Equipes!$D$2:$D$60,Equipes!$A$2:$A$60,"LOT-03",Equipes!$B$2:$B$60,"&lt;="&amp;$A341,Equipes!$C$2:$C$60,"&gt;="&amp;$A341)</f>
        <v>0</v>
      </c>
      <c r="G341" s="3" t="n">
        <f aca="false">IF(F341&gt;0,ROUNDUP(F341/Parametres!$B$7,0)+1,0)</f>
        <v>0</v>
      </c>
      <c r="H341" s="3" t="n">
        <f aca="false">SUMIFS(Equipes!$D$2:$D$60,Equipes!$A$2:$A$60,"LOT-04",Equipes!$B$2:$B$60,"&lt;="&amp;$A341,Equipes!$C$2:$C$60,"&gt;="&amp;$A341)</f>
        <v>0</v>
      </c>
      <c r="I341" s="3" t="n">
        <f aca="false">IF(H341&gt;0,ROUNDUP(H341/Parametres!$B$7,0)+1,0)</f>
        <v>0</v>
      </c>
      <c r="J341" s="3" t="n">
        <f aca="false">SUMIFS(Equipes!$D$2:$D$60,Equipes!$A$2:$A$60,"LOT-05",Equipes!$B$2:$B$60,"&lt;="&amp;$A341,Equipes!$C$2:$C$60,"&gt;="&amp;$A341)</f>
        <v>0</v>
      </c>
      <c r="K341" s="3" t="n">
        <f aca="false">IF(J341&gt;0,ROUNDUP(J341/Parametres!$B$7,0)+1,0)</f>
        <v>0</v>
      </c>
      <c r="L341" s="3" t="n">
        <f aca="false">SUMIFS(Equipes!$D$2:$D$60,Equipes!$A$2:$A$60,"LOT-06",Equipes!$B$2:$B$60,"&lt;="&amp;$A341,Equipes!$C$2:$C$60,"&gt;="&amp;$A341)</f>
        <v>0</v>
      </c>
      <c r="M341" s="3" t="n">
        <f aca="false">IF(L341&gt;0,ROUNDUP(L341/Parametres!$B$7,0)+1,0)</f>
        <v>0</v>
      </c>
      <c r="N341" s="3" t="n">
        <f aca="false">SUMIFS(Equipes!$D$2:$D$60,Equipes!$A$2:$A$60,"LOT-07",Equipes!$B$2:$B$60,"&lt;="&amp;$A341,Equipes!$C$2:$C$60,"&gt;="&amp;$A341)</f>
        <v>0</v>
      </c>
      <c r="O341" s="3" t="n">
        <f aca="false">IF(N341&gt;0,ROUNDUP(N341/Parametres!$B$7,0)+1,0)</f>
        <v>0</v>
      </c>
      <c r="P341" s="3" t="n">
        <f aca="false">SUMIFS(Equipes!$D$2:$D$60,Equipes!$A$2:$A$60,"LOT-08",Equipes!$B$2:$B$60,"&lt;="&amp;$A341,Equipes!$C$2:$C$60,"&gt;="&amp;$A341)</f>
        <v>22</v>
      </c>
      <c r="Q341" s="3" t="n">
        <f aca="false">IF(P341&gt;0,ROUNDUP(P341/Parametres!$B$7,0)+1,0)</f>
        <v>3</v>
      </c>
    </row>
    <row r="342" customFormat="false" ht="15" hidden="false" customHeight="false" outlineLevel="0" collapsed="false">
      <c r="A342" s="2" t="n">
        <v>46423</v>
      </c>
      <c r="B342" s="3" t="n">
        <f aca="false">SUMIFS(Equipes!$D$2:$D$60,Equipes!$A$2:$A$60,"LOT-01",Equipes!$B$2:$B$60,"&lt;="&amp;$A342,Equipes!$C$2:$C$60,"&gt;="&amp;$A342)</f>
        <v>0</v>
      </c>
      <c r="C342" s="3" t="n">
        <f aca="false">IF(B342&gt;0,ROUNDUP(B342/Parametres!$B$7,0)+1,0)</f>
        <v>0</v>
      </c>
      <c r="D342" s="3" t="n">
        <f aca="false">SUMIFS(Equipes!$D$2:$D$60,Equipes!$A$2:$A$60,"LOT-02",Equipes!$B$2:$B$60,"&lt;="&amp;$A342,Equipes!$C$2:$C$60,"&gt;="&amp;$A342)</f>
        <v>0</v>
      </c>
      <c r="E342" s="3" t="n">
        <f aca="false">IF(D342&gt;0,ROUNDUP(D342/Parametres!$B$7,0)+1,0)</f>
        <v>0</v>
      </c>
      <c r="F342" s="3" t="n">
        <f aca="false">SUMIFS(Equipes!$D$2:$D$60,Equipes!$A$2:$A$60,"LOT-03",Equipes!$B$2:$B$60,"&lt;="&amp;$A342,Equipes!$C$2:$C$60,"&gt;="&amp;$A342)</f>
        <v>0</v>
      </c>
      <c r="G342" s="3" t="n">
        <f aca="false">IF(F342&gt;0,ROUNDUP(F342/Parametres!$B$7,0)+1,0)</f>
        <v>0</v>
      </c>
      <c r="H342" s="3" t="n">
        <f aca="false">SUMIFS(Equipes!$D$2:$D$60,Equipes!$A$2:$A$60,"LOT-04",Equipes!$B$2:$B$60,"&lt;="&amp;$A342,Equipes!$C$2:$C$60,"&gt;="&amp;$A342)</f>
        <v>0</v>
      </c>
      <c r="I342" s="3" t="n">
        <f aca="false">IF(H342&gt;0,ROUNDUP(H342/Parametres!$B$7,0)+1,0)</f>
        <v>0</v>
      </c>
      <c r="J342" s="3" t="n">
        <f aca="false">SUMIFS(Equipes!$D$2:$D$60,Equipes!$A$2:$A$60,"LOT-05",Equipes!$B$2:$B$60,"&lt;="&amp;$A342,Equipes!$C$2:$C$60,"&gt;="&amp;$A342)</f>
        <v>0</v>
      </c>
      <c r="K342" s="3" t="n">
        <f aca="false">IF(J342&gt;0,ROUNDUP(J342/Parametres!$B$7,0)+1,0)</f>
        <v>0</v>
      </c>
      <c r="L342" s="3" t="n">
        <f aca="false">SUMIFS(Equipes!$D$2:$D$60,Equipes!$A$2:$A$60,"LOT-06",Equipes!$B$2:$B$60,"&lt;="&amp;$A342,Equipes!$C$2:$C$60,"&gt;="&amp;$A342)</f>
        <v>0</v>
      </c>
      <c r="M342" s="3" t="n">
        <f aca="false">IF(L342&gt;0,ROUNDUP(L342/Parametres!$B$7,0)+1,0)</f>
        <v>0</v>
      </c>
      <c r="N342" s="3" t="n">
        <f aca="false">SUMIFS(Equipes!$D$2:$D$60,Equipes!$A$2:$A$60,"LOT-07",Equipes!$B$2:$B$60,"&lt;="&amp;$A342,Equipes!$C$2:$C$60,"&gt;="&amp;$A342)</f>
        <v>0</v>
      </c>
      <c r="O342" s="3" t="n">
        <f aca="false">IF(N342&gt;0,ROUNDUP(N342/Parametres!$B$7,0)+1,0)</f>
        <v>0</v>
      </c>
      <c r="P342" s="3" t="n">
        <f aca="false">SUMIFS(Equipes!$D$2:$D$60,Equipes!$A$2:$A$60,"LOT-08",Equipes!$B$2:$B$60,"&lt;="&amp;$A342,Equipes!$C$2:$C$60,"&gt;="&amp;$A342)</f>
        <v>22</v>
      </c>
      <c r="Q342" s="3" t="n">
        <f aca="false">IF(P342&gt;0,ROUNDUP(P342/Parametres!$B$7,0)+1,0)</f>
        <v>3</v>
      </c>
    </row>
    <row r="343" customFormat="false" ht="15" hidden="false" customHeight="false" outlineLevel="0" collapsed="false">
      <c r="A343" s="2" t="n">
        <v>46424</v>
      </c>
      <c r="B343" s="3" t="n">
        <f aca="false">SUMIFS(Equipes!$D$2:$D$60,Equipes!$A$2:$A$60,"LOT-01",Equipes!$B$2:$B$60,"&lt;="&amp;$A343,Equipes!$C$2:$C$60,"&gt;="&amp;$A343)</f>
        <v>0</v>
      </c>
      <c r="C343" s="3" t="n">
        <f aca="false">IF(B343&gt;0,ROUNDUP(B343/Parametres!$B$7,0)+1,0)</f>
        <v>0</v>
      </c>
      <c r="D343" s="3" t="n">
        <f aca="false">SUMIFS(Equipes!$D$2:$D$60,Equipes!$A$2:$A$60,"LOT-02",Equipes!$B$2:$B$60,"&lt;="&amp;$A343,Equipes!$C$2:$C$60,"&gt;="&amp;$A343)</f>
        <v>0</v>
      </c>
      <c r="E343" s="3" t="n">
        <f aca="false">IF(D343&gt;0,ROUNDUP(D343/Parametres!$B$7,0)+1,0)</f>
        <v>0</v>
      </c>
      <c r="F343" s="3" t="n">
        <f aca="false">SUMIFS(Equipes!$D$2:$D$60,Equipes!$A$2:$A$60,"LOT-03",Equipes!$B$2:$B$60,"&lt;="&amp;$A343,Equipes!$C$2:$C$60,"&gt;="&amp;$A343)</f>
        <v>0</v>
      </c>
      <c r="G343" s="3" t="n">
        <f aca="false">IF(F343&gt;0,ROUNDUP(F343/Parametres!$B$7,0)+1,0)</f>
        <v>0</v>
      </c>
      <c r="H343" s="3" t="n">
        <f aca="false">SUMIFS(Equipes!$D$2:$D$60,Equipes!$A$2:$A$60,"LOT-04",Equipes!$B$2:$B$60,"&lt;="&amp;$A343,Equipes!$C$2:$C$60,"&gt;="&amp;$A343)</f>
        <v>0</v>
      </c>
      <c r="I343" s="3" t="n">
        <f aca="false">IF(H343&gt;0,ROUNDUP(H343/Parametres!$B$7,0)+1,0)</f>
        <v>0</v>
      </c>
      <c r="J343" s="3" t="n">
        <f aca="false">SUMIFS(Equipes!$D$2:$D$60,Equipes!$A$2:$A$60,"LOT-05",Equipes!$B$2:$B$60,"&lt;="&amp;$A343,Equipes!$C$2:$C$60,"&gt;="&amp;$A343)</f>
        <v>0</v>
      </c>
      <c r="K343" s="3" t="n">
        <f aca="false">IF(J343&gt;0,ROUNDUP(J343/Parametres!$B$7,0)+1,0)</f>
        <v>0</v>
      </c>
      <c r="L343" s="3" t="n">
        <f aca="false">SUMIFS(Equipes!$D$2:$D$60,Equipes!$A$2:$A$60,"LOT-06",Equipes!$B$2:$B$60,"&lt;="&amp;$A343,Equipes!$C$2:$C$60,"&gt;="&amp;$A343)</f>
        <v>0</v>
      </c>
      <c r="M343" s="3" t="n">
        <f aca="false">IF(L343&gt;0,ROUNDUP(L343/Parametres!$B$7,0)+1,0)</f>
        <v>0</v>
      </c>
      <c r="N343" s="3" t="n">
        <f aca="false">SUMIFS(Equipes!$D$2:$D$60,Equipes!$A$2:$A$60,"LOT-07",Equipes!$B$2:$B$60,"&lt;="&amp;$A343,Equipes!$C$2:$C$60,"&gt;="&amp;$A343)</f>
        <v>0</v>
      </c>
      <c r="O343" s="3" t="n">
        <f aca="false">IF(N343&gt;0,ROUNDUP(N343/Parametres!$B$7,0)+1,0)</f>
        <v>0</v>
      </c>
      <c r="P343" s="3" t="n">
        <f aca="false">SUMIFS(Equipes!$D$2:$D$60,Equipes!$A$2:$A$60,"LOT-08",Equipes!$B$2:$B$60,"&lt;="&amp;$A343,Equipes!$C$2:$C$60,"&gt;="&amp;$A343)</f>
        <v>22</v>
      </c>
      <c r="Q343" s="3" t="n">
        <f aca="false">IF(P343&gt;0,ROUNDUP(P343/Parametres!$B$7,0)+1,0)</f>
        <v>3</v>
      </c>
    </row>
    <row r="344" customFormat="false" ht="15" hidden="false" customHeight="false" outlineLevel="0" collapsed="false">
      <c r="A344" s="2" t="n">
        <v>46425</v>
      </c>
      <c r="B344" s="3" t="n">
        <f aca="false">SUMIFS(Equipes!$D$2:$D$60,Equipes!$A$2:$A$60,"LOT-01",Equipes!$B$2:$B$60,"&lt;="&amp;$A344,Equipes!$C$2:$C$60,"&gt;="&amp;$A344)</f>
        <v>0</v>
      </c>
      <c r="C344" s="3" t="n">
        <f aca="false">IF(B344&gt;0,ROUNDUP(B344/Parametres!$B$7,0)+1,0)</f>
        <v>0</v>
      </c>
      <c r="D344" s="3" t="n">
        <f aca="false">SUMIFS(Equipes!$D$2:$D$60,Equipes!$A$2:$A$60,"LOT-02",Equipes!$B$2:$B$60,"&lt;="&amp;$A344,Equipes!$C$2:$C$60,"&gt;="&amp;$A344)</f>
        <v>0</v>
      </c>
      <c r="E344" s="3" t="n">
        <f aca="false">IF(D344&gt;0,ROUNDUP(D344/Parametres!$B$7,0)+1,0)</f>
        <v>0</v>
      </c>
      <c r="F344" s="3" t="n">
        <f aca="false">SUMIFS(Equipes!$D$2:$D$60,Equipes!$A$2:$A$60,"LOT-03",Equipes!$B$2:$B$60,"&lt;="&amp;$A344,Equipes!$C$2:$C$60,"&gt;="&amp;$A344)</f>
        <v>0</v>
      </c>
      <c r="G344" s="3" t="n">
        <f aca="false">IF(F344&gt;0,ROUNDUP(F344/Parametres!$B$7,0)+1,0)</f>
        <v>0</v>
      </c>
      <c r="H344" s="3" t="n">
        <f aca="false">SUMIFS(Equipes!$D$2:$D$60,Equipes!$A$2:$A$60,"LOT-04",Equipes!$B$2:$B$60,"&lt;="&amp;$A344,Equipes!$C$2:$C$60,"&gt;="&amp;$A344)</f>
        <v>0</v>
      </c>
      <c r="I344" s="3" t="n">
        <f aca="false">IF(H344&gt;0,ROUNDUP(H344/Parametres!$B$7,0)+1,0)</f>
        <v>0</v>
      </c>
      <c r="J344" s="3" t="n">
        <f aca="false">SUMIFS(Equipes!$D$2:$D$60,Equipes!$A$2:$A$60,"LOT-05",Equipes!$B$2:$B$60,"&lt;="&amp;$A344,Equipes!$C$2:$C$60,"&gt;="&amp;$A344)</f>
        <v>0</v>
      </c>
      <c r="K344" s="3" t="n">
        <f aca="false">IF(J344&gt;0,ROUNDUP(J344/Parametres!$B$7,0)+1,0)</f>
        <v>0</v>
      </c>
      <c r="L344" s="3" t="n">
        <f aca="false">SUMIFS(Equipes!$D$2:$D$60,Equipes!$A$2:$A$60,"LOT-06",Equipes!$B$2:$B$60,"&lt;="&amp;$A344,Equipes!$C$2:$C$60,"&gt;="&amp;$A344)</f>
        <v>0</v>
      </c>
      <c r="M344" s="3" t="n">
        <f aca="false">IF(L344&gt;0,ROUNDUP(L344/Parametres!$B$7,0)+1,0)</f>
        <v>0</v>
      </c>
      <c r="N344" s="3" t="n">
        <f aca="false">SUMIFS(Equipes!$D$2:$D$60,Equipes!$A$2:$A$60,"LOT-07",Equipes!$B$2:$B$60,"&lt;="&amp;$A344,Equipes!$C$2:$C$60,"&gt;="&amp;$A344)</f>
        <v>0</v>
      </c>
      <c r="O344" s="3" t="n">
        <f aca="false">IF(N344&gt;0,ROUNDUP(N344/Parametres!$B$7,0)+1,0)</f>
        <v>0</v>
      </c>
      <c r="P344" s="3" t="n">
        <f aca="false">SUMIFS(Equipes!$D$2:$D$60,Equipes!$A$2:$A$60,"LOT-08",Equipes!$B$2:$B$60,"&lt;="&amp;$A344,Equipes!$C$2:$C$60,"&gt;="&amp;$A344)</f>
        <v>22</v>
      </c>
      <c r="Q344" s="3" t="n">
        <f aca="false">IF(P344&gt;0,ROUNDUP(P344/Parametres!$B$7,0)+1,0)</f>
        <v>3</v>
      </c>
    </row>
    <row r="345" customFormat="false" ht="15" hidden="false" customHeight="false" outlineLevel="0" collapsed="false">
      <c r="A345" s="2" t="n">
        <v>46426</v>
      </c>
      <c r="B345" s="3" t="n">
        <f aca="false">SUMIFS(Equipes!$D$2:$D$60,Equipes!$A$2:$A$60,"LOT-01",Equipes!$B$2:$B$60,"&lt;="&amp;$A345,Equipes!$C$2:$C$60,"&gt;="&amp;$A345)</f>
        <v>0</v>
      </c>
      <c r="C345" s="3" t="n">
        <f aca="false">IF(B345&gt;0,ROUNDUP(B345/Parametres!$B$7,0)+1,0)</f>
        <v>0</v>
      </c>
      <c r="D345" s="3" t="n">
        <f aca="false">SUMIFS(Equipes!$D$2:$D$60,Equipes!$A$2:$A$60,"LOT-02",Equipes!$B$2:$B$60,"&lt;="&amp;$A345,Equipes!$C$2:$C$60,"&gt;="&amp;$A345)</f>
        <v>0</v>
      </c>
      <c r="E345" s="3" t="n">
        <f aca="false">IF(D345&gt;0,ROUNDUP(D345/Parametres!$B$7,0)+1,0)</f>
        <v>0</v>
      </c>
      <c r="F345" s="3" t="n">
        <f aca="false">SUMIFS(Equipes!$D$2:$D$60,Equipes!$A$2:$A$60,"LOT-03",Equipes!$B$2:$B$60,"&lt;="&amp;$A345,Equipes!$C$2:$C$60,"&gt;="&amp;$A345)</f>
        <v>0</v>
      </c>
      <c r="G345" s="3" t="n">
        <f aca="false">IF(F345&gt;0,ROUNDUP(F345/Parametres!$B$7,0)+1,0)</f>
        <v>0</v>
      </c>
      <c r="H345" s="3" t="n">
        <f aca="false">SUMIFS(Equipes!$D$2:$D$60,Equipes!$A$2:$A$60,"LOT-04",Equipes!$B$2:$B$60,"&lt;="&amp;$A345,Equipes!$C$2:$C$60,"&gt;="&amp;$A345)</f>
        <v>0</v>
      </c>
      <c r="I345" s="3" t="n">
        <f aca="false">IF(H345&gt;0,ROUNDUP(H345/Parametres!$B$7,0)+1,0)</f>
        <v>0</v>
      </c>
      <c r="J345" s="3" t="n">
        <f aca="false">SUMIFS(Equipes!$D$2:$D$60,Equipes!$A$2:$A$60,"LOT-05",Equipes!$B$2:$B$60,"&lt;="&amp;$A345,Equipes!$C$2:$C$60,"&gt;="&amp;$A345)</f>
        <v>0</v>
      </c>
      <c r="K345" s="3" t="n">
        <f aca="false">IF(J345&gt;0,ROUNDUP(J345/Parametres!$B$7,0)+1,0)</f>
        <v>0</v>
      </c>
      <c r="L345" s="3" t="n">
        <f aca="false">SUMIFS(Equipes!$D$2:$D$60,Equipes!$A$2:$A$60,"LOT-06",Equipes!$B$2:$B$60,"&lt;="&amp;$A345,Equipes!$C$2:$C$60,"&gt;="&amp;$A345)</f>
        <v>0</v>
      </c>
      <c r="M345" s="3" t="n">
        <f aca="false">IF(L345&gt;0,ROUNDUP(L345/Parametres!$B$7,0)+1,0)</f>
        <v>0</v>
      </c>
      <c r="N345" s="3" t="n">
        <f aca="false">SUMIFS(Equipes!$D$2:$D$60,Equipes!$A$2:$A$60,"LOT-07",Equipes!$B$2:$B$60,"&lt;="&amp;$A345,Equipes!$C$2:$C$60,"&gt;="&amp;$A345)</f>
        <v>0</v>
      </c>
      <c r="O345" s="3" t="n">
        <f aca="false">IF(N345&gt;0,ROUNDUP(N345/Parametres!$B$7,0)+1,0)</f>
        <v>0</v>
      </c>
      <c r="P345" s="3" t="n">
        <f aca="false">SUMIFS(Equipes!$D$2:$D$60,Equipes!$A$2:$A$60,"LOT-08",Equipes!$B$2:$B$60,"&lt;="&amp;$A345,Equipes!$C$2:$C$60,"&gt;="&amp;$A345)</f>
        <v>22</v>
      </c>
      <c r="Q345" s="3" t="n">
        <f aca="false">IF(P345&gt;0,ROUNDUP(P345/Parametres!$B$7,0)+1,0)</f>
        <v>3</v>
      </c>
    </row>
    <row r="346" customFormat="false" ht="15" hidden="false" customHeight="false" outlineLevel="0" collapsed="false">
      <c r="A346" s="2" t="n">
        <v>46427</v>
      </c>
      <c r="B346" s="3" t="n">
        <f aca="false">SUMIFS(Equipes!$D$2:$D$60,Equipes!$A$2:$A$60,"LOT-01",Equipes!$B$2:$B$60,"&lt;="&amp;$A346,Equipes!$C$2:$C$60,"&gt;="&amp;$A346)</f>
        <v>0</v>
      </c>
      <c r="C346" s="3" t="n">
        <f aca="false">IF(B346&gt;0,ROUNDUP(B346/Parametres!$B$7,0)+1,0)</f>
        <v>0</v>
      </c>
      <c r="D346" s="3" t="n">
        <f aca="false">SUMIFS(Equipes!$D$2:$D$60,Equipes!$A$2:$A$60,"LOT-02",Equipes!$B$2:$B$60,"&lt;="&amp;$A346,Equipes!$C$2:$C$60,"&gt;="&amp;$A346)</f>
        <v>0</v>
      </c>
      <c r="E346" s="3" t="n">
        <f aca="false">IF(D346&gt;0,ROUNDUP(D346/Parametres!$B$7,0)+1,0)</f>
        <v>0</v>
      </c>
      <c r="F346" s="3" t="n">
        <f aca="false">SUMIFS(Equipes!$D$2:$D$60,Equipes!$A$2:$A$60,"LOT-03",Equipes!$B$2:$B$60,"&lt;="&amp;$A346,Equipes!$C$2:$C$60,"&gt;="&amp;$A346)</f>
        <v>0</v>
      </c>
      <c r="G346" s="3" t="n">
        <f aca="false">IF(F346&gt;0,ROUNDUP(F346/Parametres!$B$7,0)+1,0)</f>
        <v>0</v>
      </c>
      <c r="H346" s="3" t="n">
        <f aca="false">SUMIFS(Equipes!$D$2:$D$60,Equipes!$A$2:$A$60,"LOT-04",Equipes!$B$2:$B$60,"&lt;="&amp;$A346,Equipes!$C$2:$C$60,"&gt;="&amp;$A346)</f>
        <v>0</v>
      </c>
      <c r="I346" s="3" t="n">
        <f aca="false">IF(H346&gt;0,ROUNDUP(H346/Parametres!$B$7,0)+1,0)</f>
        <v>0</v>
      </c>
      <c r="J346" s="3" t="n">
        <f aca="false">SUMIFS(Equipes!$D$2:$D$60,Equipes!$A$2:$A$60,"LOT-05",Equipes!$B$2:$B$60,"&lt;="&amp;$A346,Equipes!$C$2:$C$60,"&gt;="&amp;$A346)</f>
        <v>0</v>
      </c>
      <c r="K346" s="3" t="n">
        <f aca="false">IF(J346&gt;0,ROUNDUP(J346/Parametres!$B$7,0)+1,0)</f>
        <v>0</v>
      </c>
      <c r="L346" s="3" t="n">
        <f aca="false">SUMIFS(Equipes!$D$2:$D$60,Equipes!$A$2:$A$60,"LOT-06",Equipes!$B$2:$B$60,"&lt;="&amp;$A346,Equipes!$C$2:$C$60,"&gt;="&amp;$A346)</f>
        <v>0</v>
      </c>
      <c r="M346" s="3" t="n">
        <f aca="false">IF(L346&gt;0,ROUNDUP(L346/Parametres!$B$7,0)+1,0)</f>
        <v>0</v>
      </c>
      <c r="N346" s="3" t="n">
        <f aca="false">SUMIFS(Equipes!$D$2:$D$60,Equipes!$A$2:$A$60,"LOT-07",Equipes!$B$2:$B$60,"&lt;="&amp;$A346,Equipes!$C$2:$C$60,"&gt;="&amp;$A346)</f>
        <v>0</v>
      </c>
      <c r="O346" s="3" t="n">
        <f aca="false">IF(N346&gt;0,ROUNDUP(N346/Parametres!$B$7,0)+1,0)</f>
        <v>0</v>
      </c>
      <c r="P346" s="3" t="n">
        <f aca="false">SUMIFS(Equipes!$D$2:$D$60,Equipes!$A$2:$A$60,"LOT-08",Equipes!$B$2:$B$60,"&lt;="&amp;$A346,Equipes!$C$2:$C$60,"&gt;="&amp;$A346)</f>
        <v>22</v>
      </c>
      <c r="Q346" s="3" t="n">
        <f aca="false">IF(P346&gt;0,ROUNDUP(P346/Parametres!$B$7,0)+1,0)</f>
        <v>3</v>
      </c>
    </row>
    <row r="347" customFormat="false" ht="15" hidden="false" customHeight="false" outlineLevel="0" collapsed="false">
      <c r="A347" s="2" t="n">
        <v>46428</v>
      </c>
      <c r="B347" s="3" t="n">
        <f aca="false">SUMIFS(Equipes!$D$2:$D$60,Equipes!$A$2:$A$60,"LOT-01",Equipes!$B$2:$B$60,"&lt;="&amp;$A347,Equipes!$C$2:$C$60,"&gt;="&amp;$A347)</f>
        <v>0</v>
      </c>
      <c r="C347" s="3" t="n">
        <f aca="false">IF(B347&gt;0,ROUNDUP(B347/Parametres!$B$7,0)+1,0)</f>
        <v>0</v>
      </c>
      <c r="D347" s="3" t="n">
        <f aca="false">SUMIFS(Equipes!$D$2:$D$60,Equipes!$A$2:$A$60,"LOT-02",Equipes!$B$2:$B$60,"&lt;="&amp;$A347,Equipes!$C$2:$C$60,"&gt;="&amp;$A347)</f>
        <v>0</v>
      </c>
      <c r="E347" s="3" t="n">
        <f aca="false">IF(D347&gt;0,ROUNDUP(D347/Parametres!$B$7,0)+1,0)</f>
        <v>0</v>
      </c>
      <c r="F347" s="3" t="n">
        <f aca="false">SUMIFS(Equipes!$D$2:$D$60,Equipes!$A$2:$A$60,"LOT-03",Equipes!$B$2:$B$60,"&lt;="&amp;$A347,Equipes!$C$2:$C$60,"&gt;="&amp;$A347)</f>
        <v>0</v>
      </c>
      <c r="G347" s="3" t="n">
        <f aca="false">IF(F347&gt;0,ROUNDUP(F347/Parametres!$B$7,0)+1,0)</f>
        <v>0</v>
      </c>
      <c r="H347" s="3" t="n">
        <f aca="false">SUMIFS(Equipes!$D$2:$D$60,Equipes!$A$2:$A$60,"LOT-04",Equipes!$B$2:$B$60,"&lt;="&amp;$A347,Equipes!$C$2:$C$60,"&gt;="&amp;$A347)</f>
        <v>0</v>
      </c>
      <c r="I347" s="3" t="n">
        <f aca="false">IF(H347&gt;0,ROUNDUP(H347/Parametres!$B$7,0)+1,0)</f>
        <v>0</v>
      </c>
      <c r="J347" s="3" t="n">
        <f aca="false">SUMIFS(Equipes!$D$2:$D$60,Equipes!$A$2:$A$60,"LOT-05",Equipes!$B$2:$B$60,"&lt;="&amp;$A347,Equipes!$C$2:$C$60,"&gt;="&amp;$A347)</f>
        <v>0</v>
      </c>
      <c r="K347" s="3" t="n">
        <f aca="false">IF(J347&gt;0,ROUNDUP(J347/Parametres!$B$7,0)+1,0)</f>
        <v>0</v>
      </c>
      <c r="L347" s="3" t="n">
        <f aca="false">SUMIFS(Equipes!$D$2:$D$60,Equipes!$A$2:$A$60,"LOT-06",Equipes!$B$2:$B$60,"&lt;="&amp;$A347,Equipes!$C$2:$C$60,"&gt;="&amp;$A347)</f>
        <v>0</v>
      </c>
      <c r="M347" s="3" t="n">
        <f aca="false">IF(L347&gt;0,ROUNDUP(L347/Parametres!$B$7,0)+1,0)</f>
        <v>0</v>
      </c>
      <c r="N347" s="3" t="n">
        <f aca="false">SUMIFS(Equipes!$D$2:$D$60,Equipes!$A$2:$A$60,"LOT-07",Equipes!$B$2:$B$60,"&lt;="&amp;$A347,Equipes!$C$2:$C$60,"&gt;="&amp;$A347)</f>
        <v>0</v>
      </c>
      <c r="O347" s="3" t="n">
        <f aca="false">IF(N347&gt;0,ROUNDUP(N347/Parametres!$B$7,0)+1,0)</f>
        <v>0</v>
      </c>
      <c r="P347" s="3" t="n">
        <f aca="false">SUMIFS(Equipes!$D$2:$D$60,Equipes!$A$2:$A$60,"LOT-08",Equipes!$B$2:$B$60,"&lt;="&amp;$A347,Equipes!$C$2:$C$60,"&gt;="&amp;$A347)</f>
        <v>22</v>
      </c>
      <c r="Q347" s="3" t="n">
        <f aca="false">IF(P347&gt;0,ROUNDUP(P347/Parametres!$B$7,0)+1,0)</f>
        <v>3</v>
      </c>
    </row>
    <row r="348" customFormat="false" ht="15" hidden="false" customHeight="false" outlineLevel="0" collapsed="false">
      <c r="A348" s="2" t="n">
        <v>46429</v>
      </c>
      <c r="B348" s="3" t="n">
        <f aca="false">SUMIFS(Equipes!$D$2:$D$60,Equipes!$A$2:$A$60,"LOT-01",Equipes!$B$2:$B$60,"&lt;="&amp;$A348,Equipes!$C$2:$C$60,"&gt;="&amp;$A348)</f>
        <v>0</v>
      </c>
      <c r="C348" s="3" t="n">
        <f aca="false">IF(B348&gt;0,ROUNDUP(B348/Parametres!$B$7,0)+1,0)</f>
        <v>0</v>
      </c>
      <c r="D348" s="3" t="n">
        <f aca="false">SUMIFS(Equipes!$D$2:$D$60,Equipes!$A$2:$A$60,"LOT-02",Equipes!$B$2:$B$60,"&lt;="&amp;$A348,Equipes!$C$2:$C$60,"&gt;="&amp;$A348)</f>
        <v>0</v>
      </c>
      <c r="E348" s="3" t="n">
        <f aca="false">IF(D348&gt;0,ROUNDUP(D348/Parametres!$B$7,0)+1,0)</f>
        <v>0</v>
      </c>
      <c r="F348" s="3" t="n">
        <f aca="false">SUMIFS(Equipes!$D$2:$D$60,Equipes!$A$2:$A$60,"LOT-03",Equipes!$B$2:$B$60,"&lt;="&amp;$A348,Equipes!$C$2:$C$60,"&gt;="&amp;$A348)</f>
        <v>0</v>
      </c>
      <c r="G348" s="3" t="n">
        <f aca="false">IF(F348&gt;0,ROUNDUP(F348/Parametres!$B$7,0)+1,0)</f>
        <v>0</v>
      </c>
      <c r="H348" s="3" t="n">
        <f aca="false">SUMIFS(Equipes!$D$2:$D$60,Equipes!$A$2:$A$60,"LOT-04",Equipes!$B$2:$B$60,"&lt;="&amp;$A348,Equipes!$C$2:$C$60,"&gt;="&amp;$A348)</f>
        <v>0</v>
      </c>
      <c r="I348" s="3" t="n">
        <f aca="false">IF(H348&gt;0,ROUNDUP(H348/Parametres!$B$7,0)+1,0)</f>
        <v>0</v>
      </c>
      <c r="J348" s="3" t="n">
        <f aca="false">SUMIFS(Equipes!$D$2:$D$60,Equipes!$A$2:$A$60,"LOT-05",Equipes!$B$2:$B$60,"&lt;="&amp;$A348,Equipes!$C$2:$C$60,"&gt;="&amp;$A348)</f>
        <v>0</v>
      </c>
      <c r="K348" s="3" t="n">
        <f aca="false">IF(J348&gt;0,ROUNDUP(J348/Parametres!$B$7,0)+1,0)</f>
        <v>0</v>
      </c>
      <c r="L348" s="3" t="n">
        <f aca="false">SUMIFS(Equipes!$D$2:$D$60,Equipes!$A$2:$A$60,"LOT-06",Equipes!$B$2:$B$60,"&lt;="&amp;$A348,Equipes!$C$2:$C$60,"&gt;="&amp;$A348)</f>
        <v>0</v>
      </c>
      <c r="M348" s="3" t="n">
        <f aca="false">IF(L348&gt;0,ROUNDUP(L348/Parametres!$B$7,0)+1,0)</f>
        <v>0</v>
      </c>
      <c r="N348" s="3" t="n">
        <f aca="false">SUMIFS(Equipes!$D$2:$D$60,Equipes!$A$2:$A$60,"LOT-07",Equipes!$B$2:$B$60,"&lt;="&amp;$A348,Equipes!$C$2:$C$60,"&gt;="&amp;$A348)</f>
        <v>0</v>
      </c>
      <c r="O348" s="3" t="n">
        <f aca="false">IF(N348&gt;0,ROUNDUP(N348/Parametres!$B$7,0)+1,0)</f>
        <v>0</v>
      </c>
      <c r="P348" s="3" t="n">
        <f aca="false">SUMIFS(Equipes!$D$2:$D$60,Equipes!$A$2:$A$60,"LOT-08",Equipes!$B$2:$B$60,"&lt;="&amp;$A348,Equipes!$C$2:$C$60,"&gt;="&amp;$A348)</f>
        <v>22</v>
      </c>
      <c r="Q348" s="3" t="n">
        <f aca="false">IF(P348&gt;0,ROUNDUP(P348/Parametres!$B$7,0)+1,0)</f>
        <v>3</v>
      </c>
    </row>
    <row r="349" customFormat="false" ht="15" hidden="false" customHeight="false" outlineLevel="0" collapsed="false">
      <c r="A349" s="2" t="n">
        <v>46430</v>
      </c>
      <c r="B349" s="3" t="n">
        <f aca="false">SUMIFS(Equipes!$D$2:$D$60,Equipes!$A$2:$A$60,"LOT-01",Equipes!$B$2:$B$60,"&lt;="&amp;$A349,Equipes!$C$2:$C$60,"&gt;="&amp;$A349)</f>
        <v>0</v>
      </c>
      <c r="C349" s="3" t="n">
        <f aca="false">IF(B349&gt;0,ROUNDUP(B349/Parametres!$B$7,0)+1,0)</f>
        <v>0</v>
      </c>
      <c r="D349" s="3" t="n">
        <f aca="false">SUMIFS(Equipes!$D$2:$D$60,Equipes!$A$2:$A$60,"LOT-02",Equipes!$B$2:$B$60,"&lt;="&amp;$A349,Equipes!$C$2:$C$60,"&gt;="&amp;$A349)</f>
        <v>0</v>
      </c>
      <c r="E349" s="3" t="n">
        <f aca="false">IF(D349&gt;0,ROUNDUP(D349/Parametres!$B$7,0)+1,0)</f>
        <v>0</v>
      </c>
      <c r="F349" s="3" t="n">
        <f aca="false">SUMIFS(Equipes!$D$2:$D$60,Equipes!$A$2:$A$60,"LOT-03",Equipes!$B$2:$B$60,"&lt;="&amp;$A349,Equipes!$C$2:$C$60,"&gt;="&amp;$A349)</f>
        <v>0</v>
      </c>
      <c r="G349" s="3" t="n">
        <f aca="false">IF(F349&gt;0,ROUNDUP(F349/Parametres!$B$7,0)+1,0)</f>
        <v>0</v>
      </c>
      <c r="H349" s="3" t="n">
        <f aca="false">SUMIFS(Equipes!$D$2:$D$60,Equipes!$A$2:$A$60,"LOT-04",Equipes!$B$2:$B$60,"&lt;="&amp;$A349,Equipes!$C$2:$C$60,"&gt;="&amp;$A349)</f>
        <v>0</v>
      </c>
      <c r="I349" s="3" t="n">
        <f aca="false">IF(H349&gt;0,ROUNDUP(H349/Parametres!$B$7,0)+1,0)</f>
        <v>0</v>
      </c>
      <c r="J349" s="3" t="n">
        <f aca="false">SUMIFS(Equipes!$D$2:$D$60,Equipes!$A$2:$A$60,"LOT-05",Equipes!$B$2:$B$60,"&lt;="&amp;$A349,Equipes!$C$2:$C$60,"&gt;="&amp;$A349)</f>
        <v>0</v>
      </c>
      <c r="K349" s="3" t="n">
        <f aca="false">IF(J349&gt;0,ROUNDUP(J349/Parametres!$B$7,0)+1,0)</f>
        <v>0</v>
      </c>
      <c r="L349" s="3" t="n">
        <f aca="false">SUMIFS(Equipes!$D$2:$D$60,Equipes!$A$2:$A$60,"LOT-06",Equipes!$B$2:$B$60,"&lt;="&amp;$A349,Equipes!$C$2:$C$60,"&gt;="&amp;$A349)</f>
        <v>0</v>
      </c>
      <c r="M349" s="3" t="n">
        <f aca="false">IF(L349&gt;0,ROUNDUP(L349/Parametres!$B$7,0)+1,0)</f>
        <v>0</v>
      </c>
      <c r="N349" s="3" t="n">
        <f aca="false">SUMIFS(Equipes!$D$2:$D$60,Equipes!$A$2:$A$60,"LOT-07",Equipes!$B$2:$B$60,"&lt;="&amp;$A349,Equipes!$C$2:$C$60,"&gt;="&amp;$A349)</f>
        <v>0</v>
      </c>
      <c r="O349" s="3" t="n">
        <f aca="false">IF(N349&gt;0,ROUNDUP(N349/Parametres!$B$7,0)+1,0)</f>
        <v>0</v>
      </c>
      <c r="P349" s="3" t="n">
        <f aca="false">SUMIFS(Equipes!$D$2:$D$60,Equipes!$A$2:$A$60,"LOT-08",Equipes!$B$2:$B$60,"&lt;="&amp;$A349,Equipes!$C$2:$C$60,"&gt;="&amp;$A349)</f>
        <v>22</v>
      </c>
      <c r="Q349" s="3" t="n">
        <f aca="false">IF(P349&gt;0,ROUNDUP(P349/Parametres!$B$7,0)+1,0)</f>
        <v>3</v>
      </c>
    </row>
    <row r="350" customFormat="false" ht="15" hidden="false" customHeight="false" outlineLevel="0" collapsed="false">
      <c r="A350" s="2" t="n">
        <v>46431</v>
      </c>
      <c r="B350" s="3" t="n">
        <f aca="false">SUMIFS(Equipes!$D$2:$D$60,Equipes!$A$2:$A$60,"LOT-01",Equipes!$B$2:$B$60,"&lt;="&amp;$A350,Equipes!$C$2:$C$60,"&gt;="&amp;$A350)</f>
        <v>0</v>
      </c>
      <c r="C350" s="3" t="n">
        <f aca="false">IF(B350&gt;0,ROUNDUP(B350/Parametres!$B$7,0)+1,0)</f>
        <v>0</v>
      </c>
      <c r="D350" s="3" t="n">
        <f aca="false">SUMIFS(Equipes!$D$2:$D$60,Equipes!$A$2:$A$60,"LOT-02",Equipes!$B$2:$B$60,"&lt;="&amp;$A350,Equipes!$C$2:$C$60,"&gt;="&amp;$A350)</f>
        <v>0</v>
      </c>
      <c r="E350" s="3" t="n">
        <f aca="false">IF(D350&gt;0,ROUNDUP(D350/Parametres!$B$7,0)+1,0)</f>
        <v>0</v>
      </c>
      <c r="F350" s="3" t="n">
        <f aca="false">SUMIFS(Equipes!$D$2:$D$60,Equipes!$A$2:$A$60,"LOT-03",Equipes!$B$2:$B$60,"&lt;="&amp;$A350,Equipes!$C$2:$C$60,"&gt;="&amp;$A350)</f>
        <v>0</v>
      </c>
      <c r="G350" s="3" t="n">
        <f aca="false">IF(F350&gt;0,ROUNDUP(F350/Parametres!$B$7,0)+1,0)</f>
        <v>0</v>
      </c>
      <c r="H350" s="3" t="n">
        <f aca="false">SUMIFS(Equipes!$D$2:$D$60,Equipes!$A$2:$A$60,"LOT-04",Equipes!$B$2:$B$60,"&lt;="&amp;$A350,Equipes!$C$2:$C$60,"&gt;="&amp;$A350)</f>
        <v>0</v>
      </c>
      <c r="I350" s="3" t="n">
        <f aca="false">IF(H350&gt;0,ROUNDUP(H350/Parametres!$B$7,0)+1,0)</f>
        <v>0</v>
      </c>
      <c r="J350" s="3" t="n">
        <f aca="false">SUMIFS(Equipes!$D$2:$D$60,Equipes!$A$2:$A$60,"LOT-05",Equipes!$B$2:$B$60,"&lt;="&amp;$A350,Equipes!$C$2:$C$60,"&gt;="&amp;$A350)</f>
        <v>0</v>
      </c>
      <c r="K350" s="3" t="n">
        <f aca="false">IF(J350&gt;0,ROUNDUP(J350/Parametres!$B$7,0)+1,0)</f>
        <v>0</v>
      </c>
      <c r="L350" s="3" t="n">
        <f aca="false">SUMIFS(Equipes!$D$2:$D$60,Equipes!$A$2:$A$60,"LOT-06",Equipes!$B$2:$B$60,"&lt;="&amp;$A350,Equipes!$C$2:$C$60,"&gt;="&amp;$A350)</f>
        <v>0</v>
      </c>
      <c r="M350" s="3" t="n">
        <f aca="false">IF(L350&gt;0,ROUNDUP(L350/Parametres!$B$7,0)+1,0)</f>
        <v>0</v>
      </c>
      <c r="N350" s="3" t="n">
        <f aca="false">SUMIFS(Equipes!$D$2:$D$60,Equipes!$A$2:$A$60,"LOT-07",Equipes!$B$2:$B$60,"&lt;="&amp;$A350,Equipes!$C$2:$C$60,"&gt;="&amp;$A350)</f>
        <v>0</v>
      </c>
      <c r="O350" s="3" t="n">
        <f aca="false">IF(N350&gt;0,ROUNDUP(N350/Parametres!$B$7,0)+1,0)</f>
        <v>0</v>
      </c>
      <c r="P350" s="3" t="n">
        <f aca="false">SUMIFS(Equipes!$D$2:$D$60,Equipes!$A$2:$A$60,"LOT-08",Equipes!$B$2:$B$60,"&lt;="&amp;$A350,Equipes!$C$2:$C$60,"&gt;="&amp;$A350)</f>
        <v>22</v>
      </c>
      <c r="Q350" s="3" t="n">
        <f aca="false">IF(P350&gt;0,ROUNDUP(P350/Parametres!$B$7,0)+1,0)</f>
        <v>3</v>
      </c>
    </row>
    <row r="351" customFormat="false" ht="15" hidden="false" customHeight="false" outlineLevel="0" collapsed="false">
      <c r="A351" s="2" t="n">
        <v>46432</v>
      </c>
      <c r="B351" s="3" t="n">
        <f aca="false">SUMIFS(Equipes!$D$2:$D$60,Equipes!$A$2:$A$60,"LOT-01",Equipes!$B$2:$B$60,"&lt;="&amp;$A351,Equipes!$C$2:$C$60,"&gt;="&amp;$A351)</f>
        <v>0</v>
      </c>
      <c r="C351" s="3" t="n">
        <f aca="false">IF(B351&gt;0,ROUNDUP(B351/Parametres!$B$7,0)+1,0)</f>
        <v>0</v>
      </c>
      <c r="D351" s="3" t="n">
        <f aca="false">SUMIFS(Equipes!$D$2:$D$60,Equipes!$A$2:$A$60,"LOT-02",Equipes!$B$2:$B$60,"&lt;="&amp;$A351,Equipes!$C$2:$C$60,"&gt;="&amp;$A351)</f>
        <v>0</v>
      </c>
      <c r="E351" s="3" t="n">
        <f aca="false">IF(D351&gt;0,ROUNDUP(D351/Parametres!$B$7,0)+1,0)</f>
        <v>0</v>
      </c>
      <c r="F351" s="3" t="n">
        <f aca="false">SUMIFS(Equipes!$D$2:$D$60,Equipes!$A$2:$A$60,"LOT-03",Equipes!$B$2:$B$60,"&lt;="&amp;$A351,Equipes!$C$2:$C$60,"&gt;="&amp;$A351)</f>
        <v>0</v>
      </c>
      <c r="G351" s="3" t="n">
        <f aca="false">IF(F351&gt;0,ROUNDUP(F351/Parametres!$B$7,0)+1,0)</f>
        <v>0</v>
      </c>
      <c r="H351" s="3" t="n">
        <f aca="false">SUMIFS(Equipes!$D$2:$D$60,Equipes!$A$2:$A$60,"LOT-04",Equipes!$B$2:$B$60,"&lt;="&amp;$A351,Equipes!$C$2:$C$60,"&gt;="&amp;$A351)</f>
        <v>0</v>
      </c>
      <c r="I351" s="3" t="n">
        <f aca="false">IF(H351&gt;0,ROUNDUP(H351/Parametres!$B$7,0)+1,0)</f>
        <v>0</v>
      </c>
      <c r="J351" s="3" t="n">
        <f aca="false">SUMIFS(Equipes!$D$2:$D$60,Equipes!$A$2:$A$60,"LOT-05",Equipes!$B$2:$B$60,"&lt;="&amp;$A351,Equipes!$C$2:$C$60,"&gt;="&amp;$A351)</f>
        <v>0</v>
      </c>
      <c r="K351" s="3" t="n">
        <f aca="false">IF(J351&gt;0,ROUNDUP(J351/Parametres!$B$7,0)+1,0)</f>
        <v>0</v>
      </c>
      <c r="L351" s="3" t="n">
        <f aca="false">SUMIFS(Equipes!$D$2:$D$60,Equipes!$A$2:$A$60,"LOT-06",Equipes!$B$2:$B$60,"&lt;="&amp;$A351,Equipes!$C$2:$C$60,"&gt;="&amp;$A351)</f>
        <v>0</v>
      </c>
      <c r="M351" s="3" t="n">
        <f aca="false">IF(L351&gt;0,ROUNDUP(L351/Parametres!$B$7,0)+1,0)</f>
        <v>0</v>
      </c>
      <c r="N351" s="3" t="n">
        <f aca="false">SUMIFS(Equipes!$D$2:$D$60,Equipes!$A$2:$A$60,"LOT-07",Equipes!$B$2:$B$60,"&lt;="&amp;$A351,Equipes!$C$2:$C$60,"&gt;="&amp;$A351)</f>
        <v>0</v>
      </c>
      <c r="O351" s="3" t="n">
        <f aca="false">IF(N351&gt;0,ROUNDUP(N351/Parametres!$B$7,0)+1,0)</f>
        <v>0</v>
      </c>
      <c r="P351" s="3" t="n">
        <f aca="false">SUMIFS(Equipes!$D$2:$D$60,Equipes!$A$2:$A$60,"LOT-08",Equipes!$B$2:$B$60,"&lt;="&amp;$A351,Equipes!$C$2:$C$60,"&gt;="&amp;$A351)</f>
        <v>22</v>
      </c>
      <c r="Q351" s="3" t="n">
        <f aca="false">IF(P351&gt;0,ROUNDUP(P351/Parametres!$B$7,0)+1,0)</f>
        <v>3</v>
      </c>
    </row>
    <row r="352" customFormat="false" ht="15" hidden="false" customHeight="false" outlineLevel="0" collapsed="false">
      <c r="A352" s="2" t="n">
        <v>46433</v>
      </c>
      <c r="B352" s="3" t="n">
        <f aca="false">SUMIFS(Equipes!$D$2:$D$60,Equipes!$A$2:$A$60,"LOT-01",Equipes!$B$2:$B$60,"&lt;="&amp;$A352,Equipes!$C$2:$C$60,"&gt;="&amp;$A352)</f>
        <v>0</v>
      </c>
      <c r="C352" s="3" t="n">
        <f aca="false">IF(B352&gt;0,ROUNDUP(B352/Parametres!$B$7,0)+1,0)</f>
        <v>0</v>
      </c>
      <c r="D352" s="3" t="n">
        <f aca="false">SUMIFS(Equipes!$D$2:$D$60,Equipes!$A$2:$A$60,"LOT-02",Equipes!$B$2:$B$60,"&lt;="&amp;$A352,Equipes!$C$2:$C$60,"&gt;="&amp;$A352)</f>
        <v>0</v>
      </c>
      <c r="E352" s="3" t="n">
        <f aca="false">IF(D352&gt;0,ROUNDUP(D352/Parametres!$B$7,0)+1,0)</f>
        <v>0</v>
      </c>
      <c r="F352" s="3" t="n">
        <f aca="false">SUMIFS(Equipes!$D$2:$D$60,Equipes!$A$2:$A$60,"LOT-03",Equipes!$B$2:$B$60,"&lt;="&amp;$A352,Equipes!$C$2:$C$60,"&gt;="&amp;$A352)</f>
        <v>0</v>
      </c>
      <c r="G352" s="3" t="n">
        <f aca="false">IF(F352&gt;0,ROUNDUP(F352/Parametres!$B$7,0)+1,0)</f>
        <v>0</v>
      </c>
      <c r="H352" s="3" t="n">
        <f aca="false">SUMIFS(Equipes!$D$2:$D$60,Equipes!$A$2:$A$60,"LOT-04",Equipes!$B$2:$B$60,"&lt;="&amp;$A352,Equipes!$C$2:$C$60,"&gt;="&amp;$A352)</f>
        <v>0</v>
      </c>
      <c r="I352" s="3" t="n">
        <f aca="false">IF(H352&gt;0,ROUNDUP(H352/Parametres!$B$7,0)+1,0)</f>
        <v>0</v>
      </c>
      <c r="J352" s="3" t="n">
        <f aca="false">SUMIFS(Equipes!$D$2:$D$60,Equipes!$A$2:$A$60,"LOT-05",Equipes!$B$2:$B$60,"&lt;="&amp;$A352,Equipes!$C$2:$C$60,"&gt;="&amp;$A352)</f>
        <v>0</v>
      </c>
      <c r="K352" s="3" t="n">
        <f aca="false">IF(J352&gt;0,ROUNDUP(J352/Parametres!$B$7,0)+1,0)</f>
        <v>0</v>
      </c>
      <c r="L352" s="3" t="n">
        <f aca="false">SUMIFS(Equipes!$D$2:$D$60,Equipes!$A$2:$A$60,"LOT-06",Equipes!$B$2:$B$60,"&lt;="&amp;$A352,Equipes!$C$2:$C$60,"&gt;="&amp;$A352)</f>
        <v>0</v>
      </c>
      <c r="M352" s="3" t="n">
        <f aca="false">IF(L352&gt;0,ROUNDUP(L352/Parametres!$B$7,0)+1,0)</f>
        <v>0</v>
      </c>
      <c r="N352" s="3" t="n">
        <f aca="false">SUMIFS(Equipes!$D$2:$D$60,Equipes!$A$2:$A$60,"LOT-07",Equipes!$B$2:$B$60,"&lt;="&amp;$A352,Equipes!$C$2:$C$60,"&gt;="&amp;$A352)</f>
        <v>0</v>
      </c>
      <c r="O352" s="3" t="n">
        <f aca="false">IF(N352&gt;0,ROUNDUP(N352/Parametres!$B$7,0)+1,0)</f>
        <v>0</v>
      </c>
      <c r="P352" s="3" t="n">
        <f aca="false">SUMIFS(Equipes!$D$2:$D$60,Equipes!$A$2:$A$60,"LOT-08",Equipes!$B$2:$B$60,"&lt;="&amp;$A352,Equipes!$C$2:$C$60,"&gt;="&amp;$A352)</f>
        <v>22</v>
      </c>
      <c r="Q352" s="3" t="n">
        <f aca="false">IF(P352&gt;0,ROUNDUP(P352/Parametres!$B$7,0)+1,0)</f>
        <v>3</v>
      </c>
    </row>
    <row r="353" customFormat="false" ht="15" hidden="false" customHeight="false" outlineLevel="0" collapsed="false">
      <c r="A353" s="2" t="n">
        <v>46434</v>
      </c>
      <c r="B353" s="3" t="n">
        <f aca="false">SUMIFS(Equipes!$D$2:$D$60,Equipes!$A$2:$A$60,"LOT-01",Equipes!$B$2:$B$60,"&lt;="&amp;$A353,Equipes!$C$2:$C$60,"&gt;="&amp;$A353)</f>
        <v>0</v>
      </c>
      <c r="C353" s="3" t="n">
        <f aca="false">IF(B353&gt;0,ROUNDUP(B353/Parametres!$B$7,0)+1,0)</f>
        <v>0</v>
      </c>
      <c r="D353" s="3" t="n">
        <f aca="false">SUMIFS(Equipes!$D$2:$D$60,Equipes!$A$2:$A$60,"LOT-02",Equipes!$B$2:$B$60,"&lt;="&amp;$A353,Equipes!$C$2:$C$60,"&gt;="&amp;$A353)</f>
        <v>0</v>
      </c>
      <c r="E353" s="3" t="n">
        <f aca="false">IF(D353&gt;0,ROUNDUP(D353/Parametres!$B$7,0)+1,0)</f>
        <v>0</v>
      </c>
      <c r="F353" s="3" t="n">
        <f aca="false">SUMIFS(Equipes!$D$2:$D$60,Equipes!$A$2:$A$60,"LOT-03",Equipes!$B$2:$B$60,"&lt;="&amp;$A353,Equipes!$C$2:$C$60,"&gt;="&amp;$A353)</f>
        <v>0</v>
      </c>
      <c r="G353" s="3" t="n">
        <f aca="false">IF(F353&gt;0,ROUNDUP(F353/Parametres!$B$7,0)+1,0)</f>
        <v>0</v>
      </c>
      <c r="H353" s="3" t="n">
        <f aca="false">SUMIFS(Equipes!$D$2:$D$60,Equipes!$A$2:$A$60,"LOT-04",Equipes!$B$2:$B$60,"&lt;="&amp;$A353,Equipes!$C$2:$C$60,"&gt;="&amp;$A353)</f>
        <v>0</v>
      </c>
      <c r="I353" s="3" t="n">
        <f aca="false">IF(H353&gt;0,ROUNDUP(H353/Parametres!$B$7,0)+1,0)</f>
        <v>0</v>
      </c>
      <c r="J353" s="3" t="n">
        <f aca="false">SUMIFS(Equipes!$D$2:$D$60,Equipes!$A$2:$A$60,"LOT-05",Equipes!$B$2:$B$60,"&lt;="&amp;$A353,Equipes!$C$2:$C$60,"&gt;="&amp;$A353)</f>
        <v>0</v>
      </c>
      <c r="K353" s="3" t="n">
        <f aca="false">IF(J353&gt;0,ROUNDUP(J353/Parametres!$B$7,0)+1,0)</f>
        <v>0</v>
      </c>
      <c r="L353" s="3" t="n">
        <f aca="false">SUMIFS(Equipes!$D$2:$D$60,Equipes!$A$2:$A$60,"LOT-06",Equipes!$B$2:$B$60,"&lt;="&amp;$A353,Equipes!$C$2:$C$60,"&gt;="&amp;$A353)</f>
        <v>0</v>
      </c>
      <c r="M353" s="3" t="n">
        <f aca="false">IF(L353&gt;0,ROUNDUP(L353/Parametres!$B$7,0)+1,0)</f>
        <v>0</v>
      </c>
      <c r="N353" s="3" t="n">
        <f aca="false">SUMIFS(Equipes!$D$2:$D$60,Equipes!$A$2:$A$60,"LOT-07",Equipes!$B$2:$B$60,"&lt;="&amp;$A353,Equipes!$C$2:$C$60,"&gt;="&amp;$A353)</f>
        <v>0</v>
      </c>
      <c r="O353" s="3" t="n">
        <f aca="false">IF(N353&gt;0,ROUNDUP(N353/Parametres!$B$7,0)+1,0)</f>
        <v>0</v>
      </c>
      <c r="P353" s="3" t="n">
        <f aca="false">SUMIFS(Equipes!$D$2:$D$60,Equipes!$A$2:$A$60,"LOT-08",Equipes!$B$2:$B$60,"&lt;="&amp;$A353,Equipes!$C$2:$C$60,"&gt;="&amp;$A353)</f>
        <v>22</v>
      </c>
      <c r="Q353" s="3" t="n">
        <f aca="false">IF(P353&gt;0,ROUNDUP(P353/Parametres!$B$7,0)+1,0)</f>
        <v>3</v>
      </c>
    </row>
    <row r="354" customFormat="false" ht="15" hidden="false" customHeight="false" outlineLevel="0" collapsed="false">
      <c r="A354" s="2" t="n">
        <v>46435</v>
      </c>
      <c r="B354" s="3" t="n">
        <f aca="false">SUMIFS(Equipes!$D$2:$D$60,Equipes!$A$2:$A$60,"LOT-01",Equipes!$B$2:$B$60,"&lt;="&amp;$A354,Equipes!$C$2:$C$60,"&gt;="&amp;$A354)</f>
        <v>0</v>
      </c>
      <c r="C354" s="3" t="n">
        <f aca="false">IF(B354&gt;0,ROUNDUP(B354/Parametres!$B$7,0)+1,0)</f>
        <v>0</v>
      </c>
      <c r="D354" s="3" t="n">
        <f aca="false">SUMIFS(Equipes!$D$2:$D$60,Equipes!$A$2:$A$60,"LOT-02",Equipes!$B$2:$B$60,"&lt;="&amp;$A354,Equipes!$C$2:$C$60,"&gt;="&amp;$A354)</f>
        <v>0</v>
      </c>
      <c r="E354" s="3" t="n">
        <f aca="false">IF(D354&gt;0,ROUNDUP(D354/Parametres!$B$7,0)+1,0)</f>
        <v>0</v>
      </c>
      <c r="F354" s="3" t="n">
        <f aca="false">SUMIFS(Equipes!$D$2:$D$60,Equipes!$A$2:$A$60,"LOT-03",Equipes!$B$2:$B$60,"&lt;="&amp;$A354,Equipes!$C$2:$C$60,"&gt;="&amp;$A354)</f>
        <v>0</v>
      </c>
      <c r="G354" s="3" t="n">
        <f aca="false">IF(F354&gt;0,ROUNDUP(F354/Parametres!$B$7,0)+1,0)</f>
        <v>0</v>
      </c>
      <c r="H354" s="3" t="n">
        <f aca="false">SUMIFS(Equipes!$D$2:$D$60,Equipes!$A$2:$A$60,"LOT-04",Equipes!$B$2:$B$60,"&lt;="&amp;$A354,Equipes!$C$2:$C$60,"&gt;="&amp;$A354)</f>
        <v>0</v>
      </c>
      <c r="I354" s="3" t="n">
        <f aca="false">IF(H354&gt;0,ROUNDUP(H354/Parametres!$B$7,0)+1,0)</f>
        <v>0</v>
      </c>
      <c r="J354" s="3" t="n">
        <f aca="false">SUMIFS(Equipes!$D$2:$D$60,Equipes!$A$2:$A$60,"LOT-05",Equipes!$B$2:$B$60,"&lt;="&amp;$A354,Equipes!$C$2:$C$60,"&gt;="&amp;$A354)</f>
        <v>0</v>
      </c>
      <c r="K354" s="3" t="n">
        <f aca="false">IF(J354&gt;0,ROUNDUP(J354/Parametres!$B$7,0)+1,0)</f>
        <v>0</v>
      </c>
      <c r="L354" s="3" t="n">
        <f aca="false">SUMIFS(Equipes!$D$2:$D$60,Equipes!$A$2:$A$60,"LOT-06",Equipes!$B$2:$B$60,"&lt;="&amp;$A354,Equipes!$C$2:$C$60,"&gt;="&amp;$A354)</f>
        <v>0</v>
      </c>
      <c r="M354" s="3" t="n">
        <f aca="false">IF(L354&gt;0,ROUNDUP(L354/Parametres!$B$7,0)+1,0)</f>
        <v>0</v>
      </c>
      <c r="N354" s="3" t="n">
        <f aca="false">SUMIFS(Equipes!$D$2:$D$60,Equipes!$A$2:$A$60,"LOT-07",Equipes!$B$2:$B$60,"&lt;="&amp;$A354,Equipes!$C$2:$C$60,"&gt;="&amp;$A354)</f>
        <v>0</v>
      </c>
      <c r="O354" s="3" t="n">
        <f aca="false">IF(N354&gt;0,ROUNDUP(N354/Parametres!$B$7,0)+1,0)</f>
        <v>0</v>
      </c>
      <c r="P354" s="3" t="n">
        <f aca="false">SUMIFS(Equipes!$D$2:$D$60,Equipes!$A$2:$A$60,"LOT-08",Equipes!$B$2:$B$60,"&lt;="&amp;$A354,Equipes!$C$2:$C$60,"&gt;="&amp;$A354)</f>
        <v>22</v>
      </c>
      <c r="Q354" s="3" t="n">
        <f aca="false">IF(P354&gt;0,ROUNDUP(P354/Parametres!$B$7,0)+1,0)</f>
        <v>3</v>
      </c>
    </row>
    <row r="355" customFormat="false" ht="15" hidden="false" customHeight="false" outlineLevel="0" collapsed="false">
      <c r="A355" s="2" t="n">
        <v>46436</v>
      </c>
      <c r="B355" s="3" t="n">
        <f aca="false">SUMIFS(Equipes!$D$2:$D$60,Equipes!$A$2:$A$60,"LOT-01",Equipes!$B$2:$B$60,"&lt;="&amp;$A355,Equipes!$C$2:$C$60,"&gt;="&amp;$A355)</f>
        <v>0</v>
      </c>
      <c r="C355" s="3" t="n">
        <f aca="false">IF(B355&gt;0,ROUNDUP(B355/Parametres!$B$7,0)+1,0)</f>
        <v>0</v>
      </c>
      <c r="D355" s="3" t="n">
        <f aca="false">SUMIFS(Equipes!$D$2:$D$60,Equipes!$A$2:$A$60,"LOT-02",Equipes!$B$2:$B$60,"&lt;="&amp;$A355,Equipes!$C$2:$C$60,"&gt;="&amp;$A355)</f>
        <v>0</v>
      </c>
      <c r="E355" s="3" t="n">
        <f aca="false">IF(D355&gt;0,ROUNDUP(D355/Parametres!$B$7,0)+1,0)</f>
        <v>0</v>
      </c>
      <c r="F355" s="3" t="n">
        <f aca="false">SUMIFS(Equipes!$D$2:$D$60,Equipes!$A$2:$A$60,"LOT-03",Equipes!$B$2:$B$60,"&lt;="&amp;$A355,Equipes!$C$2:$C$60,"&gt;="&amp;$A355)</f>
        <v>0</v>
      </c>
      <c r="G355" s="3" t="n">
        <f aca="false">IF(F355&gt;0,ROUNDUP(F355/Parametres!$B$7,0)+1,0)</f>
        <v>0</v>
      </c>
      <c r="H355" s="3" t="n">
        <f aca="false">SUMIFS(Equipes!$D$2:$D$60,Equipes!$A$2:$A$60,"LOT-04",Equipes!$B$2:$B$60,"&lt;="&amp;$A355,Equipes!$C$2:$C$60,"&gt;="&amp;$A355)</f>
        <v>0</v>
      </c>
      <c r="I355" s="3" t="n">
        <f aca="false">IF(H355&gt;0,ROUNDUP(H355/Parametres!$B$7,0)+1,0)</f>
        <v>0</v>
      </c>
      <c r="J355" s="3" t="n">
        <f aca="false">SUMIFS(Equipes!$D$2:$D$60,Equipes!$A$2:$A$60,"LOT-05",Equipes!$B$2:$B$60,"&lt;="&amp;$A355,Equipes!$C$2:$C$60,"&gt;="&amp;$A355)</f>
        <v>0</v>
      </c>
      <c r="K355" s="3" t="n">
        <f aca="false">IF(J355&gt;0,ROUNDUP(J355/Parametres!$B$7,0)+1,0)</f>
        <v>0</v>
      </c>
      <c r="L355" s="3" t="n">
        <f aca="false">SUMIFS(Equipes!$D$2:$D$60,Equipes!$A$2:$A$60,"LOT-06",Equipes!$B$2:$B$60,"&lt;="&amp;$A355,Equipes!$C$2:$C$60,"&gt;="&amp;$A355)</f>
        <v>0</v>
      </c>
      <c r="M355" s="3" t="n">
        <f aca="false">IF(L355&gt;0,ROUNDUP(L355/Parametres!$B$7,0)+1,0)</f>
        <v>0</v>
      </c>
      <c r="N355" s="3" t="n">
        <f aca="false">SUMIFS(Equipes!$D$2:$D$60,Equipes!$A$2:$A$60,"LOT-07",Equipes!$B$2:$B$60,"&lt;="&amp;$A355,Equipes!$C$2:$C$60,"&gt;="&amp;$A355)</f>
        <v>0</v>
      </c>
      <c r="O355" s="3" t="n">
        <f aca="false">IF(N355&gt;0,ROUNDUP(N355/Parametres!$B$7,0)+1,0)</f>
        <v>0</v>
      </c>
      <c r="P355" s="3" t="n">
        <f aca="false">SUMIFS(Equipes!$D$2:$D$60,Equipes!$A$2:$A$60,"LOT-08",Equipes!$B$2:$B$60,"&lt;="&amp;$A355,Equipes!$C$2:$C$60,"&gt;="&amp;$A355)</f>
        <v>22</v>
      </c>
      <c r="Q355" s="3" t="n">
        <f aca="false">IF(P355&gt;0,ROUNDUP(P355/Parametres!$B$7,0)+1,0)</f>
        <v>3</v>
      </c>
    </row>
    <row r="356" customFormat="false" ht="15" hidden="false" customHeight="false" outlineLevel="0" collapsed="false">
      <c r="A356" s="2" t="n">
        <v>46437</v>
      </c>
      <c r="B356" s="3" t="n">
        <f aca="false">SUMIFS(Equipes!$D$2:$D$60,Equipes!$A$2:$A$60,"LOT-01",Equipes!$B$2:$B$60,"&lt;="&amp;$A356,Equipes!$C$2:$C$60,"&gt;="&amp;$A356)</f>
        <v>0</v>
      </c>
      <c r="C356" s="3" t="n">
        <f aca="false">IF(B356&gt;0,ROUNDUP(B356/Parametres!$B$7,0)+1,0)</f>
        <v>0</v>
      </c>
      <c r="D356" s="3" t="n">
        <f aca="false">SUMIFS(Equipes!$D$2:$D$60,Equipes!$A$2:$A$60,"LOT-02",Equipes!$B$2:$B$60,"&lt;="&amp;$A356,Equipes!$C$2:$C$60,"&gt;="&amp;$A356)</f>
        <v>0</v>
      </c>
      <c r="E356" s="3" t="n">
        <f aca="false">IF(D356&gt;0,ROUNDUP(D356/Parametres!$B$7,0)+1,0)</f>
        <v>0</v>
      </c>
      <c r="F356" s="3" t="n">
        <f aca="false">SUMIFS(Equipes!$D$2:$D$60,Equipes!$A$2:$A$60,"LOT-03",Equipes!$B$2:$B$60,"&lt;="&amp;$A356,Equipes!$C$2:$C$60,"&gt;="&amp;$A356)</f>
        <v>0</v>
      </c>
      <c r="G356" s="3" t="n">
        <f aca="false">IF(F356&gt;0,ROUNDUP(F356/Parametres!$B$7,0)+1,0)</f>
        <v>0</v>
      </c>
      <c r="H356" s="3" t="n">
        <f aca="false">SUMIFS(Equipes!$D$2:$D$60,Equipes!$A$2:$A$60,"LOT-04",Equipes!$B$2:$B$60,"&lt;="&amp;$A356,Equipes!$C$2:$C$60,"&gt;="&amp;$A356)</f>
        <v>0</v>
      </c>
      <c r="I356" s="3" t="n">
        <f aca="false">IF(H356&gt;0,ROUNDUP(H356/Parametres!$B$7,0)+1,0)</f>
        <v>0</v>
      </c>
      <c r="J356" s="3" t="n">
        <f aca="false">SUMIFS(Equipes!$D$2:$D$60,Equipes!$A$2:$A$60,"LOT-05",Equipes!$B$2:$B$60,"&lt;="&amp;$A356,Equipes!$C$2:$C$60,"&gt;="&amp;$A356)</f>
        <v>0</v>
      </c>
      <c r="K356" s="3" t="n">
        <f aca="false">IF(J356&gt;0,ROUNDUP(J356/Parametres!$B$7,0)+1,0)</f>
        <v>0</v>
      </c>
      <c r="L356" s="3" t="n">
        <f aca="false">SUMIFS(Equipes!$D$2:$D$60,Equipes!$A$2:$A$60,"LOT-06",Equipes!$B$2:$B$60,"&lt;="&amp;$A356,Equipes!$C$2:$C$60,"&gt;="&amp;$A356)</f>
        <v>0</v>
      </c>
      <c r="M356" s="3" t="n">
        <f aca="false">IF(L356&gt;0,ROUNDUP(L356/Parametres!$B$7,0)+1,0)</f>
        <v>0</v>
      </c>
      <c r="N356" s="3" t="n">
        <f aca="false">SUMIFS(Equipes!$D$2:$D$60,Equipes!$A$2:$A$60,"LOT-07",Equipes!$B$2:$B$60,"&lt;="&amp;$A356,Equipes!$C$2:$C$60,"&gt;="&amp;$A356)</f>
        <v>0</v>
      </c>
      <c r="O356" s="3" t="n">
        <f aca="false">IF(N356&gt;0,ROUNDUP(N356/Parametres!$B$7,0)+1,0)</f>
        <v>0</v>
      </c>
      <c r="P356" s="3" t="n">
        <f aca="false">SUMIFS(Equipes!$D$2:$D$60,Equipes!$A$2:$A$60,"LOT-08",Equipes!$B$2:$B$60,"&lt;="&amp;$A356,Equipes!$C$2:$C$60,"&gt;="&amp;$A356)</f>
        <v>22</v>
      </c>
      <c r="Q356" s="3" t="n">
        <f aca="false">IF(P356&gt;0,ROUNDUP(P356/Parametres!$B$7,0)+1,0)</f>
        <v>3</v>
      </c>
    </row>
    <row r="357" customFormat="false" ht="15" hidden="false" customHeight="false" outlineLevel="0" collapsed="false">
      <c r="A357" s="2" t="n">
        <v>46438</v>
      </c>
      <c r="B357" s="3" t="n">
        <f aca="false">SUMIFS(Equipes!$D$2:$D$60,Equipes!$A$2:$A$60,"LOT-01",Equipes!$B$2:$B$60,"&lt;="&amp;$A357,Equipes!$C$2:$C$60,"&gt;="&amp;$A357)</f>
        <v>0</v>
      </c>
      <c r="C357" s="3" t="n">
        <f aca="false">IF(B357&gt;0,ROUNDUP(B357/Parametres!$B$7,0)+1,0)</f>
        <v>0</v>
      </c>
      <c r="D357" s="3" t="n">
        <f aca="false">SUMIFS(Equipes!$D$2:$D$60,Equipes!$A$2:$A$60,"LOT-02",Equipes!$B$2:$B$60,"&lt;="&amp;$A357,Equipes!$C$2:$C$60,"&gt;="&amp;$A357)</f>
        <v>0</v>
      </c>
      <c r="E357" s="3" t="n">
        <f aca="false">IF(D357&gt;0,ROUNDUP(D357/Parametres!$B$7,0)+1,0)</f>
        <v>0</v>
      </c>
      <c r="F357" s="3" t="n">
        <f aca="false">SUMIFS(Equipes!$D$2:$D$60,Equipes!$A$2:$A$60,"LOT-03",Equipes!$B$2:$B$60,"&lt;="&amp;$A357,Equipes!$C$2:$C$60,"&gt;="&amp;$A357)</f>
        <v>0</v>
      </c>
      <c r="G357" s="3" t="n">
        <f aca="false">IF(F357&gt;0,ROUNDUP(F357/Parametres!$B$7,0)+1,0)</f>
        <v>0</v>
      </c>
      <c r="H357" s="3" t="n">
        <f aca="false">SUMIFS(Equipes!$D$2:$D$60,Equipes!$A$2:$A$60,"LOT-04",Equipes!$B$2:$B$60,"&lt;="&amp;$A357,Equipes!$C$2:$C$60,"&gt;="&amp;$A357)</f>
        <v>0</v>
      </c>
      <c r="I357" s="3" t="n">
        <f aca="false">IF(H357&gt;0,ROUNDUP(H357/Parametres!$B$7,0)+1,0)</f>
        <v>0</v>
      </c>
      <c r="J357" s="3" t="n">
        <f aca="false">SUMIFS(Equipes!$D$2:$D$60,Equipes!$A$2:$A$60,"LOT-05",Equipes!$B$2:$B$60,"&lt;="&amp;$A357,Equipes!$C$2:$C$60,"&gt;="&amp;$A357)</f>
        <v>0</v>
      </c>
      <c r="K357" s="3" t="n">
        <f aca="false">IF(J357&gt;0,ROUNDUP(J357/Parametres!$B$7,0)+1,0)</f>
        <v>0</v>
      </c>
      <c r="L357" s="3" t="n">
        <f aca="false">SUMIFS(Equipes!$D$2:$D$60,Equipes!$A$2:$A$60,"LOT-06",Equipes!$B$2:$B$60,"&lt;="&amp;$A357,Equipes!$C$2:$C$60,"&gt;="&amp;$A357)</f>
        <v>0</v>
      </c>
      <c r="M357" s="3" t="n">
        <f aca="false">IF(L357&gt;0,ROUNDUP(L357/Parametres!$B$7,0)+1,0)</f>
        <v>0</v>
      </c>
      <c r="N357" s="3" t="n">
        <f aca="false">SUMIFS(Equipes!$D$2:$D$60,Equipes!$A$2:$A$60,"LOT-07",Equipes!$B$2:$B$60,"&lt;="&amp;$A357,Equipes!$C$2:$C$60,"&gt;="&amp;$A357)</f>
        <v>0</v>
      </c>
      <c r="O357" s="3" t="n">
        <f aca="false">IF(N357&gt;0,ROUNDUP(N357/Parametres!$B$7,0)+1,0)</f>
        <v>0</v>
      </c>
      <c r="P357" s="3" t="n">
        <f aca="false">SUMIFS(Equipes!$D$2:$D$60,Equipes!$A$2:$A$60,"LOT-08",Equipes!$B$2:$B$60,"&lt;="&amp;$A357,Equipes!$C$2:$C$60,"&gt;="&amp;$A357)</f>
        <v>22</v>
      </c>
      <c r="Q357" s="3" t="n">
        <f aca="false">IF(P357&gt;0,ROUNDUP(P357/Parametres!$B$7,0)+1,0)</f>
        <v>3</v>
      </c>
    </row>
    <row r="358" customFormat="false" ht="15" hidden="false" customHeight="false" outlineLevel="0" collapsed="false">
      <c r="A358" s="2" t="n">
        <v>46439</v>
      </c>
      <c r="B358" s="3" t="n">
        <f aca="false">SUMIFS(Equipes!$D$2:$D$60,Equipes!$A$2:$A$60,"LOT-01",Equipes!$B$2:$B$60,"&lt;="&amp;$A358,Equipes!$C$2:$C$60,"&gt;="&amp;$A358)</f>
        <v>0</v>
      </c>
      <c r="C358" s="3" t="n">
        <f aca="false">IF(B358&gt;0,ROUNDUP(B358/Parametres!$B$7,0)+1,0)</f>
        <v>0</v>
      </c>
      <c r="D358" s="3" t="n">
        <f aca="false">SUMIFS(Equipes!$D$2:$D$60,Equipes!$A$2:$A$60,"LOT-02",Equipes!$B$2:$B$60,"&lt;="&amp;$A358,Equipes!$C$2:$C$60,"&gt;="&amp;$A358)</f>
        <v>0</v>
      </c>
      <c r="E358" s="3" t="n">
        <f aca="false">IF(D358&gt;0,ROUNDUP(D358/Parametres!$B$7,0)+1,0)</f>
        <v>0</v>
      </c>
      <c r="F358" s="3" t="n">
        <f aca="false">SUMIFS(Equipes!$D$2:$D$60,Equipes!$A$2:$A$60,"LOT-03",Equipes!$B$2:$B$60,"&lt;="&amp;$A358,Equipes!$C$2:$C$60,"&gt;="&amp;$A358)</f>
        <v>0</v>
      </c>
      <c r="G358" s="3" t="n">
        <f aca="false">IF(F358&gt;0,ROUNDUP(F358/Parametres!$B$7,0)+1,0)</f>
        <v>0</v>
      </c>
      <c r="H358" s="3" t="n">
        <f aca="false">SUMIFS(Equipes!$D$2:$D$60,Equipes!$A$2:$A$60,"LOT-04",Equipes!$B$2:$B$60,"&lt;="&amp;$A358,Equipes!$C$2:$C$60,"&gt;="&amp;$A358)</f>
        <v>0</v>
      </c>
      <c r="I358" s="3" t="n">
        <f aca="false">IF(H358&gt;0,ROUNDUP(H358/Parametres!$B$7,0)+1,0)</f>
        <v>0</v>
      </c>
      <c r="J358" s="3" t="n">
        <f aca="false">SUMIFS(Equipes!$D$2:$D$60,Equipes!$A$2:$A$60,"LOT-05",Equipes!$B$2:$B$60,"&lt;="&amp;$A358,Equipes!$C$2:$C$60,"&gt;="&amp;$A358)</f>
        <v>0</v>
      </c>
      <c r="K358" s="3" t="n">
        <f aca="false">IF(J358&gt;0,ROUNDUP(J358/Parametres!$B$7,0)+1,0)</f>
        <v>0</v>
      </c>
      <c r="L358" s="3" t="n">
        <f aca="false">SUMIFS(Equipes!$D$2:$D$60,Equipes!$A$2:$A$60,"LOT-06",Equipes!$B$2:$B$60,"&lt;="&amp;$A358,Equipes!$C$2:$C$60,"&gt;="&amp;$A358)</f>
        <v>0</v>
      </c>
      <c r="M358" s="3" t="n">
        <f aca="false">IF(L358&gt;0,ROUNDUP(L358/Parametres!$B$7,0)+1,0)</f>
        <v>0</v>
      </c>
      <c r="N358" s="3" t="n">
        <f aca="false">SUMIFS(Equipes!$D$2:$D$60,Equipes!$A$2:$A$60,"LOT-07",Equipes!$B$2:$B$60,"&lt;="&amp;$A358,Equipes!$C$2:$C$60,"&gt;="&amp;$A358)</f>
        <v>0</v>
      </c>
      <c r="O358" s="3" t="n">
        <f aca="false">IF(N358&gt;0,ROUNDUP(N358/Parametres!$B$7,0)+1,0)</f>
        <v>0</v>
      </c>
      <c r="P358" s="3" t="n">
        <f aca="false">SUMIFS(Equipes!$D$2:$D$60,Equipes!$A$2:$A$60,"LOT-08",Equipes!$B$2:$B$60,"&lt;="&amp;$A358,Equipes!$C$2:$C$60,"&gt;="&amp;$A358)</f>
        <v>22</v>
      </c>
      <c r="Q358" s="3" t="n">
        <f aca="false">IF(P358&gt;0,ROUNDUP(P358/Parametres!$B$7,0)+1,0)</f>
        <v>3</v>
      </c>
    </row>
    <row r="359" customFormat="false" ht="15" hidden="false" customHeight="false" outlineLevel="0" collapsed="false">
      <c r="A359" s="2" t="n">
        <v>46440</v>
      </c>
      <c r="B359" s="3" t="n">
        <f aca="false">SUMIFS(Equipes!$D$2:$D$60,Equipes!$A$2:$A$60,"LOT-01",Equipes!$B$2:$B$60,"&lt;="&amp;$A359,Equipes!$C$2:$C$60,"&gt;="&amp;$A359)</f>
        <v>0</v>
      </c>
      <c r="C359" s="3" t="n">
        <f aca="false">IF(B359&gt;0,ROUNDUP(B359/Parametres!$B$7,0)+1,0)</f>
        <v>0</v>
      </c>
      <c r="D359" s="3" t="n">
        <f aca="false">SUMIFS(Equipes!$D$2:$D$60,Equipes!$A$2:$A$60,"LOT-02",Equipes!$B$2:$B$60,"&lt;="&amp;$A359,Equipes!$C$2:$C$60,"&gt;="&amp;$A359)</f>
        <v>0</v>
      </c>
      <c r="E359" s="3" t="n">
        <f aca="false">IF(D359&gt;0,ROUNDUP(D359/Parametres!$B$7,0)+1,0)</f>
        <v>0</v>
      </c>
      <c r="F359" s="3" t="n">
        <f aca="false">SUMIFS(Equipes!$D$2:$D$60,Equipes!$A$2:$A$60,"LOT-03",Equipes!$B$2:$B$60,"&lt;="&amp;$A359,Equipes!$C$2:$C$60,"&gt;="&amp;$A359)</f>
        <v>0</v>
      </c>
      <c r="G359" s="3" t="n">
        <f aca="false">IF(F359&gt;0,ROUNDUP(F359/Parametres!$B$7,0)+1,0)</f>
        <v>0</v>
      </c>
      <c r="H359" s="3" t="n">
        <f aca="false">SUMIFS(Equipes!$D$2:$D$60,Equipes!$A$2:$A$60,"LOT-04",Equipes!$B$2:$B$60,"&lt;="&amp;$A359,Equipes!$C$2:$C$60,"&gt;="&amp;$A359)</f>
        <v>0</v>
      </c>
      <c r="I359" s="3" t="n">
        <f aca="false">IF(H359&gt;0,ROUNDUP(H359/Parametres!$B$7,0)+1,0)</f>
        <v>0</v>
      </c>
      <c r="J359" s="3" t="n">
        <f aca="false">SUMIFS(Equipes!$D$2:$D$60,Equipes!$A$2:$A$60,"LOT-05",Equipes!$B$2:$B$60,"&lt;="&amp;$A359,Equipes!$C$2:$C$60,"&gt;="&amp;$A359)</f>
        <v>0</v>
      </c>
      <c r="K359" s="3" t="n">
        <f aca="false">IF(J359&gt;0,ROUNDUP(J359/Parametres!$B$7,0)+1,0)</f>
        <v>0</v>
      </c>
      <c r="L359" s="3" t="n">
        <f aca="false">SUMIFS(Equipes!$D$2:$D$60,Equipes!$A$2:$A$60,"LOT-06",Equipes!$B$2:$B$60,"&lt;="&amp;$A359,Equipes!$C$2:$C$60,"&gt;="&amp;$A359)</f>
        <v>0</v>
      </c>
      <c r="M359" s="3" t="n">
        <f aca="false">IF(L359&gt;0,ROUNDUP(L359/Parametres!$B$7,0)+1,0)</f>
        <v>0</v>
      </c>
      <c r="N359" s="3" t="n">
        <f aca="false">SUMIFS(Equipes!$D$2:$D$60,Equipes!$A$2:$A$60,"LOT-07",Equipes!$B$2:$B$60,"&lt;="&amp;$A359,Equipes!$C$2:$C$60,"&gt;="&amp;$A359)</f>
        <v>0</v>
      </c>
      <c r="O359" s="3" t="n">
        <f aca="false">IF(N359&gt;0,ROUNDUP(N359/Parametres!$B$7,0)+1,0)</f>
        <v>0</v>
      </c>
      <c r="P359" s="3" t="n">
        <f aca="false">SUMIFS(Equipes!$D$2:$D$60,Equipes!$A$2:$A$60,"LOT-08",Equipes!$B$2:$B$60,"&lt;="&amp;$A359,Equipes!$C$2:$C$60,"&gt;="&amp;$A359)</f>
        <v>22</v>
      </c>
      <c r="Q359" s="3" t="n">
        <f aca="false">IF(P359&gt;0,ROUNDUP(P359/Parametres!$B$7,0)+1,0)</f>
        <v>3</v>
      </c>
    </row>
    <row r="360" customFormat="false" ht="15" hidden="false" customHeight="false" outlineLevel="0" collapsed="false">
      <c r="A360" s="2" t="n">
        <v>46441</v>
      </c>
      <c r="B360" s="3" t="n">
        <f aca="false">SUMIFS(Equipes!$D$2:$D$60,Equipes!$A$2:$A$60,"LOT-01",Equipes!$B$2:$B$60,"&lt;="&amp;$A360,Equipes!$C$2:$C$60,"&gt;="&amp;$A360)</f>
        <v>0</v>
      </c>
      <c r="C360" s="3" t="n">
        <f aca="false">IF(B360&gt;0,ROUNDUP(B360/Parametres!$B$7,0)+1,0)</f>
        <v>0</v>
      </c>
      <c r="D360" s="3" t="n">
        <f aca="false">SUMIFS(Equipes!$D$2:$D$60,Equipes!$A$2:$A$60,"LOT-02",Equipes!$B$2:$B$60,"&lt;="&amp;$A360,Equipes!$C$2:$C$60,"&gt;="&amp;$A360)</f>
        <v>0</v>
      </c>
      <c r="E360" s="3" t="n">
        <f aca="false">IF(D360&gt;0,ROUNDUP(D360/Parametres!$B$7,0)+1,0)</f>
        <v>0</v>
      </c>
      <c r="F360" s="3" t="n">
        <f aca="false">SUMIFS(Equipes!$D$2:$D$60,Equipes!$A$2:$A$60,"LOT-03",Equipes!$B$2:$B$60,"&lt;="&amp;$A360,Equipes!$C$2:$C$60,"&gt;="&amp;$A360)</f>
        <v>0</v>
      </c>
      <c r="G360" s="3" t="n">
        <f aca="false">IF(F360&gt;0,ROUNDUP(F360/Parametres!$B$7,0)+1,0)</f>
        <v>0</v>
      </c>
      <c r="H360" s="3" t="n">
        <f aca="false">SUMIFS(Equipes!$D$2:$D$60,Equipes!$A$2:$A$60,"LOT-04",Equipes!$B$2:$B$60,"&lt;="&amp;$A360,Equipes!$C$2:$C$60,"&gt;="&amp;$A360)</f>
        <v>0</v>
      </c>
      <c r="I360" s="3" t="n">
        <f aca="false">IF(H360&gt;0,ROUNDUP(H360/Parametres!$B$7,0)+1,0)</f>
        <v>0</v>
      </c>
      <c r="J360" s="3" t="n">
        <f aca="false">SUMIFS(Equipes!$D$2:$D$60,Equipes!$A$2:$A$60,"LOT-05",Equipes!$B$2:$B$60,"&lt;="&amp;$A360,Equipes!$C$2:$C$60,"&gt;="&amp;$A360)</f>
        <v>0</v>
      </c>
      <c r="K360" s="3" t="n">
        <f aca="false">IF(J360&gt;0,ROUNDUP(J360/Parametres!$B$7,0)+1,0)</f>
        <v>0</v>
      </c>
      <c r="L360" s="3" t="n">
        <f aca="false">SUMIFS(Equipes!$D$2:$D$60,Equipes!$A$2:$A$60,"LOT-06",Equipes!$B$2:$B$60,"&lt;="&amp;$A360,Equipes!$C$2:$C$60,"&gt;="&amp;$A360)</f>
        <v>0</v>
      </c>
      <c r="M360" s="3" t="n">
        <f aca="false">IF(L360&gt;0,ROUNDUP(L360/Parametres!$B$7,0)+1,0)</f>
        <v>0</v>
      </c>
      <c r="N360" s="3" t="n">
        <f aca="false">SUMIFS(Equipes!$D$2:$D$60,Equipes!$A$2:$A$60,"LOT-07",Equipes!$B$2:$B$60,"&lt;="&amp;$A360,Equipes!$C$2:$C$60,"&gt;="&amp;$A360)</f>
        <v>0</v>
      </c>
      <c r="O360" s="3" t="n">
        <f aca="false">IF(N360&gt;0,ROUNDUP(N360/Parametres!$B$7,0)+1,0)</f>
        <v>0</v>
      </c>
      <c r="P360" s="3" t="n">
        <f aca="false">SUMIFS(Equipes!$D$2:$D$60,Equipes!$A$2:$A$60,"LOT-08",Equipes!$B$2:$B$60,"&lt;="&amp;$A360,Equipes!$C$2:$C$60,"&gt;="&amp;$A360)</f>
        <v>22</v>
      </c>
      <c r="Q360" s="3" t="n">
        <f aca="false">IF(P360&gt;0,ROUNDUP(P360/Parametres!$B$7,0)+1,0)</f>
        <v>3</v>
      </c>
    </row>
    <row r="361" customFormat="false" ht="15" hidden="false" customHeight="false" outlineLevel="0" collapsed="false">
      <c r="A361" s="2" t="n">
        <v>46442</v>
      </c>
      <c r="B361" s="3" t="n">
        <f aca="false">SUMIFS(Equipes!$D$2:$D$60,Equipes!$A$2:$A$60,"LOT-01",Equipes!$B$2:$B$60,"&lt;="&amp;$A361,Equipes!$C$2:$C$60,"&gt;="&amp;$A361)</f>
        <v>0</v>
      </c>
      <c r="C361" s="3" t="n">
        <f aca="false">IF(B361&gt;0,ROUNDUP(B361/Parametres!$B$7,0)+1,0)</f>
        <v>0</v>
      </c>
      <c r="D361" s="3" t="n">
        <f aca="false">SUMIFS(Equipes!$D$2:$D$60,Equipes!$A$2:$A$60,"LOT-02",Equipes!$B$2:$B$60,"&lt;="&amp;$A361,Equipes!$C$2:$C$60,"&gt;="&amp;$A361)</f>
        <v>0</v>
      </c>
      <c r="E361" s="3" t="n">
        <f aca="false">IF(D361&gt;0,ROUNDUP(D361/Parametres!$B$7,0)+1,0)</f>
        <v>0</v>
      </c>
      <c r="F361" s="3" t="n">
        <f aca="false">SUMIFS(Equipes!$D$2:$D$60,Equipes!$A$2:$A$60,"LOT-03",Equipes!$B$2:$B$60,"&lt;="&amp;$A361,Equipes!$C$2:$C$60,"&gt;="&amp;$A361)</f>
        <v>0</v>
      </c>
      <c r="G361" s="3" t="n">
        <f aca="false">IF(F361&gt;0,ROUNDUP(F361/Parametres!$B$7,0)+1,0)</f>
        <v>0</v>
      </c>
      <c r="H361" s="3" t="n">
        <f aca="false">SUMIFS(Equipes!$D$2:$D$60,Equipes!$A$2:$A$60,"LOT-04",Equipes!$B$2:$B$60,"&lt;="&amp;$A361,Equipes!$C$2:$C$60,"&gt;="&amp;$A361)</f>
        <v>0</v>
      </c>
      <c r="I361" s="3" t="n">
        <f aca="false">IF(H361&gt;0,ROUNDUP(H361/Parametres!$B$7,0)+1,0)</f>
        <v>0</v>
      </c>
      <c r="J361" s="3" t="n">
        <f aca="false">SUMIFS(Equipes!$D$2:$D$60,Equipes!$A$2:$A$60,"LOT-05",Equipes!$B$2:$B$60,"&lt;="&amp;$A361,Equipes!$C$2:$C$60,"&gt;="&amp;$A361)</f>
        <v>0</v>
      </c>
      <c r="K361" s="3" t="n">
        <f aca="false">IF(J361&gt;0,ROUNDUP(J361/Parametres!$B$7,0)+1,0)</f>
        <v>0</v>
      </c>
      <c r="L361" s="3" t="n">
        <f aca="false">SUMIFS(Equipes!$D$2:$D$60,Equipes!$A$2:$A$60,"LOT-06",Equipes!$B$2:$B$60,"&lt;="&amp;$A361,Equipes!$C$2:$C$60,"&gt;="&amp;$A361)</f>
        <v>0</v>
      </c>
      <c r="M361" s="3" t="n">
        <f aca="false">IF(L361&gt;0,ROUNDUP(L361/Parametres!$B$7,0)+1,0)</f>
        <v>0</v>
      </c>
      <c r="N361" s="3" t="n">
        <f aca="false">SUMIFS(Equipes!$D$2:$D$60,Equipes!$A$2:$A$60,"LOT-07",Equipes!$B$2:$B$60,"&lt;="&amp;$A361,Equipes!$C$2:$C$60,"&gt;="&amp;$A361)</f>
        <v>0</v>
      </c>
      <c r="O361" s="3" t="n">
        <f aca="false">IF(N361&gt;0,ROUNDUP(N361/Parametres!$B$7,0)+1,0)</f>
        <v>0</v>
      </c>
      <c r="P361" s="3" t="n">
        <f aca="false">SUMIFS(Equipes!$D$2:$D$60,Equipes!$A$2:$A$60,"LOT-08",Equipes!$B$2:$B$60,"&lt;="&amp;$A361,Equipes!$C$2:$C$60,"&gt;="&amp;$A361)</f>
        <v>22</v>
      </c>
      <c r="Q361" s="3" t="n">
        <f aca="false">IF(P361&gt;0,ROUNDUP(P361/Parametres!$B$7,0)+1,0)</f>
        <v>3</v>
      </c>
    </row>
    <row r="362" customFormat="false" ht="15" hidden="false" customHeight="false" outlineLevel="0" collapsed="false">
      <c r="A362" s="2" t="n">
        <v>46443</v>
      </c>
      <c r="B362" s="3" t="n">
        <f aca="false">SUMIFS(Equipes!$D$2:$D$60,Equipes!$A$2:$A$60,"LOT-01",Equipes!$B$2:$B$60,"&lt;="&amp;$A362,Equipes!$C$2:$C$60,"&gt;="&amp;$A362)</f>
        <v>0</v>
      </c>
      <c r="C362" s="3" t="n">
        <f aca="false">IF(B362&gt;0,ROUNDUP(B362/Parametres!$B$7,0)+1,0)</f>
        <v>0</v>
      </c>
      <c r="D362" s="3" t="n">
        <f aca="false">SUMIFS(Equipes!$D$2:$D$60,Equipes!$A$2:$A$60,"LOT-02",Equipes!$B$2:$B$60,"&lt;="&amp;$A362,Equipes!$C$2:$C$60,"&gt;="&amp;$A362)</f>
        <v>0</v>
      </c>
      <c r="E362" s="3" t="n">
        <f aca="false">IF(D362&gt;0,ROUNDUP(D362/Parametres!$B$7,0)+1,0)</f>
        <v>0</v>
      </c>
      <c r="F362" s="3" t="n">
        <f aca="false">SUMIFS(Equipes!$D$2:$D$60,Equipes!$A$2:$A$60,"LOT-03",Equipes!$B$2:$B$60,"&lt;="&amp;$A362,Equipes!$C$2:$C$60,"&gt;="&amp;$A362)</f>
        <v>0</v>
      </c>
      <c r="G362" s="3" t="n">
        <f aca="false">IF(F362&gt;0,ROUNDUP(F362/Parametres!$B$7,0)+1,0)</f>
        <v>0</v>
      </c>
      <c r="H362" s="3" t="n">
        <f aca="false">SUMIFS(Equipes!$D$2:$D$60,Equipes!$A$2:$A$60,"LOT-04",Equipes!$B$2:$B$60,"&lt;="&amp;$A362,Equipes!$C$2:$C$60,"&gt;="&amp;$A362)</f>
        <v>0</v>
      </c>
      <c r="I362" s="3" t="n">
        <f aca="false">IF(H362&gt;0,ROUNDUP(H362/Parametres!$B$7,0)+1,0)</f>
        <v>0</v>
      </c>
      <c r="J362" s="3" t="n">
        <f aca="false">SUMIFS(Equipes!$D$2:$D$60,Equipes!$A$2:$A$60,"LOT-05",Equipes!$B$2:$B$60,"&lt;="&amp;$A362,Equipes!$C$2:$C$60,"&gt;="&amp;$A362)</f>
        <v>0</v>
      </c>
      <c r="K362" s="3" t="n">
        <f aca="false">IF(J362&gt;0,ROUNDUP(J362/Parametres!$B$7,0)+1,0)</f>
        <v>0</v>
      </c>
      <c r="L362" s="3" t="n">
        <f aca="false">SUMIFS(Equipes!$D$2:$D$60,Equipes!$A$2:$A$60,"LOT-06",Equipes!$B$2:$B$60,"&lt;="&amp;$A362,Equipes!$C$2:$C$60,"&gt;="&amp;$A362)</f>
        <v>0</v>
      </c>
      <c r="M362" s="3" t="n">
        <f aca="false">IF(L362&gt;0,ROUNDUP(L362/Parametres!$B$7,0)+1,0)</f>
        <v>0</v>
      </c>
      <c r="N362" s="3" t="n">
        <f aca="false">SUMIFS(Equipes!$D$2:$D$60,Equipes!$A$2:$A$60,"LOT-07",Equipes!$B$2:$B$60,"&lt;="&amp;$A362,Equipes!$C$2:$C$60,"&gt;="&amp;$A362)</f>
        <v>0</v>
      </c>
      <c r="O362" s="3" t="n">
        <f aca="false">IF(N362&gt;0,ROUNDUP(N362/Parametres!$B$7,0)+1,0)</f>
        <v>0</v>
      </c>
      <c r="P362" s="3" t="n">
        <f aca="false">SUMIFS(Equipes!$D$2:$D$60,Equipes!$A$2:$A$60,"LOT-08",Equipes!$B$2:$B$60,"&lt;="&amp;$A362,Equipes!$C$2:$C$60,"&gt;="&amp;$A362)</f>
        <v>6</v>
      </c>
      <c r="Q362" s="3" t="n">
        <f aca="false">IF(P362&gt;0,ROUNDUP(P362/Parametres!$B$7,0)+1,0)</f>
        <v>2</v>
      </c>
    </row>
    <row r="363" customFormat="false" ht="15" hidden="false" customHeight="false" outlineLevel="0" collapsed="false">
      <c r="A363" s="2" t="n">
        <v>46444</v>
      </c>
      <c r="B363" s="3" t="n">
        <f aca="false">SUMIFS(Equipes!$D$2:$D$60,Equipes!$A$2:$A$60,"LOT-01",Equipes!$B$2:$B$60,"&lt;="&amp;$A363,Equipes!$C$2:$C$60,"&gt;="&amp;$A363)</f>
        <v>0</v>
      </c>
      <c r="C363" s="3" t="n">
        <f aca="false">IF(B363&gt;0,ROUNDUP(B363/Parametres!$B$7,0)+1,0)</f>
        <v>0</v>
      </c>
      <c r="D363" s="3" t="n">
        <f aca="false">SUMIFS(Equipes!$D$2:$D$60,Equipes!$A$2:$A$60,"LOT-02",Equipes!$B$2:$B$60,"&lt;="&amp;$A363,Equipes!$C$2:$C$60,"&gt;="&amp;$A363)</f>
        <v>0</v>
      </c>
      <c r="E363" s="3" t="n">
        <f aca="false">IF(D363&gt;0,ROUNDUP(D363/Parametres!$B$7,0)+1,0)</f>
        <v>0</v>
      </c>
      <c r="F363" s="3" t="n">
        <f aca="false">SUMIFS(Equipes!$D$2:$D$60,Equipes!$A$2:$A$60,"LOT-03",Equipes!$B$2:$B$60,"&lt;="&amp;$A363,Equipes!$C$2:$C$60,"&gt;="&amp;$A363)</f>
        <v>0</v>
      </c>
      <c r="G363" s="3" t="n">
        <f aca="false">IF(F363&gt;0,ROUNDUP(F363/Parametres!$B$7,0)+1,0)</f>
        <v>0</v>
      </c>
      <c r="H363" s="3" t="n">
        <f aca="false">SUMIFS(Equipes!$D$2:$D$60,Equipes!$A$2:$A$60,"LOT-04",Equipes!$B$2:$B$60,"&lt;="&amp;$A363,Equipes!$C$2:$C$60,"&gt;="&amp;$A363)</f>
        <v>0</v>
      </c>
      <c r="I363" s="3" t="n">
        <f aca="false">IF(H363&gt;0,ROUNDUP(H363/Parametres!$B$7,0)+1,0)</f>
        <v>0</v>
      </c>
      <c r="J363" s="3" t="n">
        <f aca="false">SUMIFS(Equipes!$D$2:$D$60,Equipes!$A$2:$A$60,"LOT-05",Equipes!$B$2:$B$60,"&lt;="&amp;$A363,Equipes!$C$2:$C$60,"&gt;="&amp;$A363)</f>
        <v>0</v>
      </c>
      <c r="K363" s="3" t="n">
        <f aca="false">IF(J363&gt;0,ROUNDUP(J363/Parametres!$B$7,0)+1,0)</f>
        <v>0</v>
      </c>
      <c r="L363" s="3" t="n">
        <f aca="false">SUMIFS(Equipes!$D$2:$D$60,Equipes!$A$2:$A$60,"LOT-06",Equipes!$B$2:$B$60,"&lt;="&amp;$A363,Equipes!$C$2:$C$60,"&gt;="&amp;$A363)</f>
        <v>0</v>
      </c>
      <c r="M363" s="3" t="n">
        <f aca="false">IF(L363&gt;0,ROUNDUP(L363/Parametres!$B$7,0)+1,0)</f>
        <v>0</v>
      </c>
      <c r="N363" s="3" t="n">
        <f aca="false">SUMIFS(Equipes!$D$2:$D$60,Equipes!$A$2:$A$60,"LOT-07",Equipes!$B$2:$B$60,"&lt;="&amp;$A363,Equipes!$C$2:$C$60,"&gt;="&amp;$A363)</f>
        <v>0</v>
      </c>
      <c r="O363" s="3" t="n">
        <f aca="false">IF(N363&gt;0,ROUNDUP(N363/Parametres!$B$7,0)+1,0)</f>
        <v>0</v>
      </c>
      <c r="P363" s="3" t="n">
        <f aca="false">SUMIFS(Equipes!$D$2:$D$60,Equipes!$A$2:$A$60,"LOT-08",Equipes!$B$2:$B$60,"&lt;="&amp;$A363,Equipes!$C$2:$C$60,"&gt;="&amp;$A363)</f>
        <v>6</v>
      </c>
      <c r="Q363" s="3" t="n">
        <f aca="false">IF(P363&gt;0,ROUNDUP(P363/Parametres!$B$7,0)+1,0)</f>
        <v>2</v>
      </c>
    </row>
    <row r="364" customFormat="false" ht="15" hidden="false" customHeight="false" outlineLevel="0" collapsed="false">
      <c r="A364" s="2" t="n">
        <v>46445</v>
      </c>
      <c r="B364" s="3" t="n">
        <f aca="false">SUMIFS(Equipes!$D$2:$D$60,Equipes!$A$2:$A$60,"LOT-01",Equipes!$B$2:$B$60,"&lt;="&amp;$A364,Equipes!$C$2:$C$60,"&gt;="&amp;$A364)</f>
        <v>0</v>
      </c>
      <c r="C364" s="3" t="n">
        <f aca="false">IF(B364&gt;0,ROUNDUP(B364/Parametres!$B$7,0)+1,0)</f>
        <v>0</v>
      </c>
      <c r="D364" s="3" t="n">
        <f aca="false">SUMIFS(Equipes!$D$2:$D$60,Equipes!$A$2:$A$60,"LOT-02",Equipes!$B$2:$B$60,"&lt;="&amp;$A364,Equipes!$C$2:$C$60,"&gt;="&amp;$A364)</f>
        <v>0</v>
      </c>
      <c r="E364" s="3" t="n">
        <f aca="false">IF(D364&gt;0,ROUNDUP(D364/Parametres!$B$7,0)+1,0)</f>
        <v>0</v>
      </c>
      <c r="F364" s="3" t="n">
        <f aca="false">SUMIFS(Equipes!$D$2:$D$60,Equipes!$A$2:$A$60,"LOT-03",Equipes!$B$2:$B$60,"&lt;="&amp;$A364,Equipes!$C$2:$C$60,"&gt;="&amp;$A364)</f>
        <v>0</v>
      </c>
      <c r="G364" s="3" t="n">
        <f aca="false">IF(F364&gt;0,ROUNDUP(F364/Parametres!$B$7,0)+1,0)</f>
        <v>0</v>
      </c>
      <c r="H364" s="3" t="n">
        <f aca="false">SUMIFS(Equipes!$D$2:$D$60,Equipes!$A$2:$A$60,"LOT-04",Equipes!$B$2:$B$60,"&lt;="&amp;$A364,Equipes!$C$2:$C$60,"&gt;="&amp;$A364)</f>
        <v>0</v>
      </c>
      <c r="I364" s="3" t="n">
        <f aca="false">IF(H364&gt;0,ROUNDUP(H364/Parametres!$B$7,0)+1,0)</f>
        <v>0</v>
      </c>
      <c r="J364" s="3" t="n">
        <f aca="false">SUMIFS(Equipes!$D$2:$D$60,Equipes!$A$2:$A$60,"LOT-05",Equipes!$B$2:$B$60,"&lt;="&amp;$A364,Equipes!$C$2:$C$60,"&gt;="&amp;$A364)</f>
        <v>0</v>
      </c>
      <c r="K364" s="3" t="n">
        <f aca="false">IF(J364&gt;0,ROUNDUP(J364/Parametres!$B$7,0)+1,0)</f>
        <v>0</v>
      </c>
      <c r="L364" s="3" t="n">
        <f aca="false">SUMIFS(Equipes!$D$2:$D$60,Equipes!$A$2:$A$60,"LOT-06",Equipes!$B$2:$B$60,"&lt;="&amp;$A364,Equipes!$C$2:$C$60,"&gt;="&amp;$A364)</f>
        <v>0</v>
      </c>
      <c r="M364" s="3" t="n">
        <f aca="false">IF(L364&gt;0,ROUNDUP(L364/Parametres!$B$7,0)+1,0)</f>
        <v>0</v>
      </c>
      <c r="N364" s="3" t="n">
        <f aca="false">SUMIFS(Equipes!$D$2:$D$60,Equipes!$A$2:$A$60,"LOT-07",Equipes!$B$2:$B$60,"&lt;="&amp;$A364,Equipes!$C$2:$C$60,"&gt;="&amp;$A364)</f>
        <v>0</v>
      </c>
      <c r="O364" s="3" t="n">
        <f aca="false">IF(N364&gt;0,ROUNDUP(N364/Parametres!$B$7,0)+1,0)</f>
        <v>0</v>
      </c>
      <c r="P364" s="3" t="n">
        <f aca="false">SUMIFS(Equipes!$D$2:$D$60,Equipes!$A$2:$A$60,"LOT-08",Equipes!$B$2:$B$60,"&lt;="&amp;$A364,Equipes!$C$2:$C$60,"&gt;="&amp;$A364)</f>
        <v>6</v>
      </c>
      <c r="Q364" s="3" t="n">
        <f aca="false">IF(P364&gt;0,ROUNDUP(P364/Parametres!$B$7,0)+1,0)</f>
        <v>2</v>
      </c>
    </row>
    <row r="365" customFormat="false" ht="15" hidden="false" customHeight="false" outlineLevel="0" collapsed="false">
      <c r="A365" s="2" t="n">
        <v>46446</v>
      </c>
      <c r="B365" s="3" t="n">
        <f aca="false">SUMIFS(Equipes!$D$2:$D$60,Equipes!$A$2:$A$60,"LOT-01",Equipes!$B$2:$B$60,"&lt;="&amp;$A365,Equipes!$C$2:$C$60,"&gt;="&amp;$A365)</f>
        <v>0</v>
      </c>
      <c r="C365" s="3" t="n">
        <f aca="false">IF(B365&gt;0,ROUNDUP(B365/Parametres!$B$7,0)+1,0)</f>
        <v>0</v>
      </c>
      <c r="D365" s="3" t="n">
        <f aca="false">SUMIFS(Equipes!$D$2:$D$60,Equipes!$A$2:$A$60,"LOT-02",Equipes!$B$2:$B$60,"&lt;="&amp;$A365,Equipes!$C$2:$C$60,"&gt;="&amp;$A365)</f>
        <v>0</v>
      </c>
      <c r="E365" s="3" t="n">
        <f aca="false">IF(D365&gt;0,ROUNDUP(D365/Parametres!$B$7,0)+1,0)</f>
        <v>0</v>
      </c>
      <c r="F365" s="3" t="n">
        <f aca="false">SUMIFS(Equipes!$D$2:$D$60,Equipes!$A$2:$A$60,"LOT-03",Equipes!$B$2:$B$60,"&lt;="&amp;$A365,Equipes!$C$2:$C$60,"&gt;="&amp;$A365)</f>
        <v>0</v>
      </c>
      <c r="G365" s="3" t="n">
        <f aca="false">IF(F365&gt;0,ROUNDUP(F365/Parametres!$B$7,0)+1,0)</f>
        <v>0</v>
      </c>
      <c r="H365" s="3" t="n">
        <f aca="false">SUMIFS(Equipes!$D$2:$D$60,Equipes!$A$2:$A$60,"LOT-04",Equipes!$B$2:$B$60,"&lt;="&amp;$A365,Equipes!$C$2:$C$60,"&gt;="&amp;$A365)</f>
        <v>0</v>
      </c>
      <c r="I365" s="3" t="n">
        <f aca="false">IF(H365&gt;0,ROUNDUP(H365/Parametres!$B$7,0)+1,0)</f>
        <v>0</v>
      </c>
      <c r="J365" s="3" t="n">
        <f aca="false">SUMIFS(Equipes!$D$2:$D$60,Equipes!$A$2:$A$60,"LOT-05",Equipes!$B$2:$B$60,"&lt;="&amp;$A365,Equipes!$C$2:$C$60,"&gt;="&amp;$A365)</f>
        <v>0</v>
      </c>
      <c r="K365" s="3" t="n">
        <f aca="false">IF(J365&gt;0,ROUNDUP(J365/Parametres!$B$7,0)+1,0)</f>
        <v>0</v>
      </c>
      <c r="L365" s="3" t="n">
        <f aca="false">SUMIFS(Equipes!$D$2:$D$60,Equipes!$A$2:$A$60,"LOT-06",Equipes!$B$2:$B$60,"&lt;="&amp;$A365,Equipes!$C$2:$C$60,"&gt;="&amp;$A365)</f>
        <v>0</v>
      </c>
      <c r="M365" s="3" t="n">
        <f aca="false">IF(L365&gt;0,ROUNDUP(L365/Parametres!$B$7,0)+1,0)</f>
        <v>0</v>
      </c>
      <c r="N365" s="3" t="n">
        <f aca="false">SUMIFS(Equipes!$D$2:$D$60,Equipes!$A$2:$A$60,"LOT-07",Equipes!$B$2:$B$60,"&lt;="&amp;$A365,Equipes!$C$2:$C$60,"&gt;="&amp;$A365)</f>
        <v>0</v>
      </c>
      <c r="O365" s="3" t="n">
        <f aca="false">IF(N365&gt;0,ROUNDUP(N365/Parametres!$B$7,0)+1,0)</f>
        <v>0</v>
      </c>
      <c r="P365" s="3" t="n">
        <f aca="false">SUMIFS(Equipes!$D$2:$D$60,Equipes!$A$2:$A$60,"LOT-08",Equipes!$B$2:$B$60,"&lt;="&amp;$A365,Equipes!$C$2:$C$60,"&gt;="&amp;$A365)</f>
        <v>6</v>
      </c>
      <c r="Q365" s="3" t="n">
        <f aca="false">IF(P365&gt;0,ROUNDUP(P365/Parametres!$B$7,0)+1,0)</f>
        <v>2</v>
      </c>
    </row>
    <row r="366" customFormat="false" ht="15" hidden="false" customHeight="false" outlineLevel="0" collapsed="false">
      <c r="A366" s="2" t="n">
        <v>46447</v>
      </c>
      <c r="B366" s="3" t="n">
        <f aca="false">SUMIFS(Equipes!$D$2:$D$60,Equipes!$A$2:$A$60,"LOT-01",Equipes!$B$2:$B$60,"&lt;="&amp;$A366,Equipes!$C$2:$C$60,"&gt;="&amp;$A366)</f>
        <v>0</v>
      </c>
      <c r="C366" s="3" t="n">
        <f aca="false">IF(B366&gt;0,ROUNDUP(B366/Parametres!$B$7,0)+1,0)</f>
        <v>0</v>
      </c>
      <c r="D366" s="3" t="n">
        <f aca="false">SUMIFS(Equipes!$D$2:$D$60,Equipes!$A$2:$A$60,"LOT-02",Equipes!$B$2:$B$60,"&lt;="&amp;$A366,Equipes!$C$2:$C$60,"&gt;="&amp;$A366)</f>
        <v>0</v>
      </c>
      <c r="E366" s="3" t="n">
        <f aca="false">IF(D366&gt;0,ROUNDUP(D366/Parametres!$B$7,0)+1,0)</f>
        <v>0</v>
      </c>
      <c r="F366" s="3" t="n">
        <f aca="false">SUMIFS(Equipes!$D$2:$D$60,Equipes!$A$2:$A$60,"LOT-03",Equipes!$B$2:$B$60,"&lt;="&amp;$A366,Equipes!$C$2:$C$60,"&gt;="&amp;$A366)</f>
        <v>0</v>
      </c>
      <c r="G366" s="3" t="n">
        <f aca="false">IF(F366&gt;0,ROUNDUP(F366/Parametres!$B$7,0)+1,0)</f>
        <v>0</v>
      </c>
      <c r="H366" s="3" t="n">
        <f aca="false">SUMIFS(Equipes!$D$2:$D$60,Equipes!$A$2:$A$60,"LOT-04",Equipes!$B$2:$B$60,"&lt;="&amp;$A366,Equipes!$C$2:$C$60,"&gt;="&amp;$A366)</f>
        <v>0</v>
      </c>
      <c r="I366" s="3" t="n">
        <f aca="false">IF(H366&gt;0,ROUNDUP(H366/Parametres!$B$7,0)+1,0)</f>
        <v>0</v>
      </c>
      <c r="J366" s="3" t="n">
        <f aca="false">SUMIFS(Equipes!$D$2:$D$60,Equipes!$A$2:$A$60,"LOT-05",Equipes!$B$2:$B$60,"&lt;="&amp;$A366,Equipes!$C$2:$C$60,"&gt;="&amp;$A366)</f>
        <v>0</v>
      </c>
      <c r="K366" s="3" t="n">
        <f aca="false">IF(J366&gt;0,ROUNDUP(J366/Parametres!$B$7,0)+1,0)</f>
        <v>0</v>
      </c>
      <c r="L366" s="3" t="n">
        <f aca="false">SUMIFS(Equipes!$D$2:$D$60,Equipes!$A$2:$A$60,"LOT-06",Equipes!$B$2:$B$60,"&lt;="&amp;$A366,Equipes!$C$2:$C$60,"&gt;="&amp;$A366)</f>
        <v>0</v>
      </c>
      <c r="M366" s="3" t="n">
        <f aca="false">IF(L366&gt;0,ROUNDUP(L366/Parametres!$B$7,0)+1,0)</f>
        <v>0</v>
      </c>
      <c r="N366" s="3" t="n">
        <f aca="false">SUMIFS(Equipes!$D$2:$D$60,Equipes!$A$2:$A$60,"LOT-07",Equipes!$B$2:$B$60,"&lt;="&amp;$A366,Equipes!$C$2:$C$60,"&gt;="&amp;$A366)</f>
        <v>0</v>
      </c>
      <c r="O366" s="3" t="n">
        <f aca="false">IF(N366&gt;0,ROUNDUP(N366/Parametres!$B$7,0)+1,0)</f>
        <v>0</v>
      </c>
      <c r="P366" s="3" t="n">
        <f aca="false">SUMIFS(Equipes!$D$2:$D$60,Equipes!$A$2:$A$60,"LOT-08",Equipes!$B$2:$B$60,"&lt;="&amp;$A366,Equipes!$C$2:$C$60,"&gt;="&amp;$A366)</f>
        <v>6</v>
      </c>
      <c r="Q366" s="3" t="n">
        <f aca="false">IF(P366&gt;0,ROUNDUP(P366/Parametres!$B$7,0)+1,0)</f>
        <v>2</v>
      </c>
    </row>
    <row r="367" customFormat="false" ht="15" hidden="false" customHeight="false" outlineLevel="0" collapsed="false">
      <c r="A367" s="2" t="n">
        <v>46448</v>
      </c>
      <c r="B367" s="3" t="n">
        <f aca="false">SUMIFS(Equipes!$D$2:$D$60,Equipes!$A$2:$A$60,"LOT-01",Equipes!$B$2:$B$60,"&lt;="&amp;$A367,Equipes!$C$2:$C$60,"&gt;="&amp;$A367)</f>
        <v>0</v>
      </c>
      <c r="C367" s="3" t="n">
        <f aca="false">IF(B367&gt;0,ROUNDUP(B367/Parametres!$B$7,0)+1,0)</f>
        <v>0</v>
      </c>
      <c r="D367" s="3" t="n">
        <f aca="false">SUMIFS(Equipes!$D$2:$D$60,Equipes!$A$2:$A$60,"LOT-02",Equipes!$B$2:$B$60,"&lt;="&amp;$A367,Equipes!$C$2:$C$60,"&gt;="&amp;$A367)</f>
        <v>0</v>
      </c>
      <c r="E367" s="3" t="n">
        <f aca="false">IF(D367&gt;0,ROUNDUP(D367/Parametres!$B$7,0)+1,0)</f>
        <v>0</v>
      </c>
      <c r="F367" s="3" t="n">
        <f aca="false">SUMIFS(Equipes!$D$2:$D$60,Equipes!$A$2:$A$60,"LOT-03",Equipes!$B$2:$B$60,"&lt;="&amp;$A367,Equipes!$C$2:$C$60,"&gt;="&amp;$A367)</f>
        <v>0</v>
      </c>
      <c r="G367" s="3" t="n">
        <f aca="false">IF(F367&gt;0,ROUNDUP(F367/Parametres!$B$7,0)+1,0)</f>
        <v>0</v>
      </c>
      <c r="H367" s="3" t="n">
        <f aca="false">SUMIFS(Equipes!$D$2:$D$60,Equipes!$A$2:$A$60,"LOT-04",Equipes!$B$2:$B$60,"&lt;="&amp;$A367,Equipes!$C$2:$C$60,"&gt;="&amp;$A367)</f>
        <v>0</v>
      </c>
      <c r="I367" s="3" t="n">
        <f aca="false">IF(H367&gt;0,ROUNDUP(H367/Parametres!$B$7,0)+1,0)</f>
        <v>0</v>
      </c>
      <c r="J367" s="3" t="n">
        <f aca="false">SUMIFS(Equipes!$D$2:$D$60,Equipes!$A$2:$A$60,"LOT-05",Equipes!$B$2:$B$60,"&lt;="&amp;$A367,Equipes!$C$2:$C$60,"&gt;="&amp;$A367)</f>
        <v>0</v>
      </c>
      <c r="K367" s="3" t="n">
        <f aca="false">IF(J367&gt;0,ROUNDUP(J367/Parametres!$B$7,0)+1,0)</f>
        <v>0</v>
      </c>
      <c r="L367" s="3" t="n">
        <f aca="false">SUMIFS(Equipes!$D$2:$D$60,Equipes!$A$2:$A$60,"LOT-06",Equipes!$B$2:$B$60,"&lt;="&amp;$A367,Equipes!$C$2:$C$60,"&gt;="&amp;$A367)</f>
        <v>0</v>
      </c>
      <c r="M367" s="3" t="n">
        <f aca="false">IF(L367&gt;0,ROUNDUP(L367/Parametres!$B$7,0)+1,0)</f>
        <v>0</v>
      </c>
      <c r="N367" s="3" t="n">
        <f aca="false">SUMIFS(Equipes!$D$2:$D$60,Equipes!$A$2:$A$60,"LOT-07",Equipes!$B$2:$B$60,"&lt;="&amp;$A367,Equipes!$C$2:$C$60,"&gt;="&amp;$A367)</f>
        <v>0</v>
      </c>
      <c r="O367" s="3" t="n">
        <f aca="false">IF(N367&gt;0,ROUNDUP(N367/Parametres!$B$7,0)+1,0)</f>
        <v>0</v>
      </c>
      <c r="P367" s="3" t="n">
        <f aca="false">SUMIFS(Equipes!$D$2:$D$60,Equipes!$A$2:$A$60,"LOT-08",Equipes!$B$2:$B$60,"&lt;="&amp;$A367,Equipes!$C$2:$C$60,"&gt;="&amp;$A367)</f>
        <v>6</v>
      </c>
      <c r="Q367" s="3" t="n">
        <f aca="false">IF(P367&gt;0,ROUNDUP(P367/Parametres!$B$7,0)+1,0)</f>
        <v>2</v>
      </c>
    </row>
    <row r="368" customFormat="false" ht="15" hidden="false" customHeight="false" outlineLevel="0" collapsed="false">
      <c r="A368" s="2" t="n">
        <v>46449</v>
      </c>
      <c r="B368" s="3" t="n">
        <f aca="false">SUMIFS(Equipes!$D$2:$D$60,Equipes!$A$2:$A$60,"LOT-01",Equipes!$B$2:$B$60,"&lt;="&amp;$A368,Equipes!$C$2:$C$60,"&gt;="&amp;$A368)</f>
        <v>0</v>
      </c>
      <c r="C368" s="3" t="n">
        <f aca="false">IF(B368&gt;0,ROUNDUP(B368/Parametres!$B$7,0)+1,0)</f>
        <v>0</v>
      </c>
      <c r="D368" s="3" t="n">
        <f aca="false">SUMIFS(Equipes!$D$2:$D$60,Equipes!$A$2:$A$60,"LOT-02",Equipes!$B$2:$B$60,"&lt;="&amp;$A368,Equipes!$C$2:$C$60,"&gt;="&amp;$A368)</f>
        <v>0</v>
      </c>
      <c r="E368" s="3" t="n">
        <f aca="false">IF(D368&gt;0,ROUNDUP(D368/Parametres!$B$7,0)+1,0)</f>
        <v>0</v>
      </c>
      <c r="F368" s="3" t="n">
        <f aca="false">SUMIFS(Equipes!$D$2:$D$60,Equipes!$A$2:$A$60,"LOT-03",Equipes!$B$2:$B$60,"&lt;="&amp;$A368,Equipes!$C$2:$C$60,"&gt;="&amp;$A368)</f>
        <v>0</v>
      </c>
      <c r="G368" s="3" t="n">
        <f aca="false">IF(F368&gt;0,ROUNDUP(F368/Parametres!$B$7,0)+1,0)</f>
        <v>0</v>
      </c>
      <c r="H368" s="3" t="n">
        <f aca="false">SUMIFS(Equipes!$D$2:$D$60,Equipes!$A$2:$A$60,"LOT-04",Equipes!$B$2:$B$60,"&lt;="&amp;$A368,Equipes!$C$2:$C$60,"&gt;="&amp;$A368)</f>
        <v>0</v>
      </c>
      <c r="I368" s="3" t="n">
        <f aca="false">IF(H368&gt;0,ROUNDUP(H368/Parametres!$B$7,0)+1,0)</f>
        <v>0</v>
      </c>
      <c r="J368" s="3" t="n">
        <f aca="false">SUMIFS(Equipes!$D$2:$D$60,Equipes!$A$2:$A$60,"LOT-05",Equipes!$B$2:$B$60,"&lt;="&amp;$A368,Equipes!$C$2:$C$60,"&gt;="&amp;$A368)</f>
        <v>0</v>
      </c>
      <c r="K368" s="3" t="n">
        <f aca="false">IF(J368&gt;0,ROUNDUP(J368/Parametres!$B$7,0)+1,0)</f>
        <v>0</v>
      </c>
      <c r="L368" s="3" t="n">
        <f aca="false">SUMIFS(Equipes!$D$2:$D$60,Equipes!$A$2:$A$60,"LOT-06",Equipes!$B$2:$B$60,"&lt;="&amp;$A368,Equipes!$C$2:$C$60,"&gt;="&amp;$A368)</f>
        <v>0</v>
      </c>
      <c r="M368" s="3" t="n">
        <f aca="false">IF(L368&gt;0,ROUNDUP(L368/Parametres!$B$7,0)+1,0)</f>
        <v>0</v>
      </c>
      <c r="N368" s="3" t="n">
        <f aca="false">SUMIFS(Equipes!$D$2:$D$60,Equipes!$A$2:$A$60,"LOT-07",Equipes!$B$2:$B$60,"&lt;="&amp;$A368,Equipes!$C$2:$C$60,"&gt;="&amp;$A368)</f>
        <v>0</v>
      </c>
      <c r="O368" s="3" t="n">
        <f aca="false">IF(N368&gt;0,ROUNDUP(N368/Parametres!$B$7,0)+1,0)</f>
        <v>0</v>
      </c>
      <c r="P368" s="3" t="n">
        <f aca="false">SUMIFS(Equipes!$D$2:$D$60,Equipes!$A$2:$A$60,"LOT-08",Equipes!$B$2:$B$60,"&lt;="&amp;$A368,Equipes!$C$2:$C$60,"&gt;="&amp;$A368)</f>
        <v>6</v>
      </c>
      <c r="Q368" s="3" t="n">
        <f aca="false">IF(P368&gt;0,ROUNDUP(P368/Parametres!$B$7,0)+1,0)</f>
        <v>2</v>
      </c>
    </row>
    <row r="369" customFormat="false" ht="15" hidden="false" customHeight="false" outlineLevel="0" collapsed="false">
      <c r="A369" s="2" t="n">
        <v>46450</v>
      </c>
      <c r="B369" s="3" t="n">
        <f aca="false">SUMIFS(Equipes!$D$2:$D$60,Equipes!$A$2:$A$60,"LOT-01",Equipes!$B$2:$B$60,"&lt;="&amp;$A369,Equipes!$C$2:$C$60,"&gt;="&amp;$A369)</f>
        <v>0</v>
      </c>
      <c r="C369" s="3" t="n">
        <f aca="false">IF(B369&gt;0,ROUNDUP(B369/Parametres!$B$7,0)+1,0)</f>
        <v>0</v>
      </c>
      <c r="D369" s="3" t="n">
        <f aca="false">SUMIFS(Equipes!$D$2:$D$60,Equipes!$A$2:$A$60,"LOT-02",Equipes!$B$2:$B$60,"&lt;="&amp;$A369,Equipes!$C$2:$C$60,"&gt;="&amp;$A369)</f>
        <v>0</v>
      </c>
      <c r="E369" s="3" t="n">
        <f aca="false">IF(D369&gt;0,ROUNDUP(D369/Parametres!$B$7,0)+1,0)</f>
        <v>0</v>
      </c>
      <c r="F369" s="3" t="n">
        <f aca="false">SUMIFS(Equipes!$D$2:$D$60,Equipes!$A$2:$A$60,"LOT-03",Equipes!$B$2:$B$60,"&lt;="&amp;$A369,Equipes!$C$2:$C$60,"&gt;="&amp;$A369)</f>
        <v>0</v>
      </c>
      <c r="G369" s="3" t="n">
        <f aca="false">IF(F369&gt;0,ROUNDUP(F369/Parametres!$B$7,0)+1,0)</f>
        <v>0</v>
      </c>
      <c r="H369" s="3" t="n">
        <f aca="false">SUMIFS(Equipes!$D$2:$D$60,Equipes!$A$2:$A$60,"LOT-04",Equipes!$B$2:$B$60,"&lt;="&amp;$A369,Equipes!$C$2:$C$60,"&gt;="&amp;$A369)</f>
        <v>0</v>
      </c>
      <c r="I369" s="3" t="n">
        <f aca="false">IF(H369&gt;0,ROUNDUP(H369/Parametres!$B$7,0)+1,0)</f>
        <v>0</v>
      </c>
      <c r="J369" s="3" t="n">
        <f aca="false">SUMIFS(Equipes!$D$2:$D$60,Equipes!$A$2:$A$60,"LOT-05",Equipes!$B$2:$B$60,"&lt;="&amp;$A369,Equipes!$C$2:$C$60,"&gt;="&amp;$A369)</f>
        <v>0</v>
      </c>
      <c r="K369" s="3" t="n">
        <f aca="false">IF(J369&gt;0,ROUNDUP(J369/Parametres!$B$7,0)+1,0)</f>
        <v>0</v>
      </c>
      <c r="L369" s="3" t="n">
        <f aca="false">SUMIFS(Equipes!$D$2:$D$60,Equipes!$A$2:$A$60,"LOT-06",Equipes!$B$2:$B$60,"&lt;="&amp;$A369,Equipes!$C$2:$C$60,"&gt;="&amp;$A369)</f>
        <v>0</v>
      </c>
      <c r="M369" s="3" t="n">
        <f aca="false">IF(L369&gt;0,ROUNDUP(L369/Parametres!$B$7,0)+1,0)</f>
        <v>0</v>
      </c>
      <c r="N369" s="3" t="n">
        <f aca="false">SUMIFS(Equipes!$D$2:$D$60,Equipes!$A$2:$A$60,"LOT-07",Equipes!$B$2:$B$60,"&lt;="&amp;$A369,Equipes!$C$2:$C$60,"&gt;="&amp;$A369)</f>
        <v>0</v>
      </c>
      <c r="O369" s="3" t="n">
        <f aca="false">IF(N369&gt;0,ROUNDUP(N369/Parametres!$B$7,0)+1,0)</f>
        <v>0</v>
      </c>
      <c r="P369" s="3" t="n">
        <f aca="false">SUMIFS(Equipes!$D$2:$D$60,Equipes!$A$2:$A$60,"LOT-08",Equipes!$B$2:$B$60,"&lt;="&amp;$A369,Equipes!$C$2:$C$60,"&gt;="&amp;$A369)</f>
        <v>6</v>
      </c>
      <c r="Q369" s="3" t="n">
        <f aca="false">IF(P369&gt;0,ROUNDUP(P369/Parametres!$B$7,0)+1,0)</f>
        <v>2</v>
      </c>
    </row>
    <row r="370" customFormat="false" ht="15" hidden="false" customHeight="false" outlineLevel="0" collapsed="false">
      <c r="A370" s="2" t="n">
        <v>46451</v>
      </c>
      <c r="B370" s="3" t="n">
        <f aca="false">SUMIFS(Equipes!$D$2:$D$60,Equipes!$A$2:$A$60,"LOT-01",Equipes!$B$2:$B$60,"&lt;="&amp;$A370,Equipes!$C$2:$C$60,"&gt;="&amp;$A370)</f>
        <v>0</v>
      </c>
      <c r="C370" s="3" t="n">
        <f aca="false">IF(B370&gt;0,ROUNDUP(B370/Parametres!$B$7,0)+1,0)</f>
        <v>0</v>
      </c>
      <c r="D370" s="3" t="n">
        <f aca="false">SUMIFS(Equipes!$D$2:$D$60,Equipes!$A$2:$A$60,"LOT-02",Equipes!$B$2:$B$60,"&lt;="&amp;$A370,Equipes!$C$2:$C$60,"&gt;="&amp;$A370)</f>
        <v>0</v>
      </c>
      <c r="E370" s="3" t="n">
        <f aca="false">IF(D370&gt;0,ROUNDUP(D370/Parametres!$B$7,0)+1,0)</f>
        <v>0</v>
      </c>
      <c r="F370" s="3" t="n">
        <f aca="false">SUMIFS(Equipes!$D$2:$D$60,Equipes!$A$2:$A$60,"LOT-03",Equipes!$B$2:$B$60,"&lt;="&amp;$A370,Equipes!$C$2:$C$60,"&gt;="&amp;$A370)</f>
        <v>0</v>
      </c>
      <c r="G370" s="3" t="n">
        <f aca="false">IF(F370&gt;0,ROUNDUP(F370/Parametres!$B$7,0)+1,0)</f>
        <v>0</v>
      </c>
      <c r="H370" s="3" t="n">
        <f aca="false">SUMIFS(Equipes!$D$2:$D$60,Equipes!$A$2:$A$60,"LOT-04",Equipes!$B$2:$B$60,"&lt;="&amp;$A370,Equipes!$C$2:$C$60,"&gt;="&amp;$A370)</f>
        <v>0</v>
      </c>
      <c r="I370" s="3" t="n">
        <f aca="false">IF(H370&gt;0,ROUNDUP(H370/Parametres!$B$7,0)+1,0)</f>
        <v>0</v>
      </c>
      <c r="J370" s="3" t="n">
        <f aca="false">SUMIFS(Equipes!$D$2:$D$60,Equipes!$A$2:$A$60,"LOT-05",Equipes!$B$2:$B$60,"&lt;="&amp;$A370,Equipes!$C$2:$C$60,"&gt;="&amp;$A370)</f>
        <v>0</v>
      </c>
      <c r="K370" s="3" t="n">
        <f aca="false">IF(J370&gt;0,ROUNDUP(J370/Parametres!$B$7,0)+1,0)</f>
        <v>0</v>
      </c>
      <c r="L370" s="3" t="n">
        <f aca="false">SUMIFS(Equipes!$D$2:$D$60,Equipes!$A$2:$A$60,"LOT-06",Equipes!$B$2:$B$60,"&lt;="&amp;$A370,Equipes!$C$2:$C$60,"&gt;="&amp;$A370)</f>
        <v>0</v>
      </c>
      <c r="M370" s="3" t="n">
        <f aca="false">IF(L370&gt;0,ROUNDUP(L370/Parametres!$B$7,0)+1,0)</f>
        <v>0</v>
      </c>
      <c r="N370" s="3" t="n">
        <f aca="false">SUMIFS(Equipes!$D$2:$D$60,Equipes!$A$2:$A$60,"LOT-07",Equipes!$B$2:$B$60,"&lt;="&amp;$A370,Equipes!$C$2:$C$60,"&gt;="&amp;$A370)</f>
        <v>0</v>
      </c>
      <c r="O370" s="3" t="n">
        <f aca="false">IF(N370&gt;0,ROUNDUP(N370/Parametres!$B$7,0)+1,0)</f>
        <v>0</v>
      </c>
      <c r="P370" s="3" t="n">
        <f aca="false">SUMIFS(Equipes!$D$2:$D$60,Equipes!$A$2:$A$60,"LOT-08",Equipes!$B$2:$B$60,"&lt;="&amp;$A370,Equipes!$C$2:$C$60,"&gt;="&amp;$A370)</f>
        <v>6</v>
      </c>
      <c r="Q370" s="3" t="n">
        <f aca="false">IF(P370&gt;0,ROUNDUP(P370/Parametres!$B$7,0)+1,0)</f>
        <v>2</v>
      </c>
    </row>
    <row r="371" customFormat="false" ht="15" hidden="false" customHeight="false" outlineLevel="0" collapsed="false">
      <c r="A371" s="2" t="n">
        <v>46452</v>
      </c>
      <c r="B371" s="3" t="n">
        <f aca="false">SUMIFS(Equipes!$D$2:$D$60,Equipes!$A$2:$A$60,"LOT-01",Equipes!$B$2:$B$60,"&lt;="&amp;$A371,Equipes!$C$2:$C$60,"&gt;="&amp;$A371)</f>
        <v>0</v>
      </c>
      <c r="C371" s="3" t="n">
        <f aca="false">IF(B371&gt;0,ROUNDUP(B371/Parametres!$B$7,0)+1,0)</f>
        <v>0</v>
      </c>
      <c r="D371" s="3" t="n">
        <f aca="false">SUMIFS(Equipes!$D$2:$D$60,Equipes!$A$2:$A$60,"LOT-02",Equipes!$B$2:$B$60,"&lt;="&amp;$A371,Equipes!$C$2:$C$60,"&gt;="&amp;$A371)</f>
        <v>0</v>
      </c>
      <c r="E371" s="3" t="n">
        <f aca="false">IF(D371&gt;0,ROUNDUP(D371/Parametres!$B$7,0)+1,0)</f>
        <v>0</v>
      </c>
      <c r="F371" s="3" t="n">
        <f aca="false">SUMIFS(Equipes!$D$2:$D$60,Equipes!$A$2:$A$60,"LOT-03",Equipes!$B$2:$B$60,"&lt;="&amp;$A371,Equipes!$C$2:$C$60,"&gt;="&amp;$A371)</f>
        <v>0</v>
      </c>
      <c r="G371" s="3" t="n">
        <f aca="false">IF(F371&gt;0,ROUNDUP(F371/Parametres!$B$7,0)+1,0)</f>
        <v>0</v>
      </c>
      <c r="H371" s="3" t="n">
        <f aca="false">SUMIFS(Equipes!$D$2:$D$60,Equipes!$A$2:$A$60,"LOT-04",Equipes!$B$2:$B$60,"&lt;="&amp;$A371,Equipes!$C$2:$C$60,"&gt;="&amp;$A371)</f>
        <v>0</v>
      </c>
      <c r="I371" s="3" t="n">
        <f aca="false">IF(H371&gt;0,ROUNDUP(H371/Parametres!$B$7,0)+1,0)</f>
        <v>0</v>
      </c>
      <c r="J371" s="3" t="n">
        <f aca="false">SUMIFS(Equipes!$D$2:$D$60,Equipes!$A$2:$A$60,"LOT-05",Equipes!$B$2:$B$60,"&lt;="&amp;$A371,Equipes!$C$2:$C$60,"&gt;="&amp;$A371)</f>
        <v>0</v>
      </c>
      <c r="K371" s="3" t="n">
        <f aca="false">IF(J371&gt;0,ROUNDUP(J371/Parametres!$B$7,0)+1,0)</f>
        <v>0</v>
      </c>
      <c r="L371" s="3" t="n">
        <f aca="false">SUMIFS(Equipes!$D$2:$D$60,Equipes!$A$2:$A$60,"LOT-06",Equipes!$B$2:$B$60,"&lt;="&amp;$A371,Equipes!$C$2:$C$60,"&gt;="&amp;$A371)</f>
        <v>0</v>
      </c>
      <c r="M371" s="3" t="n">
        <f aca="false">IF(L371&gt;0,ROUNDUP(L371/Parametres!$B$7,0)+1,0)</f>
        <v>0</v>
      </c>
      <c r="N371" s="3" t="n">
        <f aca="false">SUMIFS(Equipes!$D$2:$D$60,Equipes!$A$2:$A$60,"LOT-07",Equipes!$B$2:$B$60,"&lt;="&amp;$A371,Equipes!$C$2:$C$60,"&gt;="&amp;$A371)</f>
        <v>0</v>
      </c>
      <c r="O371" s="3" t="n">
        <f aca="false">IF(N371&gt;0,ROUNDUP(N371/Parametres!$B$7,0)+1,0)</f>
        <v>0</v>
      </c>
      <c r="P371" s="3" t="n">
        <f aca="false">SUMIFS(Equipes!$D$2:$D$60,Equipes!$A$2:$A$60,"LOT-08",Equipes!$B$2:$B$60,"&lt;="&amp;$A371,Equipes!$C$2:$C$60,"&gt;="&amp;$A371)</f>
        <v>6</v>
      </c>
      <c r="Q371" s="3" t="n">
        <f aca="false">IF(P371&gt;0,ROUNDUP(P371/Parametres!$B$7,0)+1,0)</f>
        <v>2</v>
      </c>
    </row>
    <row r="372" customFormat="false" ht="15" hidden="false" customHeight="false" outlineLevel="0" collapsed="false">
      <c r="A372" s="2" t="n">
        <v>46453</v>
      </c>
      <c r="B372" s="3" t="n">
        <f aca="false">SUMIFS(Equipes!$D$2:$D$60,Equipes!$A$2:$A$60,"LOT-01",Equipes!$B$2:$B$60,"&lt;="&amp;$A372,Equipes!$C$2:$C$60,"&gt;="&amp;$A372)</f>
        <v>0</v>
      </c>
      <c r="C372" s="3" t="n">
        <f aca="false">IF(B372&gt;0,ROUNDUP(B372/Parametres!$B$7,0)+1,0)</f>
        <v>0</v>
      </c>
      <c r="D372" s="3" t="n">
        <f aca="false">SUMIFS(Equipes!$D$2:$D$60,Equipes!$A$2:$A$60,"LOT-02",Equipes!$B$2:$B$60,"&lt;="&amp;$A372,Equipes!$C$2:$C$60,"&gt;="&amp;$A372)</f>
        <v>0</v>
      </c>
      <c r="E372" s="3" t="n">
        <f aca="false">IF(D372&gt;0,ROUNDUP(D372/Parametres!$B$7,0)+1,0)</f>
        <v>0</v>
      </c>
      <c r="F372" s="3" t="n">
        <f aca="false">SUMIFS(Equipes!$D$2:$D$60,Equipes!$A$2:$A$60,"LOT-03",Equipes!$B$2:$B$60,"&lt;="&amp;$A372,Equipes!$C$2:$C$60,"&gt;="&amp;$A372)</f>
        <v>0</v>
      </c>
      <c r="G372" s="3" t="n">
        <f aca="false">IF(F372&gt;0,ROUNDUP(F372/Parametres!$B$7,0)+1,0)</f>
        <v>0</v>
      </c>
      <c r="H372" s="3" t="n">
        <f aca="false">SUMIFS(Equipes!$D$2:$D$60,Equipes!$A$2:$A$60,"LOT-04",Equipes!$B$2:$B$60,"&lt;="&amp;$A372,Equipes!$C$2:$C$60,"&gt;="&amp;$A372)</f>
        <v>0</v>
      </c>
      <c r="I372" s="3" t="n">
        <f aca="false">IF(H372&gt;0,ROUNDUP(H372/Parametres!$B$7,0)+1,0)</f>
        <v>0</v>
      </c>
      <c r="J372" s="3" t="n">
        <f aca="false">SUMIFS(Equipes!$D$2:$D$60,Equipes!$A$2:$A$60,"LOT-05",Equipes!$B$2:$B$60,"&lt;="&amp;$A372,Equipes!$C$2:$C$60,"&gt;="&amp;$A372)</f>
        <v>0</v>
      </c>
      <c r="K372" s="3" t="n">
        <f aca="false">IF(J372&gt;0,ROUNDUP(J372/Parametres!$B$7,0)+1,0)</f>
        <v>0</v>
      </c>
      <c r="L372" s="3" t="n">
        <f aca="false">SUMIFS(Equipes!$D$2:$D$60,Equipes!$A$2:$A$60,"LOT-06",Equipes!$B$2:$B$60,"&lt;="&amp;$A372,Equipes!$C$2:$C$60,"&gt;="&amp;$A372)</f>
        <v>0</v>
      </c>
      <c r="M372" s="3" t="n">
        <f aca="false">IF(L372&gt;0,ROUNDUP(L372/Parametres!$B$7,0)+1,0)</f>
        <v>0</v>
      </c>
      <c r="N372" s="3" t="n">
        <f aca="false">SUMIFS(Equipes!$D$2:$D$60,Equipes!$A$2:$A$60,"LOT-07",Equipes!$B$2:$B$60,"&lt;="&amp;$A372,Equipes!$C$2:$C$60,"&gt;="&amp;$A372)</f>
        <v>0</v>
      </c>
      <c r="O372" s="3" t="n">
        <f aca="false">IF(N372&gt;0,ROUNDUP(N372/Parametres!$B$7,0)+1,0)</f>
        <v>0</v>
      </c>
      <c r="P372" s="3" t="n">
        <f aca="false">SUMIFS(Equipes!$D$2:$D$60,Equipes!$A$2:$A$60,"LOT-08",Equipes!$B$2:$B$60,"&lt;="&amp;$A372,Equipes!$C$2:$C$60,"&gt;="&amp;$A372)</f>
        <v>6</v>
      </c>
      <c r="Q372" s="3" t="n">
        <f aca="false">IF(P372&gt;0,ROUNDUP(P372/Parametres!$B$7,0)+1,0)</f>
        <v>2</v>
      </c>
    </row>
    <row r="373" customFormat="false" ht="15" hidden="false" customHeight="false" outlineLevel="0" collapsed="false">
      <c r="A373" s="2" t="n">
        <v>46454</v>
      </c>
      <c r="B373" s="3" t="n">
        <f aca="false">SUMIFS(Equipes!$D$2:$D$60,Equipes!$A$2:$A$60,"LOT-01",Equipes!$B$2:$B$60,"&lt;="&amp;$A373,Equipes!$C$2:$C$60,"&gt;="&amp;$A373)</f>
        <v>0</v>
      </c>
      <c r="C373" s="3" t="n">
        <f aca="false">IF(B373&gt;0,ROUNDUP(B373/Parametres!$B$7,0)+1,0)</f>
        <v>0</v>
      </c>
      <c r="D373" s="3" t="n">
        <f aca="false">SUMIFS(Equipes!$D$2:$D$60,Equipes!$A$2:$A$60,"LOT-02",Equipes!$B$2:$B$60,"&lt;="&amp;$A373,Equipes!$C$2:$C$60,"&gt;="&amp;$A373)</f>
        <v>0</v>
      </c>
      <c r="E373" s="3" t="n">
        <f aca="false">IF(D373&gt;0,ROUNDUP(D373/Parametres!$B$7,0)+1,0)</f>
        <v>0</v>
      </c>
      <c r="F373" s="3" t="n">
        <f aca="false">SUMIFS(Equipes!$D$2:$D$60,Equipes!$A$2:$A$60,"LOT-03",Equipes!$B$2:$B$60,"&lt;="&amp;$A373,Equipes!$C$2:$C$60,"&gt;="&amp;$A373)</f>
        <v>0</v>
      </c>
      <c r="G373" s="3" t="n">
        <f aca="false">IF(F373&gt;0,ROUNDUP(F373/Parametres!$B$7,0)+1,0)</f>
        <v>0</v>
      </c>
      <c r="H373" s="3" t="n">
        <f aca="false">SUMIFS(Equipes!$D$2:$D$60,Equipes!$A$2:$A$60,"LOT-04",Equipes!$B$2:$B$60,"&lt;="&amp;$A373,Equipes!$C$2:$C$60,"&gt;="&amp;$A373)</f>
        <v>0</v>
      </c>
      <c r="I373" s="3" t="n">
        <f aca="false">IF(H373&gt;0,ROUNDUP(H373/Parametres!$B$7,0)+1,0)</f>
        <v>0</v>
      </c>
      <c r="J373" s="3" t="n">
        <f aca="false">SUMIFS(Equipes!$D$2:$D$60,Equipes!$A$2:$A$60,"LOT-05",Equipes!$B$2:$B$60,"&lt;="&amp;$A373,Equipes!$C$2:$C$60,"&gt;="&amp;$A373)</f>
        <v>0</v>
      </c>
      <c r="K373" s="3" t="n">
        <f aca="false">IF(J373&gt;0,ROUNDUP(J373/Parametres!$B$7,0)+1,0)</f>
        <v>0</v>
      </c>
      <c r="L373" s="3" t="n">
        <f aca="false">SUMIFS(Equipes!$D$2:$D$60,Equipes!$A$2:$A$60,"LOT-06",Equipes!$B$2:$B$60,"&lt;="&amp;$A373,Equipes!$C$2:$C$60,"&gt;="&amp;$A373)</f>
        <v>0</v>
      </c>
      <c r="M373" s="3" t="n">
        <f aca="false">IF(L373&gt;0,ROUNDUP(L373/Parametres!$B$7,0)+1,0)</f>
        <v>0</v>
      </c>
      <c r="N373" s="3" t="n">
        <f aca="false">SUMIFS(Equipes!$D$2:$D$60,Equipes!$A$2:$A$60,"LOT-07",Equipes!$B$2:$B$60,"&lt;="&amp;$A373,Equipes!$C$2:$C$60,"&gt;="&amp;$A373)</f>
        <v>0</v>
      </c>
      <c r="O373" s="3" t="n">
        <f aca="false">IF(N373&gt;0,ROUNDUP(N373/Parametres!$B$7,0)+1,0)</f>
        <v>0</v>
      </c>
      <c r="P373" s="3" t="n">
        <f aca="false">SUMIFS(Equipes!$D$2:$D$60,Equipes!$A$2:$A$60,"LOT-08",Equipes!$B$2:$B$60,"&lt;="&amp;$A373,Equipes!$C$2:$C$60,"&gt;="&amp;$A373)</f>
        <v>6</v>
      </c>
      <c r="Q373" s="3" t="n">
        <f aca="false">IF(P373&gt;0,ROUNDUP(P373/Parametres!$B$7,0)+1,0)</f>
        <v>2</v>
      </c>
    </row>
    <row r="374" customFormat="false" ht="15" hidden="false" customHeight="false" outlineLevel="0" collapsed="false">
      <c r="A374" s="2" t="n">
        <v>46455</v>
      </c>
      <c r="B374" s="3" t="n">
        <f aca="false">SUMIFS(Equipes!$D$2:$D$60,Equipes!$A$2:$A$60,"LOT-01",Equipes!$B$2:$B$60,"&lt;="&amp;$A374,Equipes!$C$2:$C$60,"&gt;="&amp;$A374)</f>
        <v>0</v>
      </c>
      <c r="C374" s="3" t="n">
        <f aca="false">IF(B374&gt;0,ROUNDUP(B374/Parametres!$B$7,0)+1,0)</f>
        <v>0</v>
      </c>
      <c r="D374" s="3" t="n">
        <f aca="false">SUMIFS(Equipes!$D$2:$D$60,Equipes!$A$2:$A$60,"LOT-02",Equipes!$B$2:$B$60,"&lt;="&amp;$A374,Equipes!$C$2:$C$60,"&gt;="&amp;$A374)</f>
        <v>0</v>
      </c>
      <c r="E374" s="3" t="n">
        <f aca="false">IF(D374&gt;0,ROUNDUP(D374/Parametres!$B$7,0)+1,0)</f>
        <v>0</v>
      </c>
      <c r="F374" s="3" t="n">
        <f aca="false">SUMIFS(Equipes!$D$2:$D$60,Equipes!$A$2:$A$60,"LOT-03",Equipes!$B$2:$B$60,"&lt;="&amp;$A374,Equipes!$C$2:$C$60,"&gt;="&amp;$A374)</f>
        <v>0</v>
      </c>
      <c r="G374" s="3" t="n">
        <f aca="false">IF(F374&gt;0,ROUNDUP(F374/Parametres!$B$7,0)+1,0)</f>
        <v>0</v>
      </c>
      <c r="H374" s="3" t="n">
        <f aca="false">SUMIFS(Equipes!$D$2:$D$60,Equipes!$A$2:$A$60,"LOT-04",Equipes!$B$2:$B$60,"&lt;="&amp;$A374,Equipes!$C$2:$C$60,"&gt;="&amp;$A374)</f>
        <v>0</v>
      </c>
      <c r="I374" s="3" t="n">
        <f aca="false">IF(H374&gt;0,ROUNDUP(H374/Parametres!$B$7,0)+1,0)</f>
        <v>0</v>
      </c>
      <c r="J374" s="3" t="n">
        <f aca="false">SUMIFS(Equipes!$D$2:$D$60,Equipes!$A$2:$A$60,"LOT-05",Equipes!$B$2:$B$60,"&lt;="&amp;$A374,Equipes!$C$2:$C$60,"&gt;="&amp;$A374)</f>
        <v>0</v>
      </c>
      <c r="K374" s="3" t="n">
        <f aca="false">IF(J374&gt;0,ROUNDUP(J374/Parametres!$B$7,0)+1,0)</f>
        <v>0</v>
      </c>
      <c r="L374" s="3" t="n">
        <f aca="false">SUMIFS(Equipes!$D$2:$D$60,Equipes!$A$2:$A$60,"LOT-06",Equipes!$B$2:$B$60,"&lt;="&amp;$A374,Equipes!$C$2:$C$60,"&gt;="&amp;$A374)</f>
        <v>0</v>
      </c>
      <c r="M374" s="3" t="n">
        <f aca="false">IF(L374&gt;0,ROUNDUP(L374/Parametres!$B$7,0)+1,0)</f>
        <v>0</v>
      </c>
      <c r="N374" s="3" t="n">
        <f aca="false">SUMIFS(Equipes!$D$2:$D$60,Equipes!$A$2:$A$60,"LOT-07",Equipes!$B$2:$B$60,"&lt;="&amp;$A374,Equipes!$C$2:$C$60,"&gt;="&amp;$A374)</f>
        <v>0</v>
      </c>
      <c r="O374" s="3" t="n">
        <f aca="false">IF(N374&gt;0,ROUNDUP(N374/Parametres!$B$7,0)+1,0)</f>
        <v>0</v>
      </c>
      <c r="P374" s="3" t="n">
        <f aca="false">SUMIFS(Equipes!$D$2:$D$60,Equipes!$A$2:$A$60,"LOT-08",Equipes!$B$2:$B$60,"&lt;="&amp;$A374,Equipes!$C$2:$C$60,"&gt;="&amp;$A374)</f>
        <v>6</v>
      </c>
      <c r="Q374" s="3" t="n">
        <f aca="false">IF(P374&gt;0,ROUNDUP(P374/Parametres!$B$7,0)+1,0)</f>
        <v>2</v>
      </c>
    </row>
    <row r="375" customFormat="false" ht="15" hidden="false" customHeight="false" outlineLevel="0" collapsed="false">
      <c r="A375" s="2" t="n">
        <v>46456</v>
      </c>
      <c r="B375" s="3" t="n">
        <f aca="false">SUMIFS(Equipes!$D$2:$D$60,Equipes!$A$2:$A$60,"LOT-01",Equipes!$B$2:$B$60,"&lt;="&amp;$A375,Equipes!$C$2:$C$60,"&gt;="&amp;$A375)</f>
        <v>0</v>
      </c>
      <c r="C375" s="3" t="n">
        <f aca="false">IF(B375&gt;0,ROUNDUP(B375/Parametres!$B$7,0)+1,0)</f>
        <v>0</v>
      </c>
      <c r="D375" s="3" t="n">
        <f aca="false">SUMIFS(Equipes!$D$2:$D$60,Equipes!$A$2:$A$60,"LOT-02",Equipes!$B$2:$B$60,"&lt;="&amp;$A375,Equipes!$C$2:$C$60,"&gt;="&amp;$A375)</f>
        <v>0</v>
      </c>
      <c r="E375" s="3" t="n">
        <f aca="false">IF(D375&gt;0,ROUNDUP(D375/Parametres!$B$7,0)+1,0)</f>
        <v>0</v>
      </c>
      <c r="F375" s="3" t="n">
        <f aca="false">SUMIFS(Equipes!$D$2:$D$60,Equipes!$A$2:$A$60,"LOT-03",Equipes!$B$2:$B$60,"&lt;="&amp;$A375,Equipes!$C$2:$C$60,"&gt;="&amp;$A375)</f>
        <v>0</v>
      </c>
      <c r="G375" s="3" t="n">
        <f aca="false">IF(F375&gt;0,ROUNDUP(F375/Parametres!$B$7,0)+1,0)</f>
        <v>0</v>
      </c>
      <c r="H375" s="3" t="n">
        <f aca="false">SUMIFS(Equipes!$D$2:$D$60,Equipes!$A$2:$A$60,"LOT-04",Equipes!$B$2:$B$60,"&lt;="&amp;$A375,Equipes!$C$2:$C$60,"&gt;="&amp;$A375)</f>
        <v>0</v>
      </c>
      <c r="I375" s="3" t="n">
        <f aca="false">IF(H375&gt;0,ROUNDUP(H375/Parametres!$B$7,0)+1,0)</f>
        <v>0</v>
      </c>
      <c r="J375" s="3" t="n">
        <f aca="false">SUMIFS(Equipes!$D$2:$D$60,Equipes!$A$2:$A$60,"LOT-05",Equipes!$B$2:$B$60,"&lt;="&amp;$A375,Equipes!$C$2:$C$60,"&gt;="&amp;$A375)</f>
        <v>0</v>
      </c>
      <c r="K375" s="3" t="n">
        <f aca="false">IF(J375&gt;0,ROUNDUP(J375/Parametres!$B$7,0)+1,0)</f>
        <v>0</v>
      </c>
      <c r="L375" s="3" t="n">
        <f aca="false">SUMIFS(Equipes!$D$2:$D$60,Equipes!$A$2:$A$60,"LOT-06",Equipes!$B$2:$B$60,"&lt;="&amp;$A375,Equipes!$C$2:$C$60,"&gt;="&amp;$A375)</f>
        <v>0</v>
      </c>
      <c r="M375" s="3" t="n">
        <f aca="false">IF(L375&gt;0,ROUNDUP(L375/Parametres!$B$7,0)+1,0)</f>
        <v>0</v>
      </c>
      <c r="N375" s="3" t="n">
        <f aca="false">SUMIFS(Equipes!$D$2:$D$60,Equipes!$A$2:$A$60,"LOT-07",Equipes!$B$2:$B$60,"&lt;="&amp;$A375,Equipes!$C$2:$C$60,"&gt;="&amp;$A375)</f>
        <v>0</v>
      </c>
      <c r="O375" s="3" t="n">
        <f aca="false">IF(N375&gt;0,ROUNDUP(N375/Parametres!$B$7,0)+1,0)</f>
        <v>0</v>
      </c>
      <c r="P375" s="3" t="n">
        <f aca="false">SUMIFS(Equipes!$D$2:$D$60,Equipes!$A$2:$A$60,"LOT-08",Equipes!$B$2:$B$60,"&lt;="&amp;$A375,Equipes!$C$2:$C$60,"&gt;="&amp;$A375)</f>
        <v>6</v>
      </c>
      <c r="Q375" s="3" t="n">
        <f aca="false">IF(P375&gt;0,ROUNDUP(P375/Parametres!$B$7,0)+1,0)</f>
        <v>2</v>
      </c>
    </row>
    <row r="376" customFormat="false" ht="15" hidden="false" customHeight="false" outlineLevel="0" collapsed="false">
      <c r="A376" s="2" t="n">
        <v>46457</v>
      </c>
      <c r="B376" s="3" t="n">
        <f aca="false">SUMIFS(Equipes!$D$2:$D$60,Equipes!$A$2:$A$60,"LOT-01",Equipes!$B$2:$B$60,"&lt;="&amp;$A376,Equipes!$C$2:$C$60,"&gt;="&amp;$A376)</f>
        <v>0</v>
      </c>
      <c r="C376" s="3" t="n">
        <f aca="false">IF(B376&gt;0,ROUNDUP(B376/Parametres!$B$7,0)+1,0)</f>
        <v>0</v>
      </c>
      <c r="D376" s="3" t="n">
        <f aca="false">SUMIFS(Equipes!$D$2:$D$60,Equipes!$A$2:$A$60,"LOT-02",Equipes!$B$2:$B$60,"&lt;="&amp;$A376,Equipes!$C$2:$C$60,"&gt;="&amp;$A376)</f>
        <v>0</v>
      </c>
      <c r="E376" s="3" t="n">
        <f aca="false">IF(D376&gt;0,ROUNDUP(D376/Parametres!$B$7,0)+1,0)</f>
        <v>0</v>
      </c>
      <c r="F376" s="3" t="n">
        <f aca="false">SUMIFS(Equipes!$D$2:$D$60,Equipes!$A$2:$A$60,"LOT-03",Equipes!$B$2:$B$60,"&lt;="&amp;$A376,Equipes!$C$2:$C$60,"&gt;="&amp;$A376)</f>
        <v>0</v>
      </c>
      <c r="G376" s="3" t="n">
        <f aca="false">IF(F376&gt;0,ROUNDUP(F376/Parametres!$B$7,0)+1,0)</f>
        <v>0</v>
      </c>
      <c r="H376" s="3" t="n">
        <f aca="false">SUMIFS(Equipes!$D$2:$D$60,Equipes!$A$2:$A$60,"LOT-04",Equipes!$B$2:$B$60,"&lt;="&amp;$A376,Equipes!$C$2:$C$60,"&gt;="&amp;$A376)</f>
        <v>0</v>
      </c>
      <c r="I376" s="3" t="n">
        <f aca="false">IF(H376&gt;0,ROUNDUP(H376/Parametres!$B$7,0)+1,0)</f>
        <v>0</v>
      </c>
      <c r="J376" s="3" t="n">
        <f aca="false">SUMIFS(Equipes!$D$2:$D$60,Equipes!$A$2:$A$60,"LOT-05",Equipes!$B$2:$B$60,"&lt;="&amp;$A376,Equipes!$C$2:$C$60,"&gt;="&amp;$A376)</f>
        <v>0</v>
      </c>
      <c r="K376" s="3" t="n">
        <f aca="false">IF(J376&gt;0,ROUNDUP(J376/Parametres!$B$7,0)+1,0)</f>
        <v>0</v>
      </c>
      <c r="L376" s="3" t="n">
        <f aca="false">SUMIFS(Equipes!$D$2:$D$60,Equipes!$A$2:$A$60,"LOT-06",Equipes!$B$2:$B$60,"&lt;="&amp;$A376,Equipes!$C$2:$C$60,"&gt;="&amp;$A376)</f>
        <v>0</v>
      </c>
      <c r="M376" s="3" t="n">
        <f aca="false">IF(L376&gt;0,ROUNDUP(L376/Parametres!$B$7,0)+1,0)</f>
        <v>0</v>
      </c>
      <c r="N376" s="3" t="n">
        <f aca="false">SUMIFS(Equipes!$D$2:$D$60,Equipes!$A$2:$A$60,"LOT-07",Equipes!$B$2:$B$60,"&lt;="&amp;$A376,Equipes!$C$2:$C$60,"&gt;="&amp;$A376)</f>
        <v>0</v>
      </c>
      <c r="O376" s="3" t="n">
        <f aca="false">IF(N376&gt;0,ROUNDUP(N376/Parametres!$B$7,0)+1,0)</f>
        <v>0</v>
      </c>
      <c r="P376" s="3" t="n">
        <f aca="false">SUMIFS(Equipes!$D$2:$D$60,Equipes!$A$2:$A$60,"LOT-08",Equipes!$B$2:$B$60,"&lt;="&amp;$A376,Equipes!$C$2:$C$60,"&gt;="&amp;$A376)</f>
        <v>6</v>
      </c>
      <c r="Q376" s="3" t="n">
        <f aca="false">IF(P376&gt;0,ROUNDUP(P376/Parametres!$B$7,0)+1,0)</f>
        <v>2</v>
      </c>
    </row>
    <row r="377" customFormat="false" ht="15" hidden="false" customHeight="false" outlineLevel="0" collapsed="false">
      <c r="A377" s="2" t="n">
        <v>46458</v>
      </c>
      <c r="B377" s="3" t="n">
        <f aca="false">SUMIFS(Equipes!$D$2:$D$60,Equipes!$A$2:$A$60,"LOT-01",Equipes!$B$2:$B$60,"&lt;="&amp;$A377,Equipes!$C$2:$C$60,"&gt;="&amp;$A377)</f>
        <v>0</v>
      </c>
      <c r="C377" s="3" t="n">
        <f aca="false">IF(B377&gt;0,ROUNDUP(B377/Parametres!$B$7,0)+1,0)</f>
        <v>0</v>
      </c>
      <c r="D377" s="3" t="n">
        <f aca="false">SUMIFS(Equipes!$D$2:$D$60,Equipes!$A$2:$A$60,"LOT-02",Equipes!$B$2:$B$60,"&lt;="&amp;$A377,Equipes!$C$2:$C$60,"&gt;="&amp;$A377)</f>
        <v>0</v>
      </c>
      <c r="E377" s="3" t="n">
        <f aca="false">IF(D377&gt;0,ROUNDUP(D377/Parametres!$B$7,0)+1,0)</f>
        <v>0</v>
      </c>
      <c r="F377" s="3" t="n">
        <f aca="false">SUMIFS(Equipes!$D$2:$D$60,Equipes!$A$2:$A$60,"LOT-03",Equipes!$B$2:$B$60,"&lt;="&amp;$A377,Equipes!$C$2:$C$60,"&gt;="&amp;$A377)</f>
        <v>0</v>
      </c>
      <c r="G377" s="3" t="n">
        <f aca="false">IF(F377&gt;0,ROUNDUP(F377/Parametres!$B$7,0)+1,0)</f>
        <v>0</v>
      </c>
      <c r="H377" s="3" t="n">
        <f aca="false">SUMIFS(Equipes!$D$2:$D$60,Equipes!$A$2:$A$60,"LOT-04",Equipes!$B$2:$B$60,"&lt;="&amp;$A377,Equipes!$C$2:$C$60,"&gt;="&amp;$A377)</f>
        <v>0</v>
      </c>
      <c r="I377" s="3" t="n">
        <f aca="false">IF(H377&gt;0,ROUNDUP(H377/Parametres!$B$7,0)+1,0)</f>
        <v>0</v>
      </c>
      <c r="J377" s="3" t="n">
        <f aca="false">SUMIFS(Equipes!$D$2:$D$60,Equipes!$A$2:$A$60,"LOT-05",Equipes!$B$2:$B$60,"&lt;="&amp;$A377,Equipes!$C$2:$C$60,"&gt;="&amp;$A377)</f>
        <v>0</v>
      </c>
      <c r="K377" s="3" t="n">
        <f aca="false">IF(J377&gt;0,ROUNDUP(J377/Parametres!$B$7,0)+1,0)</f>
        <v>0</v>
      </c>
      <c r="L377" s="3" t="n">
        <f aca="false">SUMIFS(Equipes!$D$2:$D$60,Equipes!$A$2:$A$60,"LOT-06",Equipes!$B$2:$B$60,"&lt;="&amp;$A377,Equipes!$C$2:$C$60,"&gt;="&amp;$A377)</f>
        <v>0</v>
      </c>
      <c r="M377" s="3" t="n">
        <f aca="false">IF(L377&gt;0,ROUNDUP(L377/Parametres!$B$7,0)+1,0)</f>
        <v>0</v>
      </c>
      <c r="N377" s="3" t="n">
        <f aca="false">SUMIFS(Equipes!$D$2:$D$60,Equipes!$A$2:$A$60,"LOT-07",Equipes!$B$2:$B$60,"&lt;="&amp;$A377,Equipes!$C$2:$C$60,"&gt;="&amp;$A377)</f>
        <v>0</v>
      </c>
      <c r="O377" s="3" t="n">
        <f aca="false">IF(N377&gt;0,ROUNDUP(N377/Parametres!$B$7,0)+1,0)</f>
        <v>0</v>
      </c>
      <c r="P377" s="3" t="n">
        <f aca="false">SUMIFS(Equipes!$D$2:$D$60,Equipes!$A$2:$A$60,"LOT-08",Equipes!$B$2:$B$60,"&lt;="&amp;$A377,Equipes!$C$2:$C$60,"&gt;="&amp;$A377)</f>
        <v>6</v>
      </c>
      <c r="Q377" s="3" t="n">
        <f aca="false">IF(P377&gt;0,ROUNDUP(P377/Parametres!$B$7,0)+1,0)</f>
        <v>2</v>
      </c>
    </row>
    <row r="378" customFormat="false" ht="15" hidden="false" customHeight="false" outlineLevel="0" collapsed="false">
      <c r="A378" s="2" t="n">
        <v>46459</v>
      </c>
      <c r="B378" s="3" t="n">
        <f aca="false">SUMIFS(Equipes!$D$2:$D$60,Equipes!$A$2:$A$60,"LOT-01",Equipes!$B$2:$B$60,"&lt;="&amp;$A378,Equipes!$C$2:$C$60,"&gt;="&amp;$A378)</f>
        <v>0</v>
      </c>
      <c r="C378" s="3" t="n">
        <f aca="false">IF(B378&gt;0,ROUNDUP(B378/Parametres!$B$7,0)+1,0)</f>
        <v>0</v>
      </c>
      <c r="D378" s="3" t="n">
        <f aca="false">SUMIFS(Equipes!$D$2:$D$60,Equipes!$A$2:$A$60,"LOT-02",Equipes!$B$2:$B$60,"&lt;="&amp;$A378,Equipes!$C$2:$C$60,"&gt;="&amp;$A378)</f>
        <v>0</v>
      </c>
      <c r="E378" s="3" t="n">
        <f aca="false">IF(D378&gt;0,ROUNDUP(D378/Parametres!$B$7,0)+1,0)</f>
        <v>0</v>
      </c>
      <c r="F378" s="3" t="n">
        <f aca="false">SUMIFS(Equipes!$D$2:$D$60,Equipes!$A$2:$A$60,"LOT-03",Equipes!$B$2:$B$60,"&lt;="&amp;$A378,Equipes!$C$2:$C$60,"&gt;="&amp;$A378)</f>
        <v>0</v>
      </c>
      <c r="G378" s="3" t="n">
        <f aca="false">IF(F378&gt;0,ROUNDUP(F378/Parametres!$B$7,0)+1,0)</f>
        <v>0</v>
      </c>
      <c r="H378" s="3" t="n">
        <f aca="false">SUMIFS(Equipes!$D$2:$D$60,Equipes!$A$2:$A$60,"LOT-04",Equipes!$B$2:$B$60,"&lt;="&amp;$A378,Equipes!$C$2:$C$60,"&gt;="&amp;$A378)</f>
        <v>0</v>
      </c>
      <c r="I378" s="3" t="n">
        <f aca="false">IF(H378&gt;0,ROUNDUP(H378/Parametres!$B$7,0)+1,0)</f>
        <v>0</v>
      </c>
      <c r="J378" s="3" t="n">
        <f aca="false">SUMIFS(Equipes!$D$2:$D$60,Equipes!$A$2:$A$60,"LOT-05",Equipes!$B$2:$B$60,"&lt;="&amp;$A378,Equipes!$C$2:$C$60,"&gt;="&amp;$A378)</f>
        <v>0</v>
      </c>
      <c r="K378" s="3" t="n">
        <f aca="false">IF(J378&gt;0,ROUNDUP(J378/Parametres!$B$7,0)+1,0)</f>
        <v>0</v>
      </c>
      <c r="L378" s="3" t="n">
        <f aca="false">SUMIFS(Equipes!$D$2:$D$60,Equipes!$A$2:$A$60,"LOT-06",Equipes!$B$2:$B$60,"&lt;="&amp;$A378,Equipes!$C$2:$C$60,"&gt;="&amp;$A378)</f>
        <v>0</v>
      </c>
      <c r="M378" s="3" t="n">
        <f aca="false">IF(L378&gt;0,ROUNDUP(L378/Parametres!$B$7,0)+1,0)</f>
        <v>0</v>
      </c>
      <c r="N378" s="3" t="n">
        <f aca="false">SUMIFS(Equipes!$D$2:$D$60,Equipes!$A$2:$A$60,"LOT-07",Equipes!$B$2:$B$60,"&lt;="&amp;$A378,Equipes!$C$2:$C$60,"&gt;="&amp;$A378)</f>
        <v>0</v>
      </c>
      <c r="O378" s="3" t="n">
        <f aca="false">IF(N378&gt;0,ROUNDUP(N378/Parametres!$B$7,0)+1,0)</f>
        <v>0</v>
      </c>
      <c r="P378" s="3" t="n">
        <f aca="false">SUMIFS(Equipes!$D$2:$D$60,Equipes!$A$2:$A$60,"LOT-08",Equipes!$B$2:$B$60,"&lt;="&amp;$A378,Equipes!$C$2:$C$60,"&gt;="&amp;$A378)</f>
        <v>6</v>
      </c>
      <c r="Q378" s="3" t="n">
        <f aca="false">IF(P378&gt;0,ROUNDUP(P378/Parametres!$B$7,0)+1,0)</f>
        <v>2</v>
      </c>
    </row>
    <row r="379" customFormat="false" ht="15" hidden="false" customHeight="false" outlineLevel="0" collapsed="false">
      <c r="A379" s="2" t="n">
        <v>46460</v>
      </c>
      <c r="B379" s="3" t="n">
        <f aca="false">SUMIFS(Equipes!$D$2:$D$60,Equipes!$A$2:$A$60,"LOT-01",Equipes!$B$2:$B$60,"&lt;="&amp;$A379,Equipes!$C$2:$C$60,"&gt;="&amp;$A379)</f>
        <v>0</v>
      </c>
      <c r="C379" s="3" t="n">
        <f aca="false">IF(B379&gt;0,ROUNDUP(B379/Parametres!$B$7,0)+1,0)</f>
        <v>0</v>
      </c>
      <c r="D379" s="3" t="n">
        <f aca="false">SUMIFS(Equipes!$D$2:$D$60,Equipes!$A$2:$A$60,"LOT-02",Equipes!$B$2:$B$60,"&lt;="&amp;$A379,Equipes!$C$2:$C$60,"&gt;="&amp;$A379)</f>
        <v>0</v>
      </c>
      <c r="E379" s="3" t="n">
        <f aca="false">IF(D379&gt;0,ROUNDUP(D379/Parametres!$B$7,0)+1,0)</f>
        <v>0</v>
      </c>
      <c r="F379" s="3" t="n">
        <f aca="false">SUMIFS(Equipes!$D$2:$D$60,Equipes!$A$2:$A$60,"LOT-03",Equipes!$B$2:$B$60,"&lt;="&amp;$A379,Equipes!$C$2:$C$60,"&gt;="&amp;$A379)</f>
        <v>0</v>
      </c>
      <c r="G379" s="3" t="n">
        <f aca="false">IF(F379&gt;0,ROUNDUP(F379/Parametres!$B$7,0)+1,0)</f>
        <v>0</v>
      </c>
      <c r="H379" s="3" t="n">
        <f aca="false">SUMIFS(Equipes!$D$2:$D$60,Equipes!$A$2:$A$60,"LOT-04",Equipes!$B$2:$B$60,"&lt;="&amp;$A379,Equipes!$C$2:$C$60,"&gt;="&amp;$A379)</f>
        <v>0</v>
      </c>
      <c r="I379" s="3" t="n">
        <f aca="false">IF(H379&gt;0,ROUNDUP(H379/Parametres!$B$7,0)+1,0)</f>
        <v>0</v>
      </c>
      <c r="J379" s="3" t="n">
        <f aca="false">SUMIFS(Equipes!$D$2:$D$60,Equipes!$A$2:$A$60,"LOT-05",Equipes!$B$2:$B$60,"&lt;="&amp;$A379,Equipes!$C$2:$C$60,"&gt;="&amp;$A379)</f>
        <v>0</v>
      </c>
      <c r="K379" s="3" t="n">
        <f aca="false">IF(J379&gt;0,ROUNDUP(J379/Parametres!$B$7,0)+1,0)</f>
        <v>0</v>
      </c>
      <c r="L379" s="3" t="n">
        <f aca="false">SUMIFS(Equipes!$D$2:$D$60,Equipes!$A$2:$A$60,"LOT-06",Equipes!$B$2:$B$60,"&lt;="&amp;$A379,Equipes!$C$2:$C$60,"&gt;="&amp;$A379)</f>
        <v>0</v>
      </c>
      <c r="M379" s="3" t="n">
        <f aca="false">IF(L379&gt;0,ROUNDUP(L379/Parametres!$B$7,0)+1,0)</f>
        <v>0</v>
      </c>
      <c r="N379" s="3" t="n">
        <f aca="false">SUMIFS(Equipes!$D$2:$D$60,Equipes!$A$2:$A$60,"LOT-07",Equipes!$B$2:$B$60,"&lt;="&amp;$A379,Equipes!$C$2:$C$60,"&gt;="&amp;$A379)</f>
        <v>0</v>
      </c>
      <c r="O379" s="3" t="n">
        <f aca="false">IF(N379&gt;0,ROUNDUP(N379/Parametres!$B$7,0)+1,0)</f>
        <v>0</v>
      </c>
      <c r="P379" s="3" t="n">
        <f aca="false">SUMIFS(Equipes!$D$2:$D$60,Equipes!$A$2:$A$60,"LOT-08",Equipes!$B$2:$B$60,"&lt;="&amp;$A379,Equipes!$C$2:$C$60,"&gt;="&amp;$A379)</f>
        <v>6</v>
      </c>
      <c r="Q379" s="3" t="n">
        <f aca="false">IF(P379&gt;0,ROUNDUP(P379/Parametres!$B$7,0)+1,0)</f>
        <v>2</v>
      </c>
    </row>
    <row r="380" customFormat="false" ht="15" hidden="false" customHeight="false" outlineLevel="0" collapsed="false">
      <c r="A380" s="2" t="n">
        <v>46461</v>
      </c>
      <c r="B380" s="3" t="n">
        <f aca="false">SUMIFS(Equipes!$D$2:$D$60,Equipes!$A$2:$A$60,"LOT-01",Equipes!$B$2:$B$60,"&lt;="&amp;$A380,Equipes!$C$2:$C$60,"&gt;="&amp;$A380)</f>
        <v>0</v>
      </c>
      <c r="C380" s="3" t="n">
        <f aca="false">IF(B380&gt;0,ROUNDUP(B380/Parametres!$B$7,0)+1,0)</f>
        <v>0</v>
      </c>
      <c r="D380" s="3" t="n">
        <f aca="false">SUMIFS(Equipes!$D$2:$D$60,Equipes!$A$2:$A$60,"LOT-02",Equipes!$B$2:$B$60,"&lt;="&amp;$A380,Equipes!$C$2:$C$60,"&gt;="&amp;$A380)</f>
        <v>0</v>
      </c>
      <c r="E380" s="3" t="n">
        <f aca="false">IF(D380&gt;0,ROUNDUP(D380/Parametres!$B$7,0)+1,0)</f>
        <v>0</v>
      </c>
      <c r="F380" s="3" t="n">
        <f aca="false">SUMIFS(Equipes!$D$2:$D$60,Equipes!$A$2:$A$60,"LOT-03",Equipes!$B$2:$B$60,"&lt;="&amp;$A380,Equipes!$C$2:$C$60,"&gt;="&amp;$A380)</f>
        <v>0</v>
      </c>
      <c r="G380" s="3" t="n">
        <f aca="false">IF(F380&gt;0,ROUNDUP(F380/Parametres!$B$7,0)+1,0)</f>
        <v>0</v>
      </c>
      <c r="H380" s="3" t="n">
        <f aca="false">SUMIFS(Equipes!$D$2:$D$60,Equipes!$A$2:$A$60,"LOT-04",Equipes!$B$2:$B$60,"&lt;="&amp;$A380,Equipes!$C$2:$C$60,"&gt;="&amp;$A380)</f>
        <v>0</v>
      </c>
      <c r="I380" s="3" t="n">
        <f aca="false">IF(H380&gt;0,ROUNDUP(H380/Parametres!$B$7,0)+1,0)</f>
        <v>0</v>
      </c>
      <c r="J380" s="3" t="n">
        <f aca="false">SUMIFS(Equipes!$D$2:$D$60,Equipes!$A$2:$A$60,"LOT-05",Equipes!$B$2:$B$60,"&lt;="&amp;$A380,Equipes!$C$2:$C$60,"&gt;="&amp;$A380)</f>
        <v>0</v>
      </c>
      <c r="K380" s="3" t="n">
        <f aca="false">IF(J380&gt;0,ROUNDUP(J380/Parametres!$B$7,0)+1,0)</f>
        <v>0</v>
      </c>
      <c r="L380" s="3" t="n">
        <f aca="false">SUMIFS(Equipes!$D$2:$D$60,Equipes!$A$2:$A$60,"LOT-06",Equipes!$B$2:$B$60,"&lt;="&amp;$A380,Equipes!$C$2:$C$60,"&gt;="&amp;$A380)</f>
        <v>0</v>
      </c>
      <c r="M380" s="3" t="n">
        <f aca="false">IF(L380&gt;0,ROUNDUP(L380/Parametres!$B$7,0)+1,0)</f>
        <v>0</v>
      </c>
      <c r="N380" s="3" t="n">
        <f aca="false">SUMIFS(Equipes!$D$2:$D$60,Equipes!$A$2:$A$60,"LOT-07",Equipes!$B$2:$B$60,"&lt;="&amp;$A380,Equipes!$C$2:$C$60,"&gt;="&amp;$A380)</f>
        <v>0</v>
      </c>
      <c r="O380" s="3" t="n">
        <f aca="false">IF(N380&gt;0,ROUNDUP(N380/Parametres!$B$7,0)+1,0)</f>
        <v>0</v>
      </c>
      <c r="P380" s="3" t="n">
        <f aca="false">SUMIFS(Equipes!$D$2:$D$60,Equipes!$A$2:$A$60,"LOT-08",Equipes!$B$2:$B$60,"&lt;="&amp;$A380,Equipes!$C$2:$C$60,"&gt;="&amp;$A380)</f>
        <v>6</v>
      </c>
      <c r="Q380" s="3" t="n">
        <f aca="false">IF(P380&gt;0,ROUNDUP(P380/Parametres!$B$7,0)+1,0)</f>
        <v>2</v>
      </c>
    </row>
    <row r="381" customFormat="false" ht="15" hidden="false" customHeight="false" outlineLevel="0" collapsed="false">
      <c r="A381" s="2" t="n">
        <v>46462</v>
      </c>
      <c r="B381" s="3" t="n">
        <f aca="false">SUMIFS(Equipes!$D$2:$D$60,Equipes!$A$2:$A$60,"LOT-01",Equipes!$B$2:$B$60,"&lt;="&amp;$A381,Equipes!$C$2:$C$60,"&gt;="&amp;$A381)</f>
        <v>0</v>
      </c>
      <c r="C381" s="3" t="n">
        <f aca="false">IF(B381&gt;0,ROUNDUP(B381/Parametres!$B$7,0)+1,0)</f>
        <v>0</v>
      </c>
      <c r="D381" s="3" t="n">
        <f aca="false">SUMIFS(Equipes!$D$2:$D$60,Equipes!$A$2:$A$60,"LOT-02",Equipes!$B$2:$B$60,"&lt;="&amp;$A381,Equipes!$C$2:$C$60,"&gt;="&amp;$A381)</f>
        <v>0</v>
      </c>
      <c r="E381" s="3" t="n">
        <f aca="false">IF(D381&gt;0,ROUNDUP(D381/Parametres!$B$7,0)+1,0)</f>
        <v>0</v>
      </c>
      <c r="F381" s="3" t="n">
        <f aca="false">SUMIFS(Equipes!$D$2:$D$60,Equipes!$A$2:$A$60,"LOT-03",Equipes!$B$2:$B$60,"&lt;="&amp;$A381,Equipes!$C$2:$C$60,"&gt;="&amp;$A381)</f>
        <v>0</v>
      </c>
      <c r="G381" s="3" t="n">
        <f aca="false">IF(F381&gt;0,ROUNDUP(F381/Parametres!$B$7,0)+1,0)</f>
        <v>0</v>
      </c>
      <c r="H381" s="3" t="n">
        <f aca="false">SUMIFS(Equipes!$D$2:$D$60,Equipes!$A$2:$A$60,"LOT-04",Equipes!$B$2:$B$60,"&lt;="&amp;$A381,Equipes!$C$2:$C$60,"&gt;="&amp;$A381)</f>
        <v>0</v>
      </c>
      <c r="I381" s="3" t="n">
        <f aca="false">IF(H381&gt;0,ROUNDUP(H381/Parametres!$B$7,0)+1,0)</f>
        <v>0</v>
      </c>
      <c r="J381" s="3" t="n">
        <f aca="false">SUMIFS(Equipes!$D$2:$D$60,Equipes!$A$2:$A$60,"LOT-05",Equipes!$B$2:$B$60,"&lt;="&amp;$A381,Equipes!$C$2:$C$60,"&gt;="&amp;$A381)</f>
        <v>0</v>
      </c>
      <c r="K381" s="3" t="n">
        <f aca="false">IF(J381&gt;0,ROUNDUP(J381/Parametres!$B$7,0)+1,0)</f>
        <v>0</v>
      </c>
      <c r="L381" s="3" t="n">
        <f aca="false">SUMIFS(Equipes!$D$2:$D$60,Equipes!$A$2:$A$60,"LOT-06",Equipes!$B$2:$B$60,"&lt;="&amp;$A381,Equipes!$C$2:$C$60,"&gt;="&amp;$A381)</f>
        <v>0</v>
      </c>
      <c r="M381" s="3" t="n">
        <f aca="false">IF(L381&gt;0,ROUNDUP(L381/Parametres!$B$7,0)+1,0)</f>
        <v>0</v>
      </c>
      <c r="N381" s="3" t="n">
        <f aca="false">SUMIFS(Equipes!$D$2:$D$60,Equipes!$A$2:$A$60,"LOT-07",Equipes!$B$2:$B$60,"&lt;="&amp;$A381,Equipes!$C$2:$C$60,"&gt;="&amp;$A381)</f>
        <v>0</v>
      </c>
      <c r="O381" s="3" t="n">
        <f aca="false">IF(N381&gt;0,ROUNDUP(N381/Parametres!$B$7,0)+1,0)</f>
        <v>0</v>
      </c>
      <c r="P381" s="3" t="n">
        <f aca="false">SUMIFS(Equipes!$D$2:$D$60,Equipes!$A$2:$A$60,"LOT-08",Equipes!$B$2:$B$60,"&lt;="&amp;$A381,Equipes!$C$2:$C$60,"&gt;="&amp;$A381)</f>
        <v>6</v>
      </c>
      <c r="Q381" s="3" t="n">
        <f aca="false">IF(P381&gt;0,ROUNDUP(P381/Parametres!$B$7,0)+1,0)</f>
        <v>2</v>
      </c>
    </row>
    <row r="382" customFormat="false" ht="15" hidden="false" customHeight="false" outlineLevel="0" collapsed="false">
      <c r="A382" s="2" t="n">
        <v>46463</v>
      </c>
      <c r="B382" s="3" t="n">
        <f aca="false">SUMIFS(Equipes!$D$2:$D$60,Equipes!$A$2:$A$60,"LOT-01",Equipes!$B$2:$B$60,"&lt;="&amp;$A382,Equipes!$C$2:$C$60,"&gt;="&amp;$A382)</f>
        <v>0</v>
      </c>
      <c r="C382" s="3" t="n">
        <f aca="false">IF(B382&gt;0,ROUNDUP(B382/Parametres!$B$7,0)+1,0)</f>
        <v>0</v>
      </c>
      <c r="D382" s="3" t="n">
        <f aca="false">SUMIFS(Equipes!$D$2:$D$60,Equipes!$A$2:$A$60,"LOT-02",Equipes!$B$2:$B$60,"&lt;="&amp;$A382,Equipes!$C$2:$C$60,"&gt;="&amp;$A382)</f>
        <v>0</v>
      </c>
      <c r="E382" s="3" t="n">
        <f aca="false">IF(D382&gt;0,ROUNDUP(D382/Parametres!$B$7,0)+1,0)</f>
        <v>0</v>
      </c>
      <c r="F382" s="3" t="n">
        <f aca="false">SUMIFS(Equipes!$D$2:$D$60,Equipes!$A$2:$A$60,"LOT-03",Equipes!$B$2:$B$60,"&lt;="&amp;$A382,Equipes!$C$2:$C$60,"&gt;="&amp;$A382)</f>
        <v>0</v>
      </c>
      <c r="G382" s="3" t="n">
        <f aca="false">IF(F382&gt;0,ROUNDUP(F382/Parametres!$B$7,0)+1,0)</f>
        <v>0</v>
      </c>
      <c r="H382" s="3" t="n">
        <f aca="false">SUMIFS(Equipes!$D$2:$D$60,Equipes!$A$2:$A$60,"LOT-04",Equipes!$B$2:$B$60,"&lt;="&amp;$A382,Equipes!$C$2:$C$60,"&gt;="&amp;$A382)</f>
        <v>0</v>
      </c>
      <c r="I382" s="3" t="n">
        <f aca="false">IF(H382&gt;0,ROUNDUP(H382/Parametres!$B$7,0)+1,0)</f>
        <v>0</v>
      </c>
      <c r="J382" s="3" t="n">
        <f aca="false">SUMIFS(Equipes!$D$2:$D$60,Equipes!$A$2:$A$60,"LOT-05",Equipes!$B$2:$B$60,"&lt;="&amp;$A382,Equipes!$C$2:$C$60,"&gt;="&amp;$A382)</f>
        <v>0</v>
      </c>
      <c r="K382" s="3" t="n">
        <f aca="false">IF(J382&gt;0,ROUNDUP(J382/Parametres!$B$7,0)+1,0)</f>
        <v>0</v>
      </c>
      <c r="L382" s="3" t="n">
        <f aca="false">SUMIFS(Equipes!$D$2:$D$60,Equipes!$A$2:$A$60,"LOT-06",Equipes!$B$2:$B$60,"&lt;="&amp;$A382,Equipes!$C$2:$C$60,"&gt;="&amp;$A382)</f>
        <v>0</v>
      </c>
      <c r="M382" s="3" t="n">
        <f aca="false">IF(L382&gt;0,ROUNDUP(L382/Parametres!$B$7,0)+1,0)</f>
        <v>0</v>
      </c>
      <c r="N382" s="3" t="n">
        <f aca="false">SUMIFS(Equipes!$D$2:$D$60,Equipes!$A$2:$A$60,"LOT-07",Equipes!$B$2:$B$60,"&lt;="&amp;$A382,Equipes!$C$2:$C$60,"&gt;="&amp;$A382)</f>
        <v>0</v>
      </c>
      <c r="O382" s="3" t="n">
        <f aca="false">IF(N382&gt;0,ROUNDUP(N382/Parametres!$B$7,0)+1,0)</f>
        <v>0</v>
      </c>
      <c r="P382" s="3" t="n">
        <f aca="false">SUMIFS(Equipes!$D$2:$D$60,Equipes!$A$2:$A$60,"LOT-08",Equipes!$B$2:$B$60,"&lt;="&amp;$A382,Equipes!$C$2:$C$60,"&gt;="&amp;$A382)</f>
        <v>6</v>
      </c>
      <c r="Q382" s="3" t="n">
        <f aca="false">IF(P382&gt;0,ROUNDUP(P382/Parametres!$B$7,0)+1,0)</f>
        <v>2</v>
      </c>
    </row>
    <row r="383" customFormat="false" ht="15" hidden="false" customHeight="false" outlineLevel="0" collapsed="false">
      <c r="A383" s="2" t="n">
        <v>46464</v>
      </c>
      <c r="B383" s="3" t="n">
        <f aca="false">SUMIFS(Equipes!$D$2:$D$60,Equipes!$A$2:$A$60,"LOT-01",Equipes!$B$2:$B$60,"&lt;="&amp;$A383,Equipes!$C$2:$C$60,"&gt;="&amp;$A383)</f>
        <v>0</v>
      </c>
      <c r="C383" s="3" t="n">
        <f aca="false">IF(B383&gt;0,ROUNDUP(B383/Parametres!$B$7,0)+1,0)</f>
        <v>0</v>
      </c>
      <c r="D383" s="3" t="n">
        <f aca="false">SUMIFS(Equipes!$D$2:$D$60,Equipes!$A$2:$A$60,"LOT-02",Equipes!$B$2:$B$60,"&lt;="&amp;$A383,Equipes!$C$2:$C$60,"&gt;="&amp;$A383)</f>
        <v>0</v>
      </c>
      <c r="E383" s="3" t="n">
        <f aca="false">IF(D383&gt;0,ROUNDUP(D383/Parametres!$B$7,0)+1,0)</f>
        <v>0</v>
      </c>
      <c r="F383" s="3" t="n">
        <f aca="false">SUMIFS(Equipes!$D$2:$D$60,Equipes!$A$2:$A$60,"LOT-03",Equipes!$B$2:$B$60,"&lt;="&amp;$A383,Equipes!$C$2:$C$60,"&gt;="&amp;$A383)</f>
        <v>0</v>
      </c>
      <c r="G383" s="3" t="n">
        <f aca="false">IF(F383&gt;0,ROUNDUP(F383/Parametres!$B$7,0)+1,0)</f>
        <v>0</v>
      </c>
      <c r="H383" s="3" t="n">
        <f aca="false">SUMIFS(Equipes!$D$2:$D$60,Equipes!$A$2:$A$60,"LOT-04",Equipes!$B$2:$B$60,"&lt;="&amp;$A383,Equipes!$C$2:$C$60,"&gt;="&amp;$A383)</f>
        <v>0</v>
      </c>
      <c r="I383" s="3" t="n">
        <f aca="false">IF(H383&gt;0,ROUNDUP(H383/Parametres!$B$7,0)+1,0)</f>
        <v>0</v>
      </c>
      <c r="J383" s="3" t="n">
        <f aca="false">SUMIFS(Equipes!$D$2:$D$60,Equipes!$A$2:$A$60,"LOT-05",Equipes!$B$2:$B$60,"&lt;="&amp;$A383,Equipes!$C$2:$C$60,"&gt;="&amp;$A383)</f>
        <v>0</v>
      </c>
      <c r="K383" s="3" t="n">
        <f aca="false">IF(J383&gt;0,ROUNDUP(J383/Parametres!$B$7,0)+1,0)</f>
        <v>0</v>
      </c>
      <c r="L383" s="3" t="n">
        <f aca="false">SUMIFS(Equipes!$D$2:$D$60,Equipes!$A$2:$A$60,"LOT-06",Equipes!$B$2:$B$60,"&lt;="&amp;$A383,Equipes!$C$2:$C$60,"&gt;="&amp;$A383)</f>
        <v>0</v>
      </c>
      <c r="M383" s="3" t="n">
        <f aca="false">IF(L383&gt;0,ROUNDUP(L383/Parametres!$B$7,0)+1,0)</f>
        <v>0</v>
      </c>
      <c r="N383" s="3" t="n">
        <f aca="false">SUMIFS(Equipes!$D$2:$D$60,Equipes!$A$2:$A$60,"LOT-07",Equipes!$B$2:$B$60,"&lt;="&amp;$A383,Equipes!$C$2:$C$60,"&gt;="&amp;$A383)</f>
        <v>0</v>
      </c>
      <c r="O383" s="3" t="n">
        <f aca="false">IF(N383&gt;0,ROUNDUP(N383/Parametres!$B$7,0)+1,0)</f>
        <v>0</v>
      </c>
      <c r="P383" s="3" t="n">
        <f aca="false">SUMIFS(Equipes!$D$2:$D$60,Equipes!$A$2:$A$60,"LOT-08",Equipes!$B$2:$B$60,"&lt;="&amp;$A383,Equipes!$C$2:$C$60,"&gt;="&amp;$A383)</f>
        <v>6</v>
      </c>
      <c r="Q383" s="3" t="n">
        <f aca="false">IF(P383&gt;0,ROUNDUP(P383/Parametres!$B$7,0)+1,0)</f>
        <v>2</v>
      </c>
    </row>
    <row r="384" customFormat="false" ht="15" hidden="false" customHeight="false" outlineLevel="0" collapsed="false">
      <c r="A384" s="2" t="n">
        <v>46465</v>
      </c>
      <c r="B384" s="3" t="n">
        <f aca="false">SUMIFS(Equipes!$D$2:$D$60,Equipes!$A$2:$A$60,"LOT-01",Equipes!$B$2:$B$60,"&lt;="&amp;$A384,Equipes!$C$2:$C$60,"&gt;="&amp;$A384)</f>
        <v>0</v>
      </c>
      <c r="C384" s="3" t="n">
        <f aca="false">IF(B384&gt;0,ROUNDUP(B384/Parametres!$B$7,0)+1,0)</f>
        <v>0</v>
      </c>
      <c r="D384" s="3" t="n">
        <f aca="false">SUMIFS(Equipes!$D$2:$D$60,Equipes!$A$2:$A$60,"LOT-02",Equipes!$B$2:$B$60,"&lt;="&amp;$A384,Equipes!$C$2:$C$60,"&gt;="&amp;$A384)</f>
        <v>0</v>
      </c>
      <c r="E384" s="3" t="n">
        <f aca="false">IF(D384&gt;0,ROUNDUP(D384/Parametres!$B$7,0)+1,0)</f>
        <v>0</v>
      </c>
      <c r="F384" s="3" t="n">
        <f aca="false">SUMIFS(Equipes!$D$2:$D$60,Equipes!$A$2:$A$60,"LOT-03",Equipes!$B$2:$B$60,"&lt;="&amp;$A384,Equipes!$C$2:$C$60,"&gt;="&amp;$A384)</f>
        <v>0</v>
      </c>
      <c r="G384" s="3" t="n">
        <f aca="false">IF(F384&gt;0,ROUNDUP(F384/Parametres!$B$7,0)+1,0)</f>
        <v>0</v>
      </c>
      <c r="H384" s="3" t="n">
        <f aca="false">SUMIFS(Equipes!$D$2:$D$60,Equipes!$A$2:$A$60,"LOT-04",Equipes!$B$2:$B$60,"&lt;="&amp;$A384,Equipes!$C$2:$C$60,"&gt;="&amp;$A384)</f>
        <v>0</v>
      </c>
      <c r="I384" s="3" t="n">
        <f aca="false">IF(H384&gt;0,ROUNDUP(H384/Parametres!$B$7,0)+1,0)</f>
        <v>0</v>
      </c>
      <c r="J384" s="3" t="n">
        <f aca="false">SUMIFS(Equipes!$D$2:$D$60,Equipes!$A$2:$A$60,"LOT-05",Equipes!$B$2:$B$60,"&lt;="&amp;$A384,Equipes!$C$2:$C$60,"&gt;="&amp;$A384)</f>
        <v>0</v>
      </c>
      <c r="K384" s="3" t="n">
        <f aca="false">IF(J384&gt;0,ROUNDUP(J384/Parametres!$B$7,0)+1,0)</f>
        <v>0</v>
      </c>
      <c r="L384" s="3" t="n">
        <f aca="false">SUMIFS(Equipes!$D$2:$D$60,Equipes!$A$2:$A$60,"LOT-06",Equipes!$B$2:$B$60,"&lt;="&amp;$A384,Equipes!$C$2:$C$60,"&gt;="&amp;$A384)</f>
        <v>0</v>
      </c>
      <c r="M384" s="3" t="n">
        <f aca="false">IF(L384&gt;0,ROUNDUP(L384/Parametres!$B$7,0)+1,0)</f>
        <v>0</v>
      </c>
      <c r="N384" s="3" t="n">
        <f aca="false">SUMIFS(Equipes!$D$2:$D$60,Equipes!$A$2:$A$60,"LOT-07",Equipes!$B$2:$B$60,"&lt;="&amp;$A384,Equipes!$C$2:$C$60,"&gt;="&amp;$A384)</f>
        <v>0</v>
      </c>
      <c r="O384" s="3" t="n">
        <f aca="false">IF(N384&gt;0,ROUNDUP(N384/Parametres!$B$7,0)+1,0)</f>
        <v>0</v>
      </c>
      <c r="P384" s="3" t="n">
        <f aca="false">SUMIFS(Equipes!$D$2:$D$60,Equipes!$A$2:$A$60,"LOT-08",Equipes!$B$2:$B$60,"&lt;="&amp;$A384,Equipes!$C$2:$C$60,"&gt;="&amp;$A384)</f>
        <v>6</v>
      </c>
      <c r="Q384" s="3" t="n">
        <f aca="false">IF(P384&gt;0,ROUNDUP(P384/Parametres!$B$7,0)+1,0)</f>
        <v>2</v>
      </c>
    </row>
    <row r="385" customFormat="false" ht="15" hidden="false" customHeight="false" outlineLevel="0" collapsed="false">
      <c r="A385" s="2" t="n">
        <v>46466</v>
      </c>
      <c r="B385" s="3" t="n">
        <f aca="false">SUMIFS(Equipes!$D$2:$D$60,Equipes!$A$2:$A$60,"LOT-01",Equipes!$B$2:$B$60,"&lt;="&amp;$A385,Equipes!$C$2:$C$60,"&gt;="&amp;$A385)</f>
        <v>0</v>
      </c>
      <c r="C385" s="3" t="n">
        <f aca="false">IF(B385&gt;0,ROUNDUP(B385/Parametres!$B$7,0)+1,0)</f>
        <v>0</v>
      </c>
      <c r="D385" s="3" t="n">
        <f aca="false">SUMIFS(Equipes!$D$2:$D$60,Equipes!$A$2:$A$60,"LOT-02",Equipes!$B$2:$B$60,"&lt;="&amp;$A385,Equipes!$C$2:$C$60,"&gt;="&amp;$A385)</f>
        <v>0</v>
      </c>
      <c r="E385" s="3" t="n">
        <f aca="false">IF(D385&gt;0,ROUNDUP(D385/Parametres!$B$7,0)+1,0)</f>
        <v>0</v>
      </c>
      <c r="F385" s="3" t="n">
        <f aca="false">SUMIFS(Equipes!$D$2:$D$60,Equipes!$A$2:$A$60,"LOT-03",Equipes!$B$2:$B$60,"&lt;="&amp;$A385,Equipes!$C$2:$C$60,"&gt;="&amp;$A385)</f>
        <v>0</v>
      </c>
      <c r="G385" s="3" t="n">
        <f aca="false">IF(F385&gt;0,ROUNDUP(F385/Parametres!$B$7,0)+1,0)</f>
        <v>0</v>
      </c>
      <c r="H385" s="3" t="n">
        <f aca="false">SUMIFS(Equipes!$D$2:$D$60,Equipes!$A$2:$A$60,"LOT-04",Equipes!$B$2:$B$60,"&lt;="&amp;$A385,Equipes!$C$2:$C$60,"&gt;="&amp;$A385)</f>
        <v>0</v>
      </c>
      <c r="I385" s="3" t="n">
        <f aca="false">IF(H385&gt;0,ROUNDUP(H385/Parametres!$B$7,0)+1,0)</f>
        <v>0</v>
      </c>
      <c r="J385" s="3" t="n">
        <f aca="false">SUMIFS(Equipes!$D$2:$D$60,Equipes!$A$2:$A$60,"LOT-05",Equipes!$B$2:$B$60,"&lt;="&amp;$A385,Equipes!$C$2:$C$60,"&gt;="&amp;$A385)</f>
        <v>0</v>
      </c>
      <c r="K385" s="3" t="n">
        <f aca="false">IF(J385&gt;0,ROUNDUP(J385/Parametres!$B$7,0)+1,0)</f>
        <v>0</v>
      </c>
      <c r="L385" s="3" t="n">
        <f aca="false">SUMIFS(Equipes!$D$2:$D$60,Equipes!$A$2:$A$60,"LOT-06",Equipes!$B$2:$B$60,"&lt;="&amp;$A385,Equipes!$C$2:$C$60,"&gt;="&amp;$A385)</f>
        <v>0</v>
      </c>
      <c r="M385" s="3" t="n">
        <f aca="false">IF(L385&gt;0,ROUNDUP(L385/Parametres!$B$7,0)+1,0)</f>
        <v>0</v>
      </c>
      <c r="N385" s="3" t="n">
        <f aca="false">SUMIFS(Equipes!$D$2:$D$60,Equipes!$A$2:$A$60,"LOT-07",Equipes!$B$2:$B$60,"&lt;="&amp;$A385,Equipes!$C$2:$C$60,"&gt;="&amp;$A385)</f>
        <v>0</v>
      </c>
      <c r="O385" s="3" t="n">
        <f aca="false">IF(N385&gt;0,ROUNDUP(N385/Parametres!$B$7,0)+1,0)</f>
        <v>0</v>
      </c>
      <c r="P385" s="3" t="n">
        <f aca="false">SUMIFS(Equipes!$D$2:$D$60,Equipes!$A$2:$A$60,"LOT-08",Equipes!$B$2:$B$60,"&lt;="&amp;$A385,Equipes!$C$2:$C$60,"&gt;="&amp;$A385)</f>
        <v>6</v>
      </c>
      <c r="Q385" s="3" t="n">
        <f aca="false">IF(P385&gt;0,ROUNDUP(P385/Parametres!$B$7,0)+1,0)</f>
        <v>2</v>
      </c>
    </row>
    <row r="386" customFormat="false" ht="15" hidden="false" customHeight="false" outlineLevel="0" collapsed="false">
      <c r="A386" s="2" t="n">
        <v>46467</v>
      </c>
      <c r="B386" s="3" t="n">
        <f aca="false">SUMIFS(Equipes!$D$2:$D$60,Equipes!$A$2:$A$60,"LOT-01",Equipes!$B$2:$B$60,"&lt;="&amp;$A386,Equipes!$C$2:$C$60,"&gt;="&amp;$A386)</f>
        <v>0</v>
      </c>
      <c r="C386" s="3" t="n">
        <f aca="false">IF(B386&gt;0,ROUNDUP(B386/Parametres!$B$7,0)+1,0)</f>
        <v>0</v>
      </c>
      <c r="D386" s="3" t="n">
        <f aca="false">SUMIFS(Equipes!$D$2:$D$60,Equipes!$A$2:$A$60,"LOT-02",Equipes!$B$2:$B$60,"&lt;="&amp;$A386,Equipes!$C$2:$C$60,"&gt;="&amp;$A386)</f>
        <v>0</v>
      </c>
      <c r="E386" s="3" t="n">
        <f aca="false">IF(D386&gt;0,ROUNDUP(D386/Parametres!$B$7,0)+1,0)</f>
        <v>0</v>
      </c>
      <c r="F386" s="3" t="n">
        <f aca="false">SUMIFS(Equipes!$D$2:$D$60,Equipes!$A$2:$A$60,"LOT-03",Equipes!$B$2:$B$60,"&lt;="&amp;$A386,Equipes!$C$2:$C$60,"&gt;="&amp;$A386)</f>
        <v>0</v>
      </c>
      <c r="G386" s="3" t="n">
        <f aca="false">IF(F386&gt;0,ROUNDUP(F386/Parametres!$B$7,0)+1,0)</f>
        <v>0</v>
      </c>
      <c r="H386" s="3" t="n">
        <f aca="false">SUMIFS(Equipes!$D$2:$D$60,Equipes!$A$2:$A$60,"LOT-04",Equipes!$B$2:$B$60,"&lt;="&amp;$A386,Equipes!$C$2:$C$60,"&gt;="&amp;$A386)</f>
        <v>0</v>
      </c>
      <c r="I386" s="3" t="n">
        <f aca="false">IF(H386&gt;0,ROUNDUP(H386/Parametres!$B$7,0)+1,0)</f>
        <v>0</v>
      </c>
      <c r="J386" s="3" t="n">
        <f aca="false">SUMIFS(Equipes!$D$2:$D$60,Equipes!$A$2:$A$60,"LOT-05",Equipes!$B$2:$B$60,"&lt;="&amp;$A386,Equipes!$C$2:$C$60,"&gt;="&amp;$A386)</f>
        <v>0</v>
      </c>
      <c r="K386" s="3" t="n">
        <f aca="false">IF(J386&gt;0,ROUNDUP(J386/Parametres!$B$7,0)+1,0)</f>
        <v>0</v>
      </c>
      <c r="L386" s="3" t="n">
        <f aca="false">SUMIFS(Equipes!$D$2:$D$60,Equipes!$A$2:$A$60,"LOT-06",Equipes!$B$2:$B$60,"&lt;="&amp;$A386,Equipes!$C$2:$C$60,"&gt;="&amp;$A386)</f>
        <v>0</v>
      </c>
      <c r="M386" s="3" t="n">
        <f aca="false">IF(L386&gt;0,ROUNDUP(L386/Parametres!$B$7,0)+1,0)</f>
        <v>0</v>
      </c>
      <c r="N386" s="3" t="n">
        <f aca="false">SUMIFS(Equipes!$D$2:$D$60,Equipes!$A$2:$A$60,"LOT-07",Equipes!$B$2:$B$60,"&lt;="&amp;$A386,Equipes!$C$2:$C$60,"&gt;="&amp;$A386)</f>
        <v>0</v>
      </c>
      <c r="O386" s="3" t="n">
        <f aca="false">IF(N386&gt;0,ROUNDUP(N386/Parametres!$B$7,0)+1,0)</f>
        <v>0</v>
      </c>
      <c r="P386" s="3" t="n">
        <f aca="false">SUMIFS(Equipes!$D$2:$D$60,Equipes!$A$2:$A$60,"LOT-08",Equipes!$B$2:$B$60,"&lt;="&amp;$A386,Equipes!$C$2:$C$60,"&gt;="&amp;$A386)</f>
        <v>12</v>
      </c>
      <c r="Q386" s="3" t="n">
        <f aca="false">IF(P386&gt;0,ROUNDUP(P386/Parametres!$B$7,0)+1,0)</f>
        <v>2</v>
      </c>
    </row>
    <row r="387" customFormat="false" ht="15" hidden="false" customHeight="false" outlineLevel="0" collapsed="false">
      <c r="A387" s="2" t="n">
        <v>46468</v>
      </c>
      <c r="B387" s="3" t="n">
        <f aca="false">SUMIFS(Equipes!$D$2:$D$60,Equipes!$A$2:$A$60,"LOT-01",Equipes!$B$2:$B$60,"&lt;="&amp;$A387,Equipes!$C$2:$C$60,"&gt;="&amp;$A387)</f>
        <v>0</v>
      </c>
      <c r="C387" s="3" t="n">
        <f aca="false">IF(B387&gt;0,ROUNDUP(B387/Parametres!$B$7,0)+1,0)</f>
        <v>0</v>
      </c>
      <c r="D387" s="3" t="n">
        <f aca="false">SUMIFS(Equipes!$D$2:$D$60,Equipes!$A$2:$A$60,"LOT-02",Equipes!$B$2:$B$60,"&lt;="&amp;$A387,Equipes!$C$2:$C$60,"&gt;="&amp;$A387)</f>
        <v>0</v>
      </c>
      <c r="E387" s="3" t="n">
        <f aca="false">IF(D387&gt;0,ROUNDUP(D387/Parametres!$B$7,0)+1,0)</f>
        <v>0</v>
      </c>
      <c r="F387" s="3" t="n">
        <f aca="false">SUMIFS(Equipes!$D$2:$D$60,Equipes!$A$2:$A$60,"LOT-03",Equipes!$B$2:$B$60,"&lt;="&amp;$A387,Equipes!$C$2:$C$60,"&gt;="&amp;$A387)</f>
        <v>0</v>
      </c>
      <c r="G387" s="3" t="n">
        <f aca="false">IF(F387&gt;0,ROUNDUP(F387/Parametres!$B$7,0)+1,0)</f>
        <v>0</v>
      </c>
      <c r="H387" s="3" t="n">
        <f aca="false">SUMIFS(Equipes!$D$2:$D$60,Equipes!$A$2:$A$60,"LOT-04",Equipes!$B$2:$B$60,"&lt;="&amp;$A387,Equipes!$C$2:$C$60,"&gt;="&amp;$A387)</f>
        <v>0</v>
      </c>
      <c r="I387" s="3" t="n">
        <f aca="false">IF(H387&gt;0,ROUNDUP(H387/Parametres!$B$7,0)+1,0)</f>
        <v>0</v>
      </c>
      <c r="J387" s="3" t="n">
        <f aca="false">SUMIFS(Equipes!$D$2:$D$60,Equipes!$A$2:$A$60,"LOT-05",Equipes!$B$2:$B$60,"&lt;="&amp;$A387,Equipes!$C$2:$C$60,"&gt;="&amp;$A387)</f>
        <v>0</v>
      </c>
      <c r="K387" s="3" t="n">
        <f aca="false">IF(J387&gt;0,ROUNDUP(J387/Parametres!$B$7,0)+1,0)</f>
        <v>0</v>
      </c>
      <c r="L387" s="3" t="n">
        <f aca="false">SUMIFS(Equipes!$D$2:$D$60,Equipes!$A$2:$A$60,"LOT-06",Equipes!$B$2:$B$60,"&lt;="&amp;$A387,Equipes!$C$2:$C$60,"&gt;="&amp;$A387)</f>
        <v>0</v>
      </c>
      <c r="M387" s="3" t="n">
        <f aca="false">IF(L387&gt;0,ROUNDUP(L387/Parametres!$B$7,0)+1,0)</f>
        <v>0</v>
      </c>
      <c r="N387" s="3" t="n">
        <f aca="false">SUMIFS(Equipes!$D$2:$D$60,Equipes!$A$2:$A$60,"LOT-07",Equipes!$B$2:$B$60,"&lt;="&amp;$A387,Equipes!$C$2:$C$60,"&gt;="&amp;$A387)</f>
        <v>0</v>
      </c>
      <c r="O387" s="3" t="n">
        <f aca="false">IF(N387&gt;0,ROUNDUP(N387/Parametres!$B$7,0)+1,0)</f>
        <v>0</v>
      </c>
      <c r="P387" s="3" t="n">
        <f aca="false">SUMIFS(Equipes!$D$2:$D$60,Equipes!$A$2:$A$60,"LOT-08",Equipes!$B$2:$B$60,"&lt;="&amp;$A387,Equipes!$C$2:$C$60,"&gt;="&amp;$A387)</f>
        <v>12</v>
      </c>
      <c r="Q387" s="3" t="n">
        <f aca="false">IF(P387&gt;0,ROUNDUP(P387/Parametres!$B$7,0)+1,0)</f>
        <v>2</v>
      </c>
    </row>
    <row r="388" customFormat="false" ht="15" hidden="false" customHeight="false" outlineLevel="0" collapsed="false">
      <c r="A388" s="2" t="n">
        <v>46469</v>
      </c>
      <c r="B388" s="3" t="n">
        <f aca="false">SUMIFS(Equipes!$D$2:$D$60,Equipes!$A$2:$A$60,"LOT-01",Equipes!$B$2:$B$60,"&lt;="&amp;$A388,Equipes!$C$2:$C$60,"&gt;="&amp;$A388)</f>
        <v>0</v>
      </c>
      <c r="C388" s="3" t="n">
        <f aca="false">IF(B388&gt;0,ROUNDUP(B388/Parametres!$B$7,0)+1,0)</f>
        <v>0</v>
      </c>
      <c r="D388" s="3" t="n">
        <f aca="false">SUMIFS(Equipes!$D$2:$D$60,Equipes!$A$2:$A$60,"LOT-02",Equipes!$B$2:$B$60,"&lt;="&amp;$A388,Equipes!$C$2:$C$60,"&gt;="&amp;$A388)</f>
        <v>0</v>
      </c>
      <c r="E388" s="3" t="n">
        <f aca="false">IF(D388&gt;0,ROUNDUP(D388/Parametres!$B$7,0)+1,0)</f>
        <v>0</v>
      </c>
      <c r="F388" s="3" t="n">
        <f aca="false">SUMIFS(Equipes!$D$2:$D$60,Equipes!$A$2:$A$60,"LOT-03",Equipes!$B$2:$B$60,"&lt;="&amp;$A388,Equipes!$C$2:$C$60,"&gt;="&amp;$A388)</f>
        <v>0</v>
      </c>
      <c r="G388" s="3" t="n">
        <f aca="false">IF(F388&gt;0,ROUNDUP(F388/Parametres!$B$7,0)+1,0)</f>
        <v>0</v>
      </c>
      <c r="H388" s="3" t="n">
        <f aca="false">SUMIFS(Equipes!$D$2:$D$60,Equipes!$A$2:$A$60,"LOT-04",Equipes!$B$2:$B$60,"&lt;="&amp;$A388,Equipes!$C$2:$C$60,"&gt;="&amp;$A388)</f>
        <v>0</v>
      </c>
      <c r="I388" s="3" t="n">
        <f aca="false">IF(H388&gt;0,ROUNDUP(H388/Parametres!$B$7,0)+1,0)</f>
        <v>0</v>
      </c>
      <c r="J388" s="3" t="n">
        <f aca="false">SUMIFS(Equipes!$D$2:$D$60,Equipes!$A$2:$A$60,"LOT-05",Equipes!$B$2:$B$60,"&lt;="&amp;$A388,Equipes!$C$2:$C$60,"&gt;="&amp;$A388)</f>
        <v>0</v>
      </c>
      <c r="K388" s="3" t="n">
        <f aca="false">IF(J388&gt;0,ROUNDUP(J388/Parametres!$B$7,0)+1,0)</f>
        <v>0</v>
      </c>
      <c r="L388" s="3" t="n">
        <f aca="false">SUMIFS(Equipes!$D$2:$D$60,Equipes!$A$2:$A$60,"LOT-06",Equipes!$B$2:$B$60,"&lt;="&amp;$A388,Equipes!$C$2:$C$60,"&gt;="&amp;$A388)</f>
        <v>0</v>
      </c>
      <c r="M388" s="3" t="n">
        <f aca="false">IF(L388&gt;0,ROUNDUP(L388/Parametres!$B$7,0)+1,0)</f>
        <v>0</v>
      </c>
      <c r="N388" s="3" t="n">
        <f aca="false">SUMIFS(Equipes!$D$2:$D$60,Equipes!$A$2:$A$60,"LOT-07",Equipes!$B$2:$B$60,"&lt;="&amp;$A388,Equipes!$C$2:$C$60,"&gt;="&amp;$A388)</f>
        <v>0</v>
      </c>
      <c r="O388" s="3" t="n">
        <f aca="false">IF(N388&gt;0,ROUNDUP(N388/Parametres!$B$7,0)+1,0)</f>
        <v>0</v>
      </c>
      <c r="P388" s="3" t="n">
        <f aca="false">SUMIFS(Equipes!$D$2:$D$60,Equipes!$A$2:$A$60,"LOT-08",Equipes!$B$2:$B$60,"&lt;="&amp;$A388,Equipes!$C$2:$C$60,"&gt;="&amp;$A388)</f>
        <v>12</v>
      </c>
      <c r="Q388" s="3" t="n">
        <f aca="false">IF(P388&gt;0,ROUNDUP(P388/Parametres!$B$7,0)+1,0)</f>
        <v>2</v>
      </c>
    </row>
    <row r="389" customFormat="false" ht="15" hidden="false" customHeight="false" outlineLevel="0" collapsed="false">
      <c r="A389" s="2" t="n">
        <v>46470</v>
      </c>
      <c r="B389" s="3" t="n">
        <f aca="false">SUMIFS(Equipes!$D$2:$D$60,Equipes!$A$2:$A$60,"LOT-01",Equipes!$B$2:$B$60,"&lt;="&amp;$A389,Equipes!$C$2:$C$60,"&gt;="&amp;$A389)</f>
        <v>0</v>
      </c>
      <c r="C389" s="3" t="n">
        <f aca="false">IF(B389&gt;0,ROUNDUP(B389/Parametres!$B$7,0)+1,0)</f>
        <v>0</v>
      </c>
      <c r="D389" s="3" t="n">
        <f aca="false">SUMIFS(Equipes!$D$2:$D$60,Equipes!$A$2:$A$60,"LOT-02",Equipes!$B$2:$B$60,"&lt;="&amp;$A389,Equipes!$C$2:$C$60,"&gt;="&amp;$A389)</f>
        <v>0</v>
      </c>
      <c r="E389" s="3" t="n">
        <f aca="false">IF(D389&gt;0,ROUNDUP(D389/Parametres!$B$7,0)+1,0)</f>
        <v>0</v>
      </c>
      <c r="F389" s="3" t="n">
        <f aca="false">SUMIFS(Equipes!$D$2:$D$60,Equipes!$A$2:$A$60,"LOT-03",Equipes!$B$2:$B$60,"&lt;="&amp;$A389,Equipes!$C$2:$C$60,"&gt;="&amp;$A389)</f>
        <v>0</v>
      </c>
      <c r="G389" s="3" t="n">
        <f aca="false">IF(F389&gt;0,ROUNDUP(F389/Parametres!$B$7,0)+1,0)</f>
        <v>0</v>
      </c>
      <c r="H389" s="3" t="n">
        <f aca="false">SUMIFS(Equipes!$D$2:$D$60,Equipes!$A$2:$A$60,"LOT-04",Equipes!$B$2:$B$60,"&lt;="&amp;$A389,Equipes!$C$2:$C$60,"&gt;="&amp;$A389)</f>
        <v>0</v>
      </c>
      <c r="I389" s="3" t="n">
        <f aca="false">IF(H389&gt;0,ROUNDUP(H389/Parametres!$B$7,0)+1,0)</f>
        <v>0</v>
      </c>
      <c r="J389" s="3" t="n">
        <f aca="false">SUMIFS(Equipes!$D$2:$D$60,Equipes!$A$2:$A$60,"LOT-05",Equipes!$B$2:$B$60,"&lt;="&amp;$A389,Equipes!$C$2:$C$60,"&gt;="&amp;$A389)</f>
        <v>0</v>
      </c>
      <c r="K389" s="3" t="n">
        <f aca="false">IF(J389&gt;0,ROUNDUP(J389/Parametres!$B$7,0)+1,0)</f>
        <v>0</v>
      </c>
      <c r="L389" s="3" t="n">
        <f aca="false">SUMIFS(Equipes!$D$2:$D$60,Equipes!$A$2:$A$60,"LOT-06",Equipes!$B$2:$B$60,"&lt;="&amp;$A389,Equipes!$C$2:$C$60,"&gt;="&amp;$A389)</f>
        <v>0</v>
      </c>
      <c r="M389" s="3" t="n">
        <f aca="false">IF(L389&gt;0,ROUNDUP(L389/Parametres!$B$7,0)+1,0)</f>
        <v>0</v>
      </c>
      <c r="N389" s="3" t="n">
        <f aca="false">SUMIFS(Equipes!$D$2:$D$60,Equipes!$A$2:$A$60,"LOT-07",Equipes!$B$2:$B$60,"&lt;="&amp;$A389,Equipes!$C$2:$C$60,"&gt;="&amp;$A389)</f>
        <v>0</v>
      </c>
      <c r="O389" s="3" t="n">
        <f aca="false">IF(N389&gt;0,ROUNDUP(N389/Parametres!$B$7,0)+1,0)</f>
        <v>0</v>
      </c>
      <c r="P389" s="3" t="n">
        <f aca="false">SUMIFS(Equipes!$D$2:$D$60,Equipes!$A$2:$A$60,"LOT-08",Equipes!$B$2:$B$60,"&lt;="&amp;$A389,Equipes!$C$2:$C$60,"&gt;="&amp;$A389)</f>
        <v>12</v>
      </c>
      <c r="Q389" s="3" t="n">
        <f aca="false">IF(P389&gt;0,ROUNDUP(P389/Parametres!$B$7,0)+1,0)</f>
        <v>2</v>
      </c>
    </row>
    <row r="390" customFormat="false" ht="15" hidden="false" customHeight="false" outlineLevel="0" collapsed="false">
      <c r="A390" s="2" t="n">
        <v>46471</v>
      </c>
      <c r="B390" s="3" t="n">
        <f aca="false">SUMIFS(Equipes!$D$2:$D$60,Equipes!$A$2:$A$60,"LOT-01",Equipes!$B$2:$B$60,"&lt;="&amp;$A390,Equipes!$C$2:$C$60,"&gt;="&amp;$A390)</f>
        <v>0</v>
      </c>
      <c r="C390" s="3" t="n">
        <f aca="false">IF(B390&gt;0,ROUNDUP(B390/Parametres!$B$7,0)+1,0)</f>
        <v>0</v>
      </c>
      <c r="D390" s="3" t="n">
        <f aca="false">SUMIFS(Equipes!$D$2:$D$60,Equipes!$A$2:$A$60,"LOT-02",Equipes!$B$2:$B$60,"&lt;="&amp;$A390,Equipes!$C$2:$C$60,"&gt;="&amp;$A390)</f>
        <v>0</v>
      </c>
      <c r="E390" s="3" t="n">
        <f aca="false">IF(D390&gt;0,ROUNDUP(D390/Parametres!$B$7,0)+1,0)</f>
        <v>0</v>
      </c>
      <c r="F390" s="3" t="n">
        <f aca="false">SUMIFS(Equipes!$D$2:$D$60,Equipes!$A$2:$A$60,"LOT-03",Equipes!$B$2:$B$60,"&lt;="&amp;$A390,Equipes!$C$2:$C$60,"&gt;="&amp;$A390)</f>
        <v>0</v>
      </c>
      <c r="G390" s="3" t="n">
        <f aca="false">IF(F390&gt;0,ROUNDUP(F390/Parametres!$B$7,0)+1,0)</f>
        <v>0</v>
      </c>
      <c r="H390" s="3" t="n">
        <f aca="false">SUMIFS(Equipes!$D$2:$D$60,Equipes!$A$2:$A$60,"LOT-04",Equipes!$B$2:$B$60,"&lt;="&amp;$A390,Equipes!$C$2:$C$60,"&gt;="&amp;$A390)</f>
        <v>0</v>
      </c>
      <c r="I390" s="3" t="n">
        <f aca="false">IF(H390&gt;0,ROUNDUP(H390/Parametres!$B$7,0)+1,0)</f>
        <v>0</v>
      </c>
      <c r="J390" s="3" t="n">
        <f aca="false">SUMIFS(Equipes!$D$2:$D$60,Equipes!$A$2:$A$60,"LOT-05",Equipes!$B$2:$B$60,"&lt;="&amp;$A390,Equipes!$C$2:$C$60,"&gt;="&amp;$A390)</f>
        <v>0</v>
      </c>
      <c r="K390" s="3" t="n">
        <f aca="false">IF(J390&gt;0,ROUNDUP(J390/Parametres!$B$7,0)+1,0)</f>
        <v>0</v>
      </c>
      <c r="L390" s="3" t="n">
        <f aca="false">SUMIFS(Equipes!$D$2:$D$60,Equipes!$A$2:$A$60,"LOT-06",Equipes!$B$2:$B$60,"&lt;="&amp;$A390,Equipes!$C$2:$C$60,"&gt;="&amp;$A390)</f>
        <v>0</v>
      </c>
      <c r="M390" s="3" t="n">
        <f aca="false">IF(L390&gt;0,ROUNDUP(L390/Parametres!$B$7,0)+1,0)</f>
        <v>0</v>
      </c>
      <c r="N390" s="3" t="n">
        <f aca="false">SUMIFS(Equipes!$D$2:$D$60,Equipes!$A$2:$A$60,"LOT-07",Equipes!$B$2:$B$60,"&lt;="&amp;$A390,Equipes!$C$2:$C$60,"&gt;="&amp;$A390)</f>
        <v>0</v>
      </c>
      <c r="O390" s="3" t="n">
        <f aca="false">IF(N390&gt;0,ROUNDUP(N390/Parametres!$B$7,0)+1,0)</f>
        <v>0</v>
      </c>
      <c r="P390" s="3" t="n">
        <f aca="false">SUMIFS(Equipes!$D$2:$D$60,Equipes!$A$2:$A$60,"LOT-08",Equipes!$B$2:$B$60,"&lt;="&amp;$A390,Equipes!$C$2:$C$60,"&gt;="&amp;$A390)</f>
        <v>12</v>
      </c>
      <c r="Q390" s="3" t="n">
        <f aca="false">IF(P390&gt;0,ROUNDUP(P390/Parametres!$B$7,0)+1,0)</f>
        <v>2</v>
      </c>
    </row>
    <row r="391" customFormat="false" ht="15" hidden="false" customHeight="false" outlineLevel="0" collapsed="false">
      <c r="A391" s="2" t="n">
        <v>46472</v>
      </c>
      <c r="B391" s="3" t="n">
        <f aca="false">SUMIFS(Equipes!$D$2:$D$60,Equipes!$A$2:$A$60,"LOT-01",Equipes!$B$2:$B$60,"&lt;="&amp;$A391,Equipes!$C$2:$C$60,"&gt;="&amp;$A391)</f>
        <v>0</v>
      </c>
      <c r="C391" s="3" t="n">
        <f aca="false">IF(B391&gt;0,ROUNDUP(B391/Parametres!$B$7,0)+1,0)</f>
        <v>0</v>
      </c>
      <c r="D391" s="3" t="n">
        <f aca="false">SUMIFS(Equipes!$D$2:$D$60,Equipes!$A$2:$A$60,"LOT-02",Equipes!$B$2:$B$60,"&lt;="&amp;$A391,Equipes!$C$2:$C$60,"&gt;="&amp;$A391)</f>
        <v>0</v>
      </c>
      <c r="E391" s="3" t="n">
        <f aca="false">IF(D391&gt;0,ROUNDUP(D391/Parametres!$B$7,0)+1,0)</f>
        <v>0</v>
      </c>
      <c r="F391" s="3" t="n">
        <f aca="false">SUMIFS(Equipes!$D$2:$D$60,Equipes!$A$2:$A$60,"LOT-03",Equipes!$B$2:$B$60,"&lt;="&amp;$A391,Equipes!$C$2:$C$60,"&gt;="&amp;$A391)</f>
        <v>0</v>
      </c>
      <c r="G391" s="3" t="n">
        <f aca="false">IF(F391&gt;0,ROUNDUP(F391/Parametres!$B$7,0)+1,0)</f>
        <v>0</v>
      </c>
      <c r="H391" s="3" t="n">
        <f aca="false">SUMIFS(Equipes!$D$2:$D$60,Equipes!$A$2:$A$60,"LOT-04",Equipes!$B$2:$B$60,"&lt;="&amp;$A391,Equipes!$C$2:$C$60,"&gt;="&amp;$A391)</f>
        <v>0</v>
      </c>
      <c r="I391" s="3" t="n">
        <f aca="false">IF(H391&gt;0,ROUNDUP(H391/Parametres!$B$7,0)+1,0)</f>
        <v>0</v>
      </c>
      <c r="J391" s="3" t="n">
        <f aca="false">SUMIFS(Equipes!$D$2:$D$60,Equipes!$A$2:$A$60,"LOT-05",Equipes!$B$2:$B$60,"&lt;="&amp;$A391,Equipes!$C$2:$C$60,"&gt;="&amp;$A391)</f>
        <v>0</v>
      </c>
      <c r="K391" s="3" t="n">
        <f aca="false">IF(J391&gt;0,ROUNDUP(J391/Parametres!$B$7,0)+1,0)</f>
        <v>0</v>
      </c>
      <c r="L391" s="3" t="n">
        <f aca="false">SUMIFS(Equipes!$D$2:$D$60,Equipes!$A$2:$A$60,"LOT-06",Equipes!$B$2:$B$60,"&lt;="&amp;$A391,Equipes!$C$2:$C$60,"&gt;="&amp;$A391)</f>
        <v>0</v>
      </c>
      <c r="M391" s="3" t="n">
        <f aca="false">IF(L391&gt;0,ROUNDUP(L391/Parametres!$B$7,0)+1,0)</f>
        <v>0</v>
      </c>
      <c r="N391" s="3" t="n">
        <f aca="false">SUMIFS(Equipes!$D$2:$D$60,Equipes!$A$2:$A$60,"LOT-07",Equipes!$B$2:$B$60,"&lt;="&amp;$A391,Equipes!$C$2:$C$60,"&gt;="&amp;$A391)</f>
        <v>0</v>
      </c>
      <c r="O391" s="3" t="n">
        <f aca="false">IF(N391&gt;0,ROUNDUP(N391/Parametres!$B$7,0)+1,0)</f>
        <v>0</v>
      </c>
      <c r="P391" s="3" t="n">
        <f aca="false">SUMIFS(Equipes!$D$2:$D$60,Equipes!$A$2:$A$60,"LOT-08",Equipes!$B$2:$B$60,"&lt;="&amp;$A391,Equipes!$C$2:$C$60,"&gt;="&amp;$A391)</f>
        <v>12</v>
      </c>
      <c r="Q391" s="3" t="n">
        <f aca="false">IF(P391&gt;0,ROUNDUP(P391/Parametres!$B$7,0)+1,0)</f>
        <v>2</v>
      </c>
    </row>
    <row r="392" customFormat="false" ht="15" hidden="false" customHeight="false" outlineLevel="0" collapsed="false">
      <c r="A392" s="2" t="n">
        <v>46473</v>
      </c>
      <c r="B392" s="3" t="n">
        <f aca="false">SUMIFS(Equipes!$D$2:$D$60,Equipes!$A$2:$A$60,"LOT-01",Equipes!$B$2:$B$60,"&lt;="&amp;$A392,Equipes!$C$2:$C$60,"&gt;="&amp;$A392)</f>
        <v>0</v>
      </c>
      <c r="C392" s="3" t="n">
        <f aca="false">IF(B392&gt;0,ROUNDUP(B392/Parametres!$B$7,0)+1,0)</f>
        <v>0</v>
      </c>
      <c r="D392" s="3" t="n">
        <f aca="false">SUMIFS(Equipes!$D$2:$D$60,Equipes!$A$2:$A$60,"LOT-02",Equipes!$B$2:$B$60,"&lt;="&amp;$A392,Equipes!$C$2:$C$60,"&gt;="&amp;$A392)</f>
        <v>0</v>
      </c>
      <c r="E392" s="3" t="n">
        <f aca="false">IF(D392&gt;0,ROUNDUP(D392/Parametres!$B$7,0)+1,0)</f>
        <v>0</v>
      </c>
      <c r="F392" s="3" t="n">
        <f aca="false">SUMIFS(Equipes!$D$2:$D$60,Equipes!$A$2:$A$60,"LOT-03",Equipes!$B$2:$B$60,"&lt;="&amp;$A392,Equipes!$C$2:$C$60,"&gt;="&amp;$A392)</f>
        <v>0</v>
      </c>
      <c r="G392" s="3" t="n">
        <f aca="false">IF(F392&gt;0,ROUNDUP(F392/Parametres!$B$7,0)+1,0)</f>
        <v>0</v>
      </c>
      <c r="H392" s="3" t="n">
        <f aca="false">SUMIFS(Equipes!$D$2:$D$60,Equipes!$A$2:$A$60,"LOT-04",Equipes!$B$2:$B$60,"&lt;="&amp;$A392,Equipes!$C$2:$C$60,"&gt;="&amp;$A392)</f>
        <v>0</v>
      </c>
      <c r="I392" s="3" t="n">
        <f aca="false">IF(H392&gt;0,ROUNDUP(H392/Parametres!$B$7,0)+1,0)</f>
        <v>0</v>
      </c>
      <c r="J392" s="3" t="n">
        <f aca="false">SUMIFS(Equipes!$D$2:$D$60,Equipes!$A$2:$A$60,"LOT-05",Equipes!$B$2:$B$60,"&lt;="&amp;$A392,Equipes!$C$2:$C$60,"&gt;="&amp;$A392)</f>
        <v>0</v>
      </c>
      <c r="K392" s="3" t="n">
        <f aca="false">IF(J392&gt;0,ROUNDUP(J392/Parametres!$B$7,0)+1,0)</f>
        <v>0</v>
      </c>
      <c r="L392" s="3" t="n">
        <f aca="false">SUMIFS(Equipes!$D$2:$D$60,Equipes!$A$2:$A$60,"LOT-06",Equipes!$B$2:$B$60,"&lt;="&amp;$A392,Equipes!$C$2:$C$60,"&gt;="&amp;$A392)</f>
        <v>0</v>
      </c>
      <c r="M392" s="3" t="n">
        <f aca="false">IF(L392&gt;0,ROUNDUP(L392/Parametres!$B$7,0)+1,0)</f>
        <v>0</v>
      </c>
      <c r="N392" s="3" t="n">
        <f aca="false">SUMIFS(Equipes!$D$2:$D$60,Equipes!$A$2:$A$60,"LOT-07",Equipes!$B$2:$B$60,"&lt;="&amp;$A392,Equipes!$C$2:$C$60,"&gt;="&amp;$A392)</f>
        <v>0</v>
      </c>
      <c r="O392" s="3" t="n">
        <f aca="false">IF(N392&gt;0,ROUNDUP(N392/Parametres!$B$7,0)+1,0)</f>
        <v>0</v>
      </c>
      <c r="P392" s="3" t="n">
        <f aca="false">SUMIFS(Equipes!$D$2:$D$60,Equipes!$A$2:$A$60,"LOT-08",Equipes!$B$2:$B$60,"&lt;="&amp;$A392,Equipes!$C$2:$C$60,"&gt;="&amp;$A392)</f>
        <v>12</v>
      </c>
      <c r="Q392" s="3" t="n">
        <f aca="false">IF(P392&gt;0,ROUNDUP(P392/Parametres!$B$7,0)+1,0)</f>
        <v>2</v>
      </c>
    </row>
    <row r="393" customFormat="false" ht="15" hidden="false" customHeight="false" outlineLevel="0" collapsed="false">
      <c r="A393" s="2" t="n">
        <v>46474</v>
      </c>
      <c r="B393" s="3" t="n">
        <f aca="false">SUMIFS(Equipes!$D$2:$D$60,Equipes!$A$2:$A$60,"LOT-01",Equipes!$B$2:$B$60,"&lt;="&amp;$A393,Equipes!$C$2:$C$60,"&gt;="&amp;$A393)</f>
        <v>0</v>
      </c>
      <c r="C393" s="3" t="n">
        <f aca="false">IF(B393&gt;0,ROUNDUP(B393/Parametres!$B$7,0)+1,0)</f>
        <v>0</v>
      </c>
      <c r="D393" s="3" t="n">
        <f aca="false">SUMIFS(Equipes!$D$2:$D$60,Equipes!$A$2:$A$60,"LOT-02",Equipes!$B$2:$B$60,"&lt;="&amp;$A393,Equipes!$C$2:$C$60,"&gt;="&amp;$A393)</f>
        <v>0</v>
      </c>
      <c r="E393" s="3" t="n">
        <f aca="false">IF(D393&gt;0,ROUNDUP(D393/Parametres!$B$7,0)+1,0)</f>
        <v>0</v>
      </c>
      <c r="F393" s="3" t="n">
        <f aca="false">SUMIFS(Equipes!$D$2:$D$60,Equipes!$A$2:$A$60,"LOT-03",Equipes!$B$2:$B$60,"&lt;="&amp;$A393,Equipes!$C$2:$C$60,"&gt;="&amp;$A393)</f>
        <v>0</v>
      </c>
      <c r="G393" s="3" t="n">
        <f aca="false">IF(F393&gt;0,ROUNDUP(F393/Parametres!$B$7,0)+1,0)</f>
        <v>0</v>
      </c>
      <c r="H393" s="3" t="n">
        <f aca="false">SUMIFS(Equipes!$D$2:$D$60,Equipes!$A$2:$A$60,"LOT-04",Equipes!$B$2:$B$60,"&lt;="&amp;$A393,Equipes!$C$2:$C$60,"&gt;="&amp;$A393)</f>
        <v>0</v>
      </c>
      <c r="I393" s="3" t="n">
        <f aca="false">IF(H393&gt;0,ROUNDUP(H393/Parametres!$B$7,0)+1,0)</f>
        <v>0</v>
      </c>
      <c r="J393" s="3" t="n">
        <f aca="false">SUMIFS(Equipes!$D$2:$D$60,Equipes!$A$2:$A$60,"LOT-05",Equipes!$B$2:$B$60,"&lt;="&amp;$A393,Equipes!$C$2:$C$60,"&gt;="&amp;$A393)</f>
        <v>0</v>
      </c>
      <c r="K393" s="3" t="n">
        <f aca="false">IF(J393&gt;0,ROUNDUP(J393/Parametres!$B$7,0)+1,0)</f>
        <v>0</v>
      </c>
      <c r="L393" s="3" t="n">
        <f aca="false">SUMIFS(Equipes!$D$2:$D$60,Equipes!$A$2:$A$60,"LOT-06",Equipes!$B$2:$B$60,"&lt;="&amp;$A393,Equipes!$C$2:$C$60,"&gt;="&amp;$A393)</f>
        <v>0</v>
      </c>
      <c r="M393" s="3" t="n">
        <f aca="false">IF(L393&gt;0,ROUNDUP(L393/Parametres!$B$7,0)+1,0)</f>
        <v>0</v>
      </c>
      <c r="N393" s="3" t="n">
        <f aca="false">SUMIFS(Equipes!$D$2:$D$60,Equipes!$A$2:$A$60,"LOT-07",Equipes!$B$2:$B$60,"&lt;="&amp;$A393,Equipes!$C$2:$C$60,"&gt;="&amp;$A393)</f>
        <v>0</v>
      </c>
      <c r="O393" s="3" t="n">
        <f aca="false">IF(N393&gt;0,ROUNDUP(N393/Parametres!$B$7,0)+1,0)</f>
        <v>0</v>
      </c>
      <c r="P393" s="3" t="n">
        <f aca="false">SUMIFS(Equipes!$D$2:$D$60,Equipes!$A$2:$A$60,"LOT-08",Equipes!$B$2:$B$60,"&lt;="&amp;$A393,Equipes!$C$2:$C$60,"&gt;="&amp;$A393)</f>
        <v>12</v>
      </c>
      <c r="Q393" s="3" t="n">
        <f aca="false">IF(P393&gt;0,ROUNDUP(P393/Parametres!$B$7,0)+1,0)</f>
        <v>2</v>
      </c>
    </row>
    <row r="394" customFormat="false" ht="15" hidden="false" customHeight="false" outlineLevel="0" collapsed="false">
      <c r="A394" s="2" t="n">
        <v>46475</v>
      </c>
      <c r="B394" s="3" t="n">
        <f aca="false">SUMIFS(Equipes!$D$2:$D$60,Equipes!$A$2:$A$60,"LOT-01",Equipes!$B$2:$B$60,"&lt;="&amp;$A394,Equipes!$C$2:$C$60,"&gt;="&amp;$A394)</f>
        <v>0</v>
      </c>
      <c r="C394" s="3" t="n">
        <f aca="false">IF(B394&gt;0,ROUNDUP(B394/Parametres!$B$7,0)+1,0)</f>
        <v>0</v>
      </c>
      <c r="D394" s="3" t="n">
        <f aca="false">SUMIFS(Equipes!$D$2:$D$60,Equipes!$A$2:$A$60,"LOT-02",Equipes!$B$2:$B$60,"&lt;="&amp;$A394,Equipes!$C$2:$C$60,"&gt;="&amp;$A394)</f>
        <v>0</v>
      </c>
      <c r="E394" s="3" t="n">
        <f aca="false">IF(D394&gt;0,ROUNDUP(D394/Parametres!$B$7,0)+1,0)</f>
        <v>0</v>
      </c>
      <c r="F394" s="3" t="n">
        <f aca="false">SUMIFS(Equipes!$D$2:$D$60,Equipes!$A$2:$A$60,"LOT-03",Equipes!$B$2:$B$60,"&lt;="&amp;$A394,Equipes!$C$2:$C$60,"&gt;="&amp;$A394)</f>
        <v>0</v>
      </c>
      <c r="G394" s="3" t="n">
        <f aca="false">IF(F394&gt;0,ROUNDUP(F394/Parametres!$B$7,0)+1,0)</f>
        <v>0</v>
      </c>
      <c r="H394" s="3" t="n">
        <f aca="false">SUMIFS(Equipes!$D$2:$D$60,Equipes!$A$2:$A$60,"LOT-04",Equipes!$B$2:$B$60,"&lt;="&amp;$A394,Equipes!$C$2:$C$60,"&gt;="&amp;$A394)</f>
        <v>0</v>
      </c>
      <c r="I394" s="3" t="n">
        <f aca="false">IF(H394&gt;0,ROUNDUP(H394/Parametres!$B$7,0)+1,0)</f>
        <v>0</v>
      </c>
      <c r="J394" s="3" t="n">
        <f aca="false">SUMIFS(Equipes!$D$2:$D$60,Equipes!$A$2:$A$60,"LOT-05",Equipes!$B$2:$B$60,"&lt;="&amp;$A394,Equipes!$C$2:$C$60,"&gt;="&amp;$A394)</f>
        <v>0</v>
      </c>
      <c r="K394" s="3" t="n">
        <f aca="false">IF(J394&gt;0,ROUNDUP(J394/Parametres!$B$7,0)+1,0)</f>
        <v>0</v>
      </c>
      <c r="L394" s="3" t="n">
        <f aca="false">SUMIFS(Equipes!$D$2:$D$60,Equipes!$A$2:$A$60,"LOT-06",Equipes!$B$2:$B$60,"&lt;="&amp;$A394,Equipes!$C$2:$C$60,"&gt;="&amp;$A394)</f>
        <v>0</v>
      </c>
      <c r="M394" s="3" t="n">
        <f aca="false">IF(L394&gt;0,ROUNDUP(L394/Parametres!$B$7,0)+1,0)</f>
        <v>0</v>
      </c>
      <c r="N394" s="3" t="n">
        <f aca="false">SUMIFS(Equipes!$D$2:$D$60,Equipes!$A$2:$A$60,"LOT-07",Equipes!$B$2:$B$60,"&lt;="&amp;$A394,Equipes!$C$2:$C$60,"&gt;="&amp;$A394)</f>
        <v>0</v>
      </c>
      <c r="O394" s="3" t="n">
        <f aca="false">IF(N394&gt;0,ROUNDUP(N394/Parametres!$B$7,0)+1,0)</f>
        <v>0</v>
      </c>
      <c r="P394" s="3" t="n">
        <f aca="false">SUMIFS(Equipes!$D$2:$D$60,Equipes!$A$2:$A$60,"LOT-08",Equipes!$B$2:$B$60,"&lt;="&amp;$A394,Equipes!$C$2:$C$60,"&gt;="&amp;$A394)</f>
        <v>12</v>
      </c>
      <c r="Q394" s="3" t="n">
        <f aca="false">IF(P394&gt;0,ROUNDUP(P394/Parametres!$B$7,0)+1,0)</f>
        <v>2</v>
      </c>
    </row>
    <row r="395" customFormat="false" ht="15" hidden="false" customHeight="false" outlineLevel="0" collapsed="false">
      <c r="A395" s="2" t="n">
        <v>46476</v>
      </c>
      <c r="B395" s="3" t="n">
        <f aca="false">SUMIFS(Equipes!$D$2:$D$60,Equipes!$A$2:$A$60,"LOT-01",Equipes!$B$2:$B$60,"&lt;="&amp;$A395,Equipes!$C$2:$C$60,"&gt;="&amp;$A395)</f>
        <v>0</v>
      </c>
      <c r="C395" s="3" t="n">
        <f aca="false">IF(B395&gt;0,ROUNDUP(B395/Parametres!$B$7,0)+1,0)</f>
        <v>0</v>
      </c>
      <c r="D395" s="3" t="n">
        <f aca="false">SUMIFS(Equipes!$D$2:$D$60,Equipes!$A$2:$A$60,"LOT-02",Equipes!$B$2:$B$60,"&lt;="&amp;$A395,Equipes!$C$2:$C$60,"&gt;="&amp;$A395)</f>
        <v>0</v>
      </c>
      <c r="E395" s="3" t="n">
        <f aca="false">IF(D395&gt;0,ROUNDUP(D395/Parametres!$B$7,0)+1,0)</f>
        <v>0</v>
      </c>
      <c r="F395" s="3" t="n">
        <f aca="false">SUMIFS(Equipes!$D$2:$D$60,Equipes!$A$2:$A$60,"LOT-03",Equipes!$B$2:$B$60,"&lt;="&amp;$A395,Equipes!$C$2:$C$60,"&gt;="&amp;$A395)</f>
        <v>0</v>
      </c>
      <c r="G395" s="3" t="n">
        <f aca="false">IF(F395&gt;0,ROUNDUP(F395/Parametres!$B$7,0)+1,0)</f>
        <v>0</v>
      </c>
      <c r="H395" s="3" t="n">
        <f aca="false">SUMIFS(Equipes!$D$2:$D$60,Equipes!$A$2:$A$60,"LOT-04",Equipes!$B$2:$B$60,"&lt;="&amp;$A395,Equipes!$C$2:$C$60,"&gt;="&amp;$A395)</f>
        <v>0</v>
      </c>
      <c r="I395" s="3" t="n">
        <f aca="false">IF(H395&gt;0,ROUNDUP(H395/Parametres!$B$7,0)+1,0)</f>
        <v>0</v>
      </c>
      <c r="J395" s="3" t="n">
        <f aca="false">SUMIFS(Equipes!$D$2:$D$60,Equipes!$A$2:$A$60,"LOT-05",Equipes!$B$2:$B$60,"&lt;="&amp;$A395,Equipes!$C$2:$C$60,"&gt;="&amp;$A395)</f>
        <v>0</v>
      </c>
      <c r="K395" s="3" t="n">
        <f aca="false">IF(J395&gt;0,ROUNDUP(J395/Parametres!$B$7,0)+1,0)</f>
        <v>0</v>
      </c>
      <c r="L395" s="3" t="n">
        <f aca="false">SUMIFS(Equipes!$D$2:$D$60,Equipes!$A$2:$A$60,"LOT-06",Equipes!$B$2:$B$60,"&lt;="&amp;$A395,Equipes!$C$2:$C$60,"&gt;="&amp;$A395)</f>
        <v>0</v>
      </c>
      <c r="M395" s="3" t="n">
        <f aca="false">IF(L395&gt;0,ROUNDUP(L395/Parametres!$B$7,0)+1,0)</f>
        <v>0</v>
      </c>
      <c r="N395" s="3" t="n">
        <f aca="false">SUMIFS(Equipes!$D$2:$D$60,Equipes!$A$2:$A$60,"LOT-07",Equipes!$B$2:$B$60,"&lt;="&amp;$A395,Equipes!$C$2:$C$60,"&gt;="&amp;$A395)</f>
        <v>0</v>
      </c>
      <c r="O395" s="3" t="n">
        <f aca="false">IF(N395&gt;0,ROUNDUP(N395/Parametres!$B$7,0)+1,0)</f>
        <v>0</v>
      </c>
      <c r="P395" s="3" t="n">
        <f aca="false">SUMIFS(Equipes!$D$2:$D$60,Equipes!$A$2:$A$60,"LOT-08",Equipes!$B$2:$B$60,"&lt;="&amp;$A395,Equipes!$C$2:$C$60,"&gt;="&amp;$A395)</f>
        <v>12</v>
      </c>
      <c r="Q395" s="3" t="n">
        <f aca="false">IF(P395&gt;0,ROUNDUP(P395/Parametres!$B$7,0)+1,0)</f>
        <v>2</v>
      </c>
    </row>
    <row r="396" customFormat="false" ht="15" hidden="false" customHeight="false" outlineLevel="0" collapsed="false">
      <c r="A396" s="2" t="n">
        <v>46477</v>
      </c>
      <c r="B396" s="3" t="n">
        <f aca="false">SUMIFS(Equipes!$D$2:$D$60,Equipes!$A$2:$A$60,"LOT-01",Equipes!$B$2:$B$60,"&lt;="&amp;$A396,Equipes!$C$2:$C$60,"&gt;="&amp;$A396)</f>
        <v>0</v>
      </c>
      <c r="C396" s="3" t="n">
        <f aca="false">IF(B396&gt;0,ROUNDUP(B396/Parametres!$B$7,0)+1,0)</f>
        <v>0</v>
      </c>
      <c r="D396" s="3" t="n">
        <f aca="false">SUMIFS(Equipes!$D$2:$D$60,Equipes!$A$2:$A$60,"LOT-02",Equipes!$B$2:$B$60,"&lt;="&amp;$A396,Equipes!$C$2:$C$60,"&gt;="&amp;$A396)</f>
        <v>0</v>
      </c>
      <c r="E396" s="3" t="n">
        <f aca="false">IF(D396&gt;0,ROUNDUP(D396/Parametres!$B$7,0)+1,0)</f>
        <v>0</v>
      </c>
      <c r="F396" s="3" t="n">
        <f aca="false">SUMIFS(Equipes!$D$2:$D$60,Equipes!$A$2:$A$60,"LOT-03",Equipes!$B$2:$B$60,"&lt;="&amp;$A396,Equipes!$C$2:$C$60,"&gt;="&amp;$A396)</f>
        <v>0</v>
      </c>
      <c r="G396" s="3" t="n">
        <f aca="false">IF(F396&gt;0,ROUNDUP(F396/Parametres!$B$7,0)+1,0)</f>
        <v>0</v>
      </c>
      <c r="H396" s="3" t="n">
        <f aca="false">SUMIFS(Equipes!$D$2:$D$60,Equipes!$A$2:$A$60,"LOT-04",Equipes!$B$2:$B$60,"&lt;="&amp;$A396,Equipes!$C$2:$C$60,"&gt;="&amp;$A396)</f>
        <v>0</v>
      </c>
      <c r="I396" s="3" t="n">
        <f aca="false">IF(H396&gt;0,ROUNDUP(H396/Parametres!$B$7,0)+1,0)</f>
        <v>0</v>
      </c>
      <c r="J396" s="3" t="n">
        <f aca="false">SUMIFS(Equipes!$D$2:$D$60,Equipes!$A$2:$A$60,"LOT-05",Equipes!$B$2:$B$60,"&lt;="&amp;$A396,Equipes!$C$2:$C$60,"&gt;="&amp;$A396)</f>
        <v>0</v>
      </c>
      <c r="K396" s="3" t="n">
        <f aca="false">IF(J396&gt;0,ROUNDUP(J396/Parametres!$B$7,0)+1,0)</f>
        <v>0</v>
      </c>
      <c r="L396" s="3" t="n">
        <f aca="false">SUMIFS(Equipes!$D$2:$D$60,Equipes!$A$2:$A$60,"LOT-06",Equipes!$B$2:$B$60,"&lt;="&amp;$A396,Equipes!$C$2:$C$60,"&gt;="&amp;$A396)</f>
        <v>0</v>
      </c>
      <c r="M396" s="3" t="n">
        <f aca="false">IF(L396&gt;0,ROUNDUP(L396/Parametres!$B$7,0)+1,0)</f>
        <v>0</v>
      </c>
      <c r="N396" s="3" t="n">
        <f aca="false">SUMIFS(Equipes!$D$2:$D$60,Equipes!$A$2:$A$60,"LOT-07",Equipes!$B$2:$B$60,"&lt;="&amp;$A396,Equipes!$C$2:$C$60,"&gt;="&amp;$A396)</f>
        <v>0</v>
      </c>
      <c r="O396" s="3" t="n">
        <f aca="false">IF(N396&gt;0,ROUNDUP(N396/Parametres!$B$7,0)+1,0)</f>
        <v>0</v>
      </c>
      <c r="P396" s="3" t="n">
        <f aca="false">SUMIFS(Equipes!$D$2:$D$60,Equipes!$A$2:$A$60,"LOT-08",Equipes!$B$2:$B$60,"&lt;="&amp;$A396,Equipes!$C$2:$C$60,"&gt;="&amp;$A396)</f>
        <v>12</v>
      </c>
      <c r="Q396" s="3" t="n">
        <f aca="false">IF(P396&gt;0,ROUNDUP(P396/Parametres!$B$7,0)+1,0)</f>
        <v>2</v>
      </c>
    </row>
    <row r="397" customFormat="false" ht="15" hidden="false" customHeight="false" outlineLevel="0" collapsed="false">
      <c r="A397" s="2" t="n">
        <v>46478</v>
      </c>
      <c r="B397" s="3" t="n">
        <f aca="false">SUMIFS(Equipes!$D$2:$D$60,Equipes!$A$2:$A$60,"LOT-01",Equipes!$B$2:$B$60,"&lt;="&amp;$A397,Equipes!$C$2:$C$60,"&gt;="&amp;$A397)</f>
        <v>0</v>
      </c>
      <c r="C397" s="3" t="n">
        <f aca="false">IF(B397&gt;0,ROUNDUP(B397/Parametres!$B$7,0)+1,0)</f>
        <v>0</v>
      </c>
      <c r="D397" s="3" t="n">
        <f aca="false">SUMIFS(Equipes!$D$2:$D$60,Equipes!$A$2:$A$60,"LOT-02",Equipes!$B$2:$B$60,"&lt;="&amp;$A397,Equipes!$C$2:$C$60,"&gt;="&amp;$A397)</f>
        <v>0</v>
      </c>
      <c r="E397" s="3" t="n">
        <f aca="false">IF(D397&gt;0,ROUNDUP(D397/Parametres!$B$7,0)+1,0)</f>
        <v>0</v>
      </c>
      <c r="F397" s="3" t="n">
        <f aca="false">SUMIFS(Equipes!$D$2:$D$60,Equipes!$A$2:$A$60,"LOT-03",Equipes!$B$2:$B$60,"&lt;="&amp;$A397,Equipes!$C$2:$C$60,"&gt;="&amp;$A397)</f>
        <v>0</v>
      </c>
      <c r="G397" s="3" t="n">
        <f aca="false">IF(F397&gt;0,ROUNDUP(F397/Parametres!$B$7,0)+1,0)</f>
        <v>0</v>
      </c>
      <c r="H397" s="3" t="n">
        <f aca="false">SUMIFS(Equipes!$D$2:$D$60,Equipes!$A$2:$A$60,"LOT-04",Equipes!$B$2:$B$60,"&lt;="&amp;$A397,Equipes!$C$2:$C$60,"&gt;="&amp;$A397)</f>
        <v>0</v>
      </c>
      <c r="I397" s="3" t="n">
        <f aca="false">IF(H397&gt;0,ROUNDUP(H397/Parametres!$B$7,0)+1,0)</f>
        <v>0</v>
      </c>
      <c r="J397" s="3" t="n">
        <f aca="false">SUMIFS(Equipes!$D$2:$D$60,Equipes!$A$2:$A$60,"LOT-05",Equipes!$B$2:$B$60,"&lt;="&amp;$A397,Equipes!$C$2:$C$60,"&gt;="&amp;$A397)</f>
        <v>0</v>
      </c>
      <c r="K397" s="3" t="n">
        <f aca="false">IF(J397&gt;0,ROUNDUP(J397/Parametres!$B$7,0)+1,0)</f>
        <v>0</v>
      </c>
      <c r="L397" s="3" t="n">
        <f aca="false">SUMIFS(Equipes!$D$2:$D$60,Equipes!$A$2:$A$60,"LOT-06",Equipes!$B$2:$B$60,"&lt;="&amp;$A397,Equipes!$C$2:$C$60,"&gt;="&amp;$A397)</f>
        <v>0</v>
      </c>
      <c r="M397" s="3" t="n">
        <f aca="false">IF(L397&gt;0,ROUNDUP(L397/Parametres!$B$7,0)+1,0)</f>
        <v>0</v>
      </c>
      <c r="N397" s="3" t="n">
        <f aca="false">SUMIFS(Equipes!$D$2:$D$60,Equipes!$A$2:$A$60,"LOT-07",Equipes!$B$2:$B$60,"&lt;="&amp;$A397,Equipes!$C$2:$C$60,"&gt;="&amp;$A397)</f>
        <v>0</v>
      </c>
      <c r="O397" s="3" t="n">
        <f aca="false">IF(N397&gt;0,ROUNDUP(N397/Parametres!$B$7,0)+1,0)</f>
        <v>0</v>
      </c>
      <c r="P397" s="3" t="n">
        <f aca="false">SUMIFS(Equipes!$D$2:$D$60,Equipes!$A$2:$A$60,"LOT-08",Equipes!$B$2:$B$60,"&lt;="&amp;$A397,Equipes!$C$2:$C$60,"&gt;="&amp;$A397)</f>
        <v>12</v>
      </c>
      <c r="Q397" s="3" t="n">
        <f aca="false">IF(P397&gt;0,ROUNDUP(P397/Parametres!$B$7,0)+1,0)</f>
        <v>2</v>
      </c>
    </row>
    <row r="398" customFormat="false" ht="15" hidden="false" customHeight="false" outlineLevel="0" collapsed="false">
      <c r="A398" s="2" t="n">
        <v>46479</v>
      </c>
      <c r="B398" s="3" t="n">
        <f aca="false">SUMIFS(Equipes!$D$2:$D$60,Equipes!$A$2:$A$60,"LOT-01",Equipes!$B$2:$B$60,"&lt;="&amp;$A398,Equipes!$C$2:$C$60,"&gt;="&amp;$A398)</f>
        <v>0</v>
      </c>
      <c r="C398" s="3" t="n">
        <f aca="false">IF(B398&gt;0,ROUNDUP(B398/Parametres!$B$7,0)+1,0)</f>
        <v>0</v>
      </c>
      <c r="D398" s="3" t="n">
        <f aca="false">SUMIFS(Equipes!$D$2:$D$60,Equipes!$A$2:$A$60,"LOT-02",Equipes!$B$2:$B$60,"&lt;="&amp;$A398,Equipes!$C$2:$C$60,"&gt;="&amp;$A398)</f>
        <v>0</v>
      </c>
      <c r="E398" s="3" t="n">
        <f aca="false">IF(D398&gt;0,ROUNDUP(D398/Parametres!$B$7,0)+1,0)</f>
        <v>0</v>
      </c>
      <c r="F398" s="3" t="n">
        <f aca="false">SUMIFS(Equipes!$D$2:$D$60,Equipes!$A$2:$A$60,"LOT-03",Equipes!$B$2:$B$60,"&lt;="&amp;$A398,Equipes!$C$2:$C$60,"&gt;="&amp;$A398)</f>
        <v>0</v>
      </c>
      <c r="G398" s="3" t="n">
        <f aca="false">IF(F398&gt;0,ROUNDUP(F398/Parametres!$B$7,0)+1,0)</f>
        <v>0</v>
      </c>
      <c r="H398" s="3" t="n">
        <f aca="false">SUMIFS(Equipes!$D$2:$D$60,Equipes!$A$2:$A$60,"LOT-04",Equipes!$B$2:$B$60,"&lt;="&amp;$A398,Equipes!$C$2:$C$60,"&gt;="&amp;$A398)</f>
        <v>0</v>
      </c>
      <c r="I398" s="3" t="n">
        <f aca="false">IF(H398&gt;0,ROUNDUP(H398/Parametres!$B$7,0)+1,0)</f>
        <v>0</v>
      </c>
      <c r="J398" s="3" t="n">
        <f aca="false">SUMIFS(Equipes!$D$2:$D$60,Equipes!$A$2:$A$60,"LOT-05",Equipes!$B$2:$B$60,"&lt;="&amp;$A398,Equipes!$C$2:$C$60,"&gt;="&amp;$A398)</f>
        <v>0</v>
      </c>
      <c r="K398" s="3" t="n">
        <f aca="false">IF(J398&gt;0,ROUNDUP(J398/Parametres!$B$7,0)+1,0)</f>
        <v>0</v>
      </c>
      <c r="L398" s="3" t="n">
        <f aca="false">SUMIFS(Equipes!$D$2:$D$60,Equipes!$A$2:$A$60,"LOT-06",Equipes!$B$2:$B$60,"&lt;="&amp;$A398,Equipes!$C$2:$C$60,"&gt;="&amp;$A398)</f>
        <v>0</v>
      </c>
      <c r="M398" s="3" t="n">
        <f aca="false">IF(L398&gt;0,ROUNDUP(L398/Parametres!$B$7,0)+1,0)</f>
        <v>0</v>
      </c>
      <c r="N398" s="3" t="n">
        <f aca="false">SUMIFS(Equipes!$D$2:$D$60,Equipes!$A$2:$A$60,"LOT-07",Equipes!$B$2:$B$60,"&lt;="&amp;$A398,Equipes!$C$2:$C$60,"&gt;="&amp;$A398)</f>
        <v>0</v>
      </c>
      <c r="O398" s="3" t="n">
        <f aca="false">IF(N398&gt;0,ROUNDUP(N398/Parametres!$B$7,0)+1,0)</f>
        <v>0</v>
      </c>
      <c r="P398" s="3" t="n">
        <f aca="false">SUMIFS(Equipes!$D$2:$D$60,Equipes!$A$2:$A$60,"LOT-08",Equipes!$B$2:$B$60,"&lt;="&amp;$A398,Equipes!$C$2:$C$60,"&gt;="&amp;$A398)</f>
        <v>12</v>
      </c>
      <c r="Q398" s="3" t="n">
        <f aca="false">IF(P398&gt;0,ROUNDUP(P398/Parametres!$B$7,0)+1,0)</f>
        <v>2</v>
      </c>
    </row>
    <row r="399" customFormat="false" ht="15" hidden="false" customHeight="false" outlineLevel="0" collapsed="false">
      <c r="A399" s="2" t="n">
        <v>46480</v>
      </c>
      <c r="B399" s="3" t="n">
        <f aca="false">SUMIFS(Equipes!$D$2:$D$60,Equipes!$A$2:$A$60,"LOT-01",Equipes!$B$2:$B$60,"&lt;="&amp;$A399,Equipes!$C$2:$C$60,"&gt;="&amp;$A399)</f>
        <v>0</v>
      </c>
      <c r="C399" s="3" t="n">
        <f aca="false">IF(B399&gt;0,ROUNDUP(B399/Parametres!$B$7,0)+1,0)</f>
        <v>0</v>
      </c>
      <c r="D399" s="3" t="n">
        <f aca="false">SUMIFS(Equipes!$D$2:$D$60,Equipes!$A$2:$A$60,"LOT-02",Equipes!$B$2:$B$60,"&lt;="&amp;$A399,Equipes!$C$2:$C$60,"&gt;="&amp;$A399)</f>
        <v>0</v>
      </c>
      <c r="E399" s="3" t="n">
        <f aca="false">IF(D399&gt;0,ROUNDUP(D399/Parametres!$B$7,0)+1,0)</f>
        <v>0</v>
      </c>
      <c r="F399" s="3" t="n">
        <f aca="false">SUMIFS(Equipes!$D$2:$D$60,Equipes!$A$2:$A$60,"LOT-03",Equipes!$B$2:$B$60,"&lt;="&amp;$A399,Equipes!$C$2:$C$60,"&gt;="&amp;$A399)</f>
        <v>0</v>
      </c>
      <c r="G399" s="3" t="n">
        <f aca="false">IF(F399&gt;0,ROUNDUP(F399/Parametres!$B$7,0)+1,0)</f>
        <v>0</v>
      </c>
      <c r="H399" s="3" t="n">
        <f aca="false">SUMIFS(Equipes!$D$2:$D$60,Equipes!$A$2:$A$60,"LOT-04",Equipes!$B$2:$B$60,"&lt;="&amp;$A399,Equipes!$C$2:$C$60,"&gt;="&amp;$A399)</f>
        <v>0</v>
      </c>
      <c r="I399" s="3" t="n">
        <f aca="false">IF(H399&gt;0,ROUNDUP(H399/Parametres!$B$7,0)+1,0)</f>
        <v>0</v>
      </c>
      <c r="J399" s="3" t="n">
        <f aca="false">SUMIFS(Equipes!$D$2:$D$60,Equipes!$A$2:$A$60,"LOT-05",Equipes!$B$2:$B$60,"&lt;="&amp;$A399,Equipes!$C$2:$C$60,"&gt;="&amp;$A399)</f>
        <v>0</v>
      </c>
      <c r="K399" s="3" t="n">
        <f aca="false">IF(J399&gt;0,ROUNDUP(J399/Parametres!$B$7,0)+1,0)</f>
        <v>0</v>
      </c>
      <c r="L399" s="3" t="n">
        <f aca="false">SUMIFS(Equipes!$D$2:$D$60,Equipes!$A$2:$A$60,"LOT-06",Equipes!$B$2:$B$60,"&lt;="&amp;$A399,Equipes!$C$2:$C$60,"&gt;="&amp;$A399)</f>
        <v>0</v>
      </c>
      <c r="M399" s="3" t="n">
        <f aca="false">IF(L399&gt;0,ROUNDUP(L399/Parametres!$B$7,0)+1,0)</f>
        <v>0</v>
      </c>
      <c r="N399" s="3" t="n">
        <f aca="false">SUMIFS(Equipes!$D$2:$D$60,Equipes!$A$2:$A$60,"LOT-07",Equipes!$B$2:$B$60,"&lt;="&amp;$A399,Equipes!$C$2:$C$60,"&gt;="&amp;$A399)</f>
        <v>0</v>
      </c>
      <c r="O399" s="3" t="n">
        <f aca="false">IF(N399&gt;0,ROUNDUP(N399/Parametres!$B$7,0)+1,0)</f>
        <v>0</v>
      </c>
      <c r="P399" s="3" t="n">
        <f aca="false">SUMIFS(Equipes!$D$2:$D$60,Equipes!$A$2:$A$60,"LOT-08",Equipes!$B$2:$B$60,"&lt;="&amp;$A399,Equipes!$C$2:$C$60,"&gt;="&amp;$A399)</f>
        <v>12</v>
      </c>
      <c r="Q399" s="3" t="n">
        <f aca="false">IF(P399&gt;0,ROUNDUP(P399/Parametres!$B$7,0)+1,0)</f>
        <v>2</v>
      </c>
    </row>
    <row r="400" customFormat="false" ht="15" hidden="false" customHeight="false" outlineLevel="0" collapsed="false">
      <c r="A400" s="2" t="n">
        <v>46481</v>
      </c>
      <c r="B400" s="3" t="n">
        <f aca="false">SUMIFS(Equipes!$D$2:$D$60,Equipes!$A$2:$A$60,"LOT-01",Equipes!$B$2:$B$60,"&lt;="&amp;$A400,Equipes!$C$2:$C$60,"&gt;="&amp;$A400)</f>
        <v>0</v>
      </c>
      <c r="C400" s="3" t="n">
        <f aca="false">IF(B400&gt;0,ROUNDUP(B400/Parametres!$B$7,0)+1,0)</f>
        <v>0</v>
      </c>
      <c r="D400" s="3" t="n">
        <f aca="false">SUMIFS(Equipes!$D$2:$D$60,Equipes!$A$2:$A$60,"LOT-02",Equipes!$B$2:$B$60,"&lt;="&amp;$A400,Equipes!$C$2:$C$60,"&gt;="&amp;$A400)</f>
        <v>0</v>
      </c>
      <c r="E400" s="3" t="n">
        <f aca="false">IF(D400&gt;0,ROUNDUP(D400/Parametres!$B$7,0)+1,0)</f>
        <v>0</v>
      </c>
      <c r="F400" s="3" t="n">
        <f aca="false">SUMIFS(Equipes!$D$2:$D$60,Equipes!$A$2:$A$60,"LOT-03",Equipes!$B$2:$B$60,"&lt;="&amp;$A400,Equipes!$C$2:$C$60,"&gt;="&amp;$A400)</f>
        <v>0</v>
      </c>
      <c r="G400" s="3" t="n">
        <f aca="false">IF(F400&gt;0,ROUNDUP(F400/Parametres!$B$7,0)+1,0)</f>
        <v>0</v>
      </c>
      <c r="H400" s="3" t="n">
        <f aca="false">SUMIFS(Equipes!$D$2:$D$60,Equipes!$A$2:$A$60,"LOT-04",Equipes!$B$2:$B$60,"&lt;="&amp;$A400,Equipes!$C$2:$C$60,"&gt;="&amp;$A400)</f>
        <v>0</v>
      </c>
      <c r="I400" s="3" t="n">
        <f aca="false">IF(H400&gt;0,ROUNDUP(H400/Parametres!$B$7,0)+1,0)</f>
        <v>0</v>
      </c>
      <c r="J400" s="3" t="n">
        <f aca="false">SUMIFS(Equipes!$D$2:$D$60,Equipes!$A$2:$A$60,"LOT-05",Equipes!$B$2:$B$60,"&lt;="&amp;$A400,Equipes!$C$2:$C$60,"&gt;="&amp;$A400)</f>
        <v>0</v>
      </c>
      <c r="K400" s="3" t="n">
        <f aca="false">IF(J400&gt;0,ROUNDUP(J400/Parametres!$B$7,0)+1,0)</f>
        <v>0</v>
      </c>
      <c r="L400" s="3" t="n">
        <f aca="false">SUMIFS(Equipes!$D$2:$D$60,Equipes!$A$2:$A$60,"LOT-06",Equipes!$B$2:$B$60,"&lt;="&amp;$A400,Equipes!$C$2:$C$60,"&gt;="&amp;$A400)</f>
        <v>0</v>
      </c>
      <c r="M400" s="3" t="n">
        <f aca="false">IF(L400&gt;0,ROUNDUP(L400/Parametres!$B$7,0)+1,0)</f>
        <v>0</v>
      </c>
      <c r="N400" s="3" t="n">
        <f aca="false">SUMIFS(Equipes!$D$2:$D$60,Equipes!$A$2:$A$60,"LOT-07",Equipes!$B$2:$B$60,"&lt;="&amp;$A400,Equipes!$C$2:$C$60,"&gt;="&amp;$A400)</f>
        <v>0</v>
      </c>
      <c r="O400" s="3" t="n">
        <f aca="false">IF(N400&gt;0,ROUNDUP(N400/Parametres!$B$7,0)+1,0)</f>
        <v>0</v>
      </c>
      <c r="P400" s="3" t="n">
        <f aca="false">SUMIFS(Equipes!$D$2:$D$60,Equipes!$A$2:$A$60,"LOT-08",Equipes!$B$2:$B$60,"&lt;="&amp;$A400,Equipes!$C$2:$C$60,"&gt;="&amp;$A400)</f>
        <v>6</v>
      </c>
      <c r="Q400" s="3" t="n">
        <f aca="false">IF(P400&gt;0,ROUNDUP(P400/Parametres!$B$7,0)+1,0)</f>
        <v>2</v>
      </c>
    </row>
    <row r="401" customFormat="false" ht="15" hidden="false" customHeight="false" outlineLevel="0" collapsed="false">
      <c r="A401" s="2" t="n">
        <v>46482</v>
      </c>
      <c r="B401" s="3" t="n">
        <f aca="false">SUMIFS(Equipes!$D$2:$D$60,Equipes!$A$2:$A$60,"LOT-01",Equipes!$B$2:$B$60,"&lt;="&amp;$A401,Equipes!$C$2:$C$60,"&gt;="&amp;$A401)</f>
        <v>0</v>
      </c>
      <c r="C401" s="3" t="n">
        <f aca="false">IF(B401&gt;0,ROUNDUP(B401/Parametres!$B$7,0)+1,0)</f>
        <v>0</v>
      </c>
      <c r="D401" s="3" t="n">
        <f aca="false">SUMIFS(Equipes!$D$2:$D$60,Equipes!$A$2:$A$60,"LOT-02",Equipes!$B$2:$B$60,"&lt;="&amp;$A401,Equipes!$C$2:$C$60,"&gt;="&amp;$A401)</f>
        <v>0</v>
      </c>
      <c r="E401" s="3" t="n">
        <f aca="false">IF(D401&gt;0,ROUNDUP(D401/Parametres!$B$7,0)+1,0)</f>
        <v>0</v>
      </c>
      <c r="F401" s="3" t="n">
        <f aca="false">SUMIFS(Equipes!$D$2:$D$60,Equipes!$A$2:$A$60,"LOT-03",Equipes!$B$2:$B$60,"&lt;="&amp;$A401,Equipes!$C$2:$C$60,"&gt;="&amp;$A401)</f>
        <v>0</v>
      </c>
      <c r="G401" s="3" t="n">
        <f aca="false">IF(F401&gt;0,ROUNDUP(F401/Parametres!$B$7,0)+1,0)</f>
        <v>0</v>
      </c>
      <c r="H401" s="3" t="n">
        <f aca="false">SUMIFS(Equipes!$D$2:$D$60,Equipes!$A$2:$A$60,"LOT-04",Equipes!$B$2:$B$60,"&lt;="&amp;$A401,Equipes!$C$2:$C$60,"&gt;="&amp;$A401)</f>
        <v>0</v>
      </c>
      <c r="I401" s="3" t="n">
        <f aca="false">IF(H401&gt;0,ROUNDUP(H401/Parametres!$B$7,0)+1,0)</f>
        <v>0</v>
      </c>
      <c r="J401" s="3" t="n">
        <f aca="false">SUMIFS(Equipes!$D$2:$D$60,Equipes!$A$2:$A$60,"LOT-05",Equipes!$B$2:$B$60,"&lt;="&amp;$A401,Equipes!$C$2:$C$60,"&gt;="&amp;$A401)</f>
        <v>0</v>
      </c>
      <c r="K401" s="3" t="n">
        <f aca="false">IF(J401&gt;0,ROUNDUP(J401/Parametres!$B$7,0)+1,0)</f>
        <v>0</v>
      </c>
      <c r="L401" s="3" t="n">
        <f aca="false">SUMIFS(Equipes!$D$2:$D$60,Equipes!$A$2:$A$60,"LOT-06",Equipes!$B$2:$B$60,"&lt;="&amp;$A401,Equipes!$C$2:$C$60,"&gt;="&amp;$A401)</f>
        <v>0</v>
      </c>
      <c r="M401" s="3" t="n">
        <f aca="false">IF(L401&gt;0,ROUNDUP(L401/Parametres!$B$7,0)+1,0)</f>
        <v>0</v>
      </c>
      <c r="N401" s="3" t="n">
        <f aca="false">SUMIFS(Equipes!$D$2:$D$60,Equipes!$A$2:$A$60,"LOT-07",Equipes!$B$2:$B$60,"&lt;="&amp;$A401,Equipes!$C$2:$C$60,"&gt;="&amp;$A401)</f>
        <v>0</v>
      </c>
      <c r="O401" s="3" t="n">
        <f aca="false">IF(N401&gt;0,ROUNDUP(N401/Parametres!$B$7,0)+1,0)</f>
        <v>0</v>
      </c>
      <c r="P401" s="3" t="n">
        <f aca="false">SUMIFS(Equipes!$D$2:$D$60,Equipes!$A$2:$A$60,"LOT-08",Equipes!$B$2:$B$60,"&lt;="&amp;$A401,Equipes!$C$2:$C$60,"&gt;="&amp;$A401)</f>
        <v>6</v>
      </c>
      <c r="Q401" s="3" t="n">
        <f aca="false">IF(P401&gt;0,ROUNDUP(P401/Parametres!$B$7,0)+1,0)</f>
        <v>2</v>
      </c>
    </row>
    <row r="402" customFormat="false" ht="15" hidden="false" customHeight="false" outlineLevel="0" collapsed="false">
      <c r="A402" s="2" t="n">
        <v>46483</v>
      </c>
      <c r="B402" s="3" t="n">
        <f aca="false">SUMIFS(Equipes!$D$2:$D$60,Equipes!$A$2:$A$60,"LOT-01",Equipes!$B$2:$B$60,"&lt;="&amp;$A402,Equipes!$C$2:$C$60,"&gt;="&amp;$A402)</f>
        <v>0</v>
      </c>
      <c r="C402" s="3" t="n">
        <f aca="false">IF(B402&gt;0,ROUNDUP(B402/Parametres!$B$7,0)+1,0)</f>
        <v>0</v>
      </c>
      <c r="D402" s="3" t="n">
        <f aca="false">SUMIFS(Equipes!$D$2:$D$60,Equipes!$A$2:$A$60,"LOT-02",Equipes!$B$2:$B$60,"&lt;="&amp;$A402,Equipes!$C$2:$C$60,"&gt;="&amp;$A402)</f>
        <v>0</v>
      </c>
      <c r="E402" s="3" t="n">
        <f aca="false">IF(D402&gt;0,ROUNDUP(D402/Parametres!$B$7,0)+1,0)</f>
        <v>0</v>
      </c>
      <c r="F402" s="3" t="n">
        <f aca="false">SUMIFS(Equipes!$D$2:$D$60,Equipes!$A$2:$A$60,"LOT-03",Equipes!$B$2:$B$60,"&lt;="&amp;$A402,Equipes!$C$2:$C$60,"&gt;="&amp;$A402)</f>
        <v>0</v>
      </c>
      <c r="G402" s="3" t="n">
        <f aca="false">IF(F402&gt;0,ROUNDUP(F402/Parametres!$B$7,0)+1,0)</f>
        <v>0</v>
      </c>
      <c r="H402" s="3" t="n">
        <f aca="false">SUMIFS(Equipes!$D$2:$D$60,Equipes!$A$2:$A$60,"LOT-04",Equipes!$B$2:$B$60,"&lt;="&amp;$A402,Equipes!$C$2:$C$60,"&gt;="&amp;$A402)</f>
        <v>0</v>
      </c>
      <c r="I402" s="3" t="n">
        <f aca="false">IF(H402&gt;0,ROUNDUP(H402/Parametres!$B$7,0)+1,0)</f>
        <v>0</v>
      </c>
      <c r="J402" s="3" t="n">
        <f aca="false">SUMIFS(Equipes!$D$2:$D$60,Equipes!$A$2:$A$60,"LOT-05",Equipes!$B$2:$B$60,"&lt;="&amp;$A402,Equipes!$C$2:$C$60,"&gt;="&amp;$A402)</f>
        <v>0</v>
      </c>
      <c r="K402" s="3" t="n">
        <f aca="false">IF(J402&gt;0,ROUNDUP(J402/Parametres!$B$7,0)+1,0)</f>
        <v>0</v>
      </c>
      <c r="L402" s="3" t="n">
        <f aca="false">SUMIFS(Equipes!$D$2:$D$60,Equipes!$A$2:$A$60,"LOT-06",Equipes!$B$2:$B$60,"&lt;="&amp;$A402,Equipes!$C$2:$C$60,"&gt;="&amp;$A402)</f>
        <v>0</v>
      </c>
      <c r="M402" s="3" t="n">
        <f aca="false">IF(L402&gt;0,ROUNDUP(L402/Parametres!$B$7,0)+1,0)</f>
        <v>0</v>
      </c>
      <c r="N402" s="3" t="n">
        <f aca="false">SUMIFS(Equipes!$D$2:$D$60,Equipes!$A$2:$A$60,"LOT-07",Equipes!$B$2:$B$60,"&lt;="&amp;$A402,Equipes!$C$2:$C$60,"&gt;="&amp;$A402)</f>
        <v>0</v>
      </c>
      <c r="O402" s="3" t="n">
        <f aca="false">IF(N402&gt;0,ROUNDUP(N402/Parametres!$B$7,0)+1,0)</f>
        <v>0</v>
      </c>
      <c r="P402" s="3" t="n">
        <f aca="false">SUMIFS(Equipes!$D$2:$D$60,Equipes!$A$2:$A$60,"LOT-08",Equipes!$B$2:$B$60,"&lt;="&amp;$A402,Equipes!$C$2:$C$60,"&gt;="&amp;$A402)</f>
        <v>6</v>
      </c>
      <c r="Q402" s="3" t="n">
        <f aca="false">IF(P402&gt;0,ROUNDUP(P402/Parametres!$B$7,0)+1,0)</f>
        <v>2</v>
      </c>
    </row>
    <row r="403" customFormat="false" ht="15" hidden="false" customHeight="false" outlineLevel="0" collapsed="false">
      <c r="A403" s="2" t="n">
        <v>46484</v>
      </c>
      <c r="B403" s="3" t="n">
        <f aca="false">SUMIFS(Equipes!$D$2:$D$60,Equipes!$A$2:$A$60,"LOT-01",Equipes!$B$2:$B$60,"&lt;="&amp;$A403,Equipes!$C$2:$C$60,"&gt;="&amp;$A403)</f>
        <v>0</v>
      </c>
      <c r="C403" s="3" t="n">
        <f aca="false">IF(B403&gt;0,ROUNDUP(B403/Parametres!$B$7,0)+1,0)</f>
        <v>0</v>
      </c>
      <c r="D403" s="3" t="n">
        <f aca="false">SUMIFS(Equipes!$D$2:$D$60,Equipes!$A$2:$A$60,"LOT-02",Equipes!$B$2:$B$60,"&lt;="&amp;$A403,Equipes!$C$2:$C$60,"&gt;="&amp;$A403)</f>
        <v>0</v>
      </c>
      <c r="E403" s="3" t="n">
        <f aca="false">IF(D403&gt;0,ROUNDUP(D403/Parametres!$B$7,0)+1,0)</f>
        <v>0</v>
      </c>
      <c r="F403" s="3" t="n">
        <f aca="false">SUMIFS(Equipes!$D$2:$D$60,Equipes!$A$2:$A$60,"LOT-03",Equipes!$B$2:$B$60,"&lt;="&amp;$A403,Equipes!$C$2:$C$60,"&gt;="&amp;$A403)</f>
        <v>0</v>
      </c>
      <c r="G403" s="3" t="n">
        <f aca="false">IF(F403&gt;0,ROUNDUP(F403/Parametres!$B$7,0)+1,0)</f>
        <v>0</v>
      </c>
      <c r="H403" s="3" t="n">
        <f aca="false">SUMIFS(Equipes!$D$2:$D$60,Equipes!$A$2:$A$60,"LOT-04",Equipes!$B$2:$B$60,"&lt;="&amp;$A403,Equipes!$C$2:$C$60,"&gt;="&amp;$A403)</f>
        <v>0</v>
      </c>
      <c r="I403" s="3" t="n">
        <f aca="false">IF(H403&gt;0,ROUNDUP(H403/Parametres!$B$7,0)+1,0)</f>
        <v>0</v>
      </c>
      <c r="J403" s="3" t="n">
        <f aca="false">SUMIFS(Equipes!$D$2:$D$60,Equipes!$A$2:$A$60,"LOT-05",Equipes!$B$2:$B$60,"&lt;="&amp;$A403,Equipes!$C$2:$C$60,"&gt;="&amp;$A403)</f>
        <v>0</v>
      </c>
      <c r="K403" s="3" t="n">
        <f aca="false">IF(J403&gt;0,ROUNDUP(J403/Parametres!$B$7,0)+1,0)</f>
        <v>0</v>
      </c>
      <c r="L403" s="3" t="n">
        <f aca="false">SUMIFS(Equipes!$D$2:$D$60,Equipes!$A$2:$A$60,"LOT-06",Equipes!$B$2:$B$60,"&lt;="&amp;$A403,Equipes!$C$2:$C$60,"&gt;="&amp;$A403)</f>
        <v>0</v>
      </c>
      <c r="M403" s="3" t="n">
        <f aca="false">IF(L403&gt;0,ROUNDUP(L403/Parametres!$B$7,0)+1,0)</f>
        <v>0</v>
      </c>
      <c r="N403" s="3" t="n">
        <f aca="false">SUMIFS(Equipes!$D$2:$D$60,Equipes!$A$2:$A$60,"LOT-07",Equipes!$B$2:$B$60,"&lt;="&amp;$A403,Equipes!$C$2:$C$60,"&gt;="&amp;$A403)</f>
        <v>0</v>
      </c>
      <c r="O403" s="3" t="n">
        <f aca="false">IF(N403&gt;0,ROUNDUP(N403/Parametres!$B$7,0)+1,0)</f>
        <v>0</v>
      </c>
      <c r="P403" s="3" t="n">
        <f aca="false">SUMIFS(Equipes!$D$2:$D$60,Equipes!$A$2:$A$60,"LOT-08",Equipes!$B$2:$B$60,"&lt;="&amp;$A403,Equipes!$C$2:$C$60,"&gt;="&amp;$A403)</f>
        <v>6</v>
      </c>
      <c r="Q403" s="3" t="n">
        <f aca="false">IF(P403&gt;0,ROUNDUP(P403/Parametres!$B$7,0)+1,0)</f>
        <v>2</v>
      </c>
    </row>
    <row r="404" customFormat="false" ht="15" hidden="false" customHeight="false" outlineLevel="0" collapsed="false">
      <c r="A404" s="2" t="n">
        <v>46485</v>
      </c>
      <c r="B404" s="3" t="n">
        <f aca="false">SUMIFS(Equipes!$D$2:$D$60,Equipes!$A$2:$A$60,"LOT-01",Equipes!$B$2:$B$60,"&lt;="&amp;$A404,Equipes!$C$2:$C$60,"&gt;="&amp;$A404)</f>
        <v>5</v>
      </c>
      <c r="C404" s="3" t="n">
        <f aca="false">IF(B404&gt;0,ROUNDUP(B404/Parametres!$B$7,0)+1,0)</f>
        <v>2</v>
      </c>
      <c r="D404" s="3" t="n">
        <f aca="false">SUMIFS(Equipes!$D$2:$D$60,Equipes!$A$2:$A$60,"LOT-02",Equipes!$B$2:$B$60,"&lt;="&amp;$A404,Equipes!$C$2:$C$60,"&gt;="&amp;$A404)</f>
        <v>0</v>
      </c>
      <c r="E404" s="3" t="n">
        <f aca="false">IF(D404&gt;0,ROUNDUP(D404/Parametres!$B$7,0)+1,0)</f>
        <v>0</v>
      </c>
      <c r="F404" s="3" t="n">
        <f aca="false">SUMIFS(Equipes!$D$2:$D$60,Equipes!$A$2:$A$60,"LOT-03",Equipes!$B$2:$B$60,"&lt;="&amp;$A404,Equipes!$C$2:$C$60,"&gt;="&amp;$A404)</f>
        <v>0</v>
      </c>
      <c r="G404" s="3" t="n">
        <f aca="false">IF(F404&gt;0,ROUNDUP(F404/Parametres!$B$7,0)+1,0)</f>
        <v>0</v>
      </c>
      <c r="H404" s="3" t="n">
        <f aca="false">SUMIFS(Equipes!$D$2:$D$60,Equipes!$A$2:$A$60,"LOT-04",Equipes!$B$2:$B$60,"&lt;="&amp;$A404,Equipes!$C$2:$C$60,"&gt;="&amp;$A404)</f>
        <v>0</v>
      </c>
      <c r="I404" s="3" t="n">
        <f aca="false">IF(H404&gt;0,ROUNDUP(H404/Parametres!$B$7,0)+1,0)</f>
        <v>0</v>
      </c>
      <c r="J404" s="3" t="n">
        <f aca="false">SUMIFS(Equipes!$D$2:$D$60,Equipes!$A$2:$A$60,"LOT-05",Equipes!$B$2:$B$60,"&lt;="&amp;$A404,Equipes!$C$2:$C$60,"&gt;="&amp;$A404)</f>
        <v>0</v>
      </c>
      <c r="K404" s="3" t="n">
        <f aca="false">IF(J404&gt;0,ROUNDUP(J404/Parametres!$B$7,0)+1,0)</f>
        <v>0</v>
      </c>
      <c r="L404" s="3" t="n">
        <f aca="false">SUMIFS(Equipes!$D$2:$D$60,Equipes!$A$2:$A$60,"LOT-06",Equipes!$B$2:$B$60,"&lt;="&amp;$A404,Equipes!$C$2:$C$60,"&gt;="&amp;$A404)</f>
        <v>0</v>
      </c>
      <c r="M404" s="3" t="n">
        <f aca="false">IF(L404&gt;0,ROUNDUP(L404/Parametres!$B$7,0)+1,0)</f>
        <v>0</v>
      </c>
      <c r="N404" s="3" t="n">
        <f aca="false">SUMIFS(Equipes!$D$2:$D$60,Equipes!$A$2:$A$60,"LOT-07",Equipes!$B$2:$B$60,"&lt;="&amp;$A404,Equipes!$C$2:$C$60,"&gt;="&amp;$A404)</f>
        <v>0</v>
      </c>
      <c r="O404" s="3" t="n">
        <f aca="false">IF(N404&gt;0,ROUNDUP(N404/Parametres!$B$7,0)+1,0)</f>
        <v>0</v>
      </c>
      <c r="P404" s="3" t="n">
        <f aca="false">SUMIFS(Equipes!$D$2:$D$60,Equipes!$A$2:$A$60,"LOT-08",Equipes!$B$2:$B$60,"&lt;="&amp;$A404,Equipes!$C$2:$C$60,"&gt;="&amp;$A404)</f>
        <v>0</v>
      </c>
      <c r="Q404" s="3" t="n">
        <f aca="false">IF(P404&gt;0,ROUNDUP(P404/Parametres!$B$7,0)+1,0)</f>
        <v>0</v>
      </c>
    </row>
    <row r="405" customFormat="false" ht="15" hidden="false" customHeight="false" outlineLevel="0" collapsed="false">
      <c r="A405" s="2" t="n">
        <v>46486</v>
      </c>
      <c r="B405" s="3" t="n">
        <f aca="false">SUMIFS(Equipes!$D$2:$D$60,Equipes!$A$2:$A$60,"LOT-01",Equipes!$B$2:$B$60,"&lt;="&amp;$A405,Equipes!$C$2:$C$60,"&gt;="&amp;$A405)</f>
        <v>5</v>
      </c>
      <c r="C405" s="3" t="n">
        <f aca="false">IF(B405&gt;0,ROUNDUP(B405/Parametres!$B$7,0)+1,0)</f>
        <v>2</v>
      </c>
      <c r="D405" s="3" t="n">
        <f aca="false">SUMIFS(Equipes!$D$2:$D$60,Equipes!$A$2:$A$60,"LOT-02",Equipes!$B$2:$B$60,"&lt;="&amp;$A405,Equipes!$C$2:$C$60,"&gt;="&amp;$A405)</f>
        <v>0</v>
      </c>
      <c r="E405" s="3" t="n">
        <f aca="false">IF(D405&gt;0,ROUNDUP(D405/Parametres!$B$7,0)+1,0)</f>
        <v>0</v>
      </c>
      <c r="F405" s="3" t="n">
        <f aca="false">SUMIFS(Equipes!$D$2:$D$60,Equipes!$A$2:$A$60,"LOT-03",Equipes!$B$2:$B$60,"&lt;="&amp;$A405,Equipes!$C$2:$C$60,"&gt;="&amp;$A405)</f>
        <v>0</v>
      </c>
      <c r="G405" s="3" t="n">
        <f aca="false">IF(F405&gt;0,ROUNDUP(F405/Parametres!$B$7,0)+1,0)</f>
        <v>0</v>
      </c>
      <c r="H405" s="3" t="n">
        <f aca="false">SUMIFS(Equipes!$D$2:$D$60,Equipes!$A$2:$A$60,"LOT-04",Equipes!$B$2:$B$60,"&lt;="&amp;$A405,Equipes!$C$2:$C$60,"&gt;="&amp;$A405)</f>
        <v>0</v>
      </c>
      <c r="I405" s="3" t="n">
        <f aca="false">IF(H405&gt;0,ROUNDUP(H405/Parametres!$B$7,0)+1,0)</f>
        <v>0</v>
      </c>
      <c r="J405" s="3" t="n">
        <f aca="false">SUMIFS(Equipes!$D$2:$D$60,Equipes!$A$2:$A$60,"LOT-05",Equipes!$B$2:$B$60,"&lt;="&amp;$A405,Equipes!$C$2:$C$60,"&gt;="&amp;$A405)</f>
        <v>0</v>
      </c>
      <c r="K405" s="3" t="n">
        <f aca="false">IF(J405&gt;0,ROUNDUP(J405/Parametres!$B$7,0)+1,0)</f>
        <v>0</v>
      </c>
      <c r="L405" s="3" t="n">
        <f aca="false">SUMIFS(Equipes!$D$2:$D$60,Equipes!$A$2:$A$60,"LOT-06",Equipes!$B$2:$B$60,"&lt;="&amp;$A405,Equipes!$C$2:$C$60,"&gt;="&amp;$A405)</f>
        <v>0</v>
      </c>
      <c r="M405" s="3" t="n">
        <f aca="false">IF(L405&gt;0,ROUNDUP(L405/Parametres!$B$7,0)+1,0)</f>
        <v>0</v>
      </c>
      <c r="N405" s="3" t="n">
        <f aca="false">SUMIFS(Equipes!$D$2:$D$60,Equipes!$A$2:$A$60,"LOT-07",Equipes!$B$2:$B$60,"&lt;="&amp;$A405,Equipes!$C$2:$C$60,"&gt;="&amp;$A405)</f>
        <v>0</v>
      </c>
      <c r="O405" s="3" t="n">
        <f aca="false">IF(N405&gt;0,ROUNDUP(N405/Parametres!$B$7,0)+1,0)</f>
        <v>0</v>
      </c>
      <c r="P405" s="3" t="n">
        <f aca="false">SUMIFS(Equipes!$D$2:$D$60,Equipes!$A$2:$A$60,"LOT-08",Equipes!$B$2:$B$60,"&lt;="&amp;$A405,Equipes!$C$2:$C$60,"&gt;="&amp;$A405)</f>
        <v>0</v>
      </c>
      <c r="Q405" s="3" t="n">
        <f aca="false">IF(P405&gt;0,ROUNDUP(P405/Parametres!$B$7,0)+1,0)</f>
        <v>0</v>
      </c>
    </row>
    <row r="406" customFormat="false" ht="15" hidden="false" customHeight="false" outlineLevel="0" collapsed="false">
      <c r="A406" s="2" t="n">
        <v>46487</v>
      </c>
      <c r="B406" s="3" t="n">
        <f aca="false">SUMIFS(Equipes!$D$2:$D$60,Equipes!$A$2:$A$60,"LOT-01",Equipes!$B$2:$B$60,"&lt;="&amp;$A406,Equipes!$C$2:$C$60,"&gt;="&amp;$A406)</f>
        <v>5</v>
      </c>
      <c r="C406" s="3" t="n">
        <f aca="false">IF(B406&gt;0,ROUNDUP(B406/Parametres!$B$7,0)+1,0)</f>
        <v>2</v>
      </c>
      <c r="D406" s="3" t="n">
        <f aca="false">SUMIFS(Equipes!$D$2:$D$60,Equipes!$A$2:$A$60,"LOT-02",Equipes!$B$2:$B$60,"&lt;="&amp;$A406,Equipes!$C$2:$C$60,"&gt;="&amp;$A406)</f>
        <v>0</v>
      </c>
      <c r="E406" s="3" t="n">
        <f aca="false">IF(D406&gt;0,ROUNDUP(D406/Parametres!$B$7,0)+1,0)</f>
        <v>0</v>
      </c>
      <c r="F406" s="3" t="n">
        <f aca="false">SUMIFS(Equipes!$D$2:$D$60,Equipes!$A$2:$A$60,"LOT-03",Equipes!$B$2:$B$60,"&lt;="&amp;$A406,Equipes!$C$2:$C$60,"&gt;="&amp;$A406)</f>
        <v>0</v>
      </c>
      <c r="G406" s="3" t="n">
        <f aca="false">IF(F406&gt;0,ROUNDUP(F406/Parametres!$B$7,0)+1,0)</f>
        <v>0</v>
      </c>
      <c r="H406" s="3" t="n">
        <f aca="false">SUMIFS(Equipes!$D$2:$D$60,Equipes!$A$2:$A$60,"LOT-04",Equipes!$B$2:$B$60,"&lt;="&amp;$A406,Equipes!$C$2:$C$60,"&gt;="&amp;$A406)</f>
        <v>0</v>
      </c>
      <c r="I406" s="3" t="n">
        <f aca="false">IF(H406&gt;0,ROUNDUP(H406/Parametres!$B$7,0)+1,0)</f>
        <v>0</v>
      </c>
      <c r="J406" s="3" t="n">
        <f aca="false">SUMIFS(Equipes!$D$2:$D$60,Equipes!$A$2:$A$60,"LOT-05",Equipes!$B$2:$B$60,"&lt;="&amp;$A406,Equipes!$C$2:$C$60,"&gt;="&amp;$A406)</f>
        <v>0</v>
      </c>
      <c r="K406" s="3" t="n">
        <f aca="false">IF(J406&gt;0,ROUNDUP(J406/Parametres!$B$7,0)+1,0)</f>
        <v>0</v>
      </c>
      <c r="L406" s="3" t="n">
        <f aca="false">SUMIFS(Equipes!$D$2:$D$60,Equipes!$A$2:$A$60,"LOT-06",Equipes!$B$2:$B$60,"&lt;="&amp;$A406,Equipes!$C$2:$C$60,"&gt;="&amp;$A406)</f>
        <v>0</v>
      </c>
      <c r="M406" s="3" t="n">
        <f aca="false">IF(L406&gt;0,ROUNDUP(L406/Parametres!$B$7,0)+1,0)</f>
        <v>0</v>
      </c>
      <c r="N406" s="3" t="n">
        <f aca="false">SUMIFS(Equipes!$D$2:$D$60,Equipes!$A$2:$A$60,"LOT-07",Equipes!$B$2:$B$60,"&lt;="&amp;$A406,Equipes!$C$2:$C$60,"&gt;="&amp;$A406)</f>
        <v>0</v>
      </c>
      <c r="O406" s="3" t="n">
        <f aca="false">IF(N406&gt;0,ROUNDUP(N406/Parametres!$B$7,0)+1,0)</f>
        <v>0</v>
      </c>
      <c r="P406" s="3" t="n">
        <f aca="false">SUMIFS(Equipes!$D$2:$D$60,Equipes!$A$2:$A$60,"LOT-08",Equipes!$B$2:$B$60,"&lt;="&amp;$A406,Equipes!$C$2:$C$60,"&gt;="&amp;$A406)</f>
        <v>0</v>
      </c>
      <c r="Q406" s="3" t="n">
        <f aca="false">IF(P406&gt;0,ROUNDUP(P406/Parametres!$B$7,0)+1,0)</f>
        <v>0</v>
      </c>
    </row>
    <row r="407" customFormat="false" ht="15" hidden="false" customHeight="false" outlineLevel="0" collapsed="false">
      <c r="A407" s="2" t="n">
        <v>46488</v>
      </c>
      <c r="B407" s="3" t="n">
        <f aca="false">SUMIFS(Equipes!$D$2:$D$60,Equipes!$A$2:$A$60,"LOT-01",Equipes!$B$2:$B$60,"&lt;="&amp;$A407,Equipes!$C$2:$C$60,"&gt;="&amp;$A407)</f>
        <v>5</v>
      </c>
      <c r="C407" s="3" t="n">
        <f aca="false">IF(B407&gt;0,ROUNDUP(B407/Parametres!$B$7,0)+1,0)</f>
        <v>2</v>
      </c>
      <c r="D407" s="3" t="n">
        <f aca="false">SUMIFS(Equipes!$D$2:$D$60,Equipes!$A$2:$A$60,"LOT-02",Equipes!$B$2:$B$60,"&lt;="&amp;$A407,Equipes!$C$2:$C$60,"&gt;="&amp;$A407)</f>
        <v>0</v>
      </c>
      <c r="E407" s="3" t="n">
        <f aca="false">IF(D407&gt;0,ROUNDUP(D407/Parametres!$B$7,0)+1,0)</f>
        <v>0</v>
      </c>
      <c r="F407" s="3" t="n">
        <f aca="false">SUMIFS(Equipes!$D$2:$D$60,Equipes!$A$2:$A$60,"LOT-03",Equipes!$B$2:$B$60,"&lt;="&amp;$A407,Equipes!$C$2:$C$60,"&gt;="&amp;$A407)</f>
        <v>0</v>
      </c>
      <c r="G407" s="3" t="n">
        <f aca="false">IF(F407&gt;0,ROUNDUP(F407/Parametres!$B$7,0)+1,0)</f>
        <v>0</v>
      </c>
      <c r="H407" s="3" t="n">
        <f aca="false">SUMIFS(Equipes!$D$2:$D$60,Equipes!$A$2:$A$60,"LOT-04",Equipes!$B$2:$B$60,"&lt;="&amp;$A407,Equipes!$C$2:$C$60,"&gt;="&amp;$A407)</f>
        <v>0</v>
      </c>
      <c r="I407" s="3" t="n">
        <f aca="false">IF(H407&gt;0,ROUNDUP(H407/Parametres!$B$7,0)+1,0)</f>
        <v>0</v>
      </c>
      <c r="J407" s="3" t="n">
        <f aca="false">SUMIFS(Equipes!$D$2:$D$60,Equipes!$A$2:$A$60,"LOT-05",Equipes!$B$2:$B$60,"&lt;="&amp;$A407,Equipes!$C$2:$C$60,"&gt;="&amp;$A407)</f>
        <v>0</v>
      </c>
      <c r="K407" s="3" t="n">
        <f aca="false">IF(J407&gt;0,ROUNDUP(J407/Parametres!$B$7,0)+1,0)</f>
        <v>0</v>
      </c>
      <c r="L407" s="3" t="n">
        <f aca="false">SUMIFS(Equipes!$D$2:$D$60,Equipes!$A$2:$A$60,"LOT-06",Equipes!$B$2:$B$60,"&lt;="&amp;$A407,Equipes!$C$2:$C$60,"&gt;="&amp;$A407)</f>
        <v>0</v>
      </c>
      <c r="M407" s="3" t="n">
        <f aca="false">IF(L407&gt;0,ROUNDUP(L407/Parametres!$B$7,0)+1,0)</f>
        <v>0</v>
      </c>
      <c r="N407" s="3" t="n">
        <f aca="false">SUMIFS(Equipes!$D$2:$D$60,Equipes!$A$2:$A$60,"LOT-07",Equipes!$B$2:$B$60,"&lt;="&amp;$A407,Equipes!$C$2:$C$60,"&gt;="&amp;$A407)</f>
        <v>0</v>
      </c>
      <c r="O407" s="3" t="n">
        <f aca="false">IF(N407&gt;0,ROUNDUP(N407/Parametres!$B$7,0)+1,0)</f>
        <v>0</v>
      </c>
      <c r="P407" s="3" t="n">
        <f aca="false">SUMIFS(Equipes!$D$2:$D$60,Equipes!$A$2:$A$60,"LOT-08",Equipes!$B$2:$B$60,"&lt;="&amp;$A407,Equipes!$C$2:$C$60,"&gt;="&amp;$A407)</f>
        <v>0</v>
      </c>
      <c r="Q407" s="3" t="n">
        <f aca="false">IF(P407&gt;0,ROUNDUP(P407/Parametres!$B$7,0)+1,0)</f>
        <v>0</v>
      </c>
    </row>
    <row r="408" customFormat="false" ht="15" hidden="false" customHeight="false" outlineLevel="0" collapsed="false">
      <c r="A408" s="2" t="n">
        <v>46489</v>
      </c>
      <c r="B408" s="3" t="n">
        <f aca="false">SUMIFS(Equipes!$D$2:$D$60,Equipes!$A$2:$A$60,"LOT-01",Equipes!$B$2:$B$60,"&lt;="&amp;$A408,Equipes!$C$2:$C$60,"&gt;="&amp;$A408)</f>
        <v>5</v>
      </c>
      <c r="C408" s="3" t="n">
        <f aca="false">IF(B408&gt;0,ROUNDUP(B408/Parametres!$B$7,0)+1,0)</f>
        <v>2</v>
      </c>
      <c r="D408" s="3" t="n">
        <f aca="false">SUMIFS(Equipes!$D$2:$D$60,Equipes!$A$2:$A$60,"LOT-02",Equipes!$B$2:$B$60,"&lt;="&amp;$A408,Equipes!$C$2:$C$60,"&gt;="&amp;$A408)</f>
        <v>0</v>
      </c>
      <c r="E408" s="3" t="n">
        <f aca="false">IF(D408&gt;0,ROUNDUP(D408/Parametres!$B$7,0)+1,0)</f>
        <v>0</v>
      </c>
      <c r="F408" s="3" t="n">
        <f aca="false">SUMIFS(Equipes!$D$2:$D$60,Equipes!$A$2:$A$60,"LOT-03",Equipes!$B$2:$B$60,"&lt;="&amp;$A408,Equipes!$C$2:$C$60,"&gt;="&amp;$A408)</f>
        <v>0</v>
      </c>
      <c r="G408" s="3" t="n">
        <f aca="false">IF(F408&gt;0,ROUNDUP(F408/Parametres!$B$7,0)+1,0)</f>
        <v>0</v>
      </c>
      <c r="H408" s="3" t="n">
        <f aca="false">SUMIFS(Equipes!$D$2:$D$60,Equipes!$A$2:$A$60,"LOT-04",Equipes!$B$2:$B$60,"&lt;="&amp;$A408,Equipes!$C$2:$C$60,"&gt;="&amp;$A408)</f>
        <v>0</v>
      </c>
      <c r="I408" s="3" t="n">
        <f aca="false">IF(H408&gt;0,ROUNDUP(H408/Parametres!$B$7,0)+1,0)</f>
        <v>0</v>
      </c>
      <c r="J408" s="3" t="n">
        <f aca="false">SUMIFS(Equipes!$D$2:$D$60,Equipes!$A$2:$A$60,"LOT-05",Equipes!$B$2:$B$60,"&lt;="&amp;$A408,Equipes!$C$2:$C$60,"&gt;="&amp;$A408)</f>
        <v>0</v>
      </c>
      <c r="K408" s="3" t="n">
        <f aca="false">IF(J408&gt;0,ROUNDUP(J408/Parametres!$B$7,0)+1,0)</f>
        <v>0</v>
      </c>
      <c r="L408" s="3" t="n">
        <f aca="false">SUMIFS(Equipes!$D$2:$D$60,Equipes!$A$2:$A$60,"LOT-06",Equipes!$B$2:$B$60,"&lt;="&amp;$A408,Equipes!$C$2:$C$60,"&gt;="&amp;$A408)</f>
        <v>0</v>
      </c>
      <c r="M408" s="3" t="n">
        <f aca="false">IF(L408&gt;0,ROUNDUP(L408/Parametres!$B$7,0)+1,0)</f>
        <v>0</v>
      </c>
      <c r="N408" s="3" t="n">
        <f aca="false">SUMIFS(Equipes!$D$2:$D$60,Equipes!$A$2:$A$60,"LOT-07",Equipes!$B$2:$B$60,"&lt;="&amp;$A408,Equipes!$C$2:$C$60,"&gt;="&amp;$A408)</f>
        <v>0</v>
      </c>
      <c r="O408" s="3" t="n">
        <f aca="false">IF(N408&gt;0,ROUNDUP(N408/Parametres!$B$7,0)+1,0)</f>
        <v>0</v>
      </c>
      <c r="P408" s="3" t="n">
        <f aca="false">SUMIFS(Equipes!$D$2:$D$60,Equipes!$A$2:$A$60,"LOT-08",Equipes!$B$2:$B$60,"&lt;="&amp;$A408,Equipes!$C$2:$C$60,"&gt;="&amp;$A408)</f>
        <v>0</v>
      </c>
      <c r="Q408" s="3" t="n">
        <f aca="false">IF(P408&gt;0,ROUNDUP(P408/Parametres!$B$7,0)+1,0)</f>
        <v>0</v>
      </c>
    </row>
    <row r="409" customFormat="false" ht="15" hidden="false" customHeight="false" outlineLevel="0" collapsed="false">
      <c r="A409" s="2" t="n">
        <v>46490</v>
      </c>
      <c r="B409" s="3" t="n">
        <f aca="false">SUMIFS(Equipes!$D$2:$D$60,Equipes!$A$2:$A$60,"LOT-01",Equipes!$B$2:$B$60,"&lt;="&amp;$A409,Equipes!$C$2:$C$60,"&gt;="&amp;$A409)</f>
        <v>5</v>
      </c>
      <c r="C409" s="3" t="n">
        <f aca="false">IF(B409&gt;0,ROUNDUP(B409/Parametres!$B$7,0)+1,0)</f>
        <v>2</v>
      </c>
      <c r="D409" s="3" t="n">
        <f aca="false">SUMIFS(Equipes!$D$2:$D$60,Equipes!$A$2:$A$60,"LOT-02",Equipes!$B$2:$B$60,"&lt;="&amp;$A409,Equipes!$C$2:$C$60,"&gt;="&amp;$A409)</f>
        <v>0</v>
      </c>
      <c r="E409" s="3" t="n">
        <f aca="false">IF(D409&gt;0,ROUNDUP(D409/Parametres!$B$7,0)+1,0)</f>
        <v>0</v>
      </c>
      <c r="F409" s="3" t="n">
        <f aca="false">SUMIFS(Equipes!$D$2:$D$60,Equipes!$A$2:$A$60,"LOT-03",Equipes!$B$2:$B$60,"&lt;="&amp;$A409,Equipes!$C$2:$C$60,"&gt;="&amp;$A409)</f>
        <v>0</v>
      </c>
      <c r="G409" s="3" t="n">
        <f aca="false">IF(F409&gt;0,ROUNDUP(F409/Parametres!$B$7,0)+1,0)</f>
        <v>0</v>
      </c>
      <c r="H409" s="3" t="n">
        <f aca="false">SUMIFS(Equipes!$D$2:$D$60,Equipes!$A$2:$A$60,"LOT-04",Equipes!$B$2:$B$60,"&lt;="&amp;$A409,Equipes!$C$2:$C$60,"&gt;="&amp;$A409)</f>
        <v>0</v>
      </c>
      <c r="I409" s="3" t="n">
        <f aca="false">IF(H409&gt;0,ROUNDUP(H409/Parametres!$B$7,0)+1,0)</f>
        <v>0</v>
      </c>
      <c r="J409" s="3" t="n">
        <f aca="false">SUMIFS(Equipes!$D$2:$D$60,Equipes!$A$2:$A$60,"LOT-05",Equipes!$B$2:$B$60,"&lt;="&amp;$A409,Equipes!$C$2:$C$60,"&gt;="&amp;$A409)</f>
        <v>0</v>
      </c>
      <c r="K409" s="3" t="n">
        <f aca="false">IF(J409&gt;0,ROUNDUP(J409/Parametres!$B$7,0)+1,0)</f>
        <v>0</v>
      </c>
      <c r="L409" s="3" t="n">
        <f aca="false">SUMIFS(Equipes!$D$2:$D$60,Equipes!$A$2:$A$60,"LOT-06",Equipes!$B$2:$B$60,"&lt;="&amp;$A409,Equipes!$C$2:$C$60,"&gt;="&amp;$A409)</f>
        <v>0</v>
      </c>
      <c r="M409" s="3" t="n">
        <f aca="false">IF(L409&gt;0,ROUNDUP(L409/Parametres!$B$7,0)+1,0)</f>
        <v>0</v>
      </c>
      <c r="N409" s="3" t="n">
        <f aca="false">SUMIFS(Equipes!$D$2:$D$60,Equipes!$A$2:$A$60,"LOT-07",Equipes!$B$2:$B$60,"&lt;="&amp;$A409,Equipes!$C$2:$C$60,"&gt;="&amp;$A409)</f>
        <v>0</v>
      </c>
      <c r="O409" s="3" t="n">
        <f aca="false">IF(N409&gt;0,ROUNDUP(N409/Parametres!$B$7,0)+1,0)</f>
        <v>0</v>
      </c>
      <c r="P409" s="3" t="n">
        <f aca="false">SUMIFS(Equipes!$D$2:$D$60,Equipes!$A$2:$A$60,"LOT-08",Equipes!$B$2:$B$60,"&lt;="&amp;$A409,Equipes!$C$2:$C$60,"&gt;="&amp;$A409)</f>
        <v>0</v>
      </c>
      <c r="Q409" s="3" t="n">
        <f aca="false">IF(P409&gt;0,ROUNDUP(P409/Parametres!$B$7,0)+1,0)</f>
        <v>0</v>
      </c>
    </row>
    <row r="410" customFormat="false" ht="15" hidden="false" customHeight="false" outlineLevel="0" collapsed="false">
      <c r="A410" s="2" t="n">
        <v>46491</v>
      </c>
      <c r="B410" s="3" t="n">
        <f aca="false">SUMIFS(Equipes!$D$2:$D$60,Equipes!$A$2:$A$60,"LOT-01",Equipes!$B$2:$B$60,"&lt;="&amp;$A410,Equipes!$C$2:$C$60,"&gt;="&amp;$A410)</f>
        <v>5</v>
      </c>
      <c r="C410" s="3" t="n">
        <f aca="false">IF(B410&gt;0,ROUNDUP(B410/Parametres!$B$7,0)+1,0)</f>
        <v>2</v>
      </c>
      <c r="D410" s="3" t="n">
        <f aca="false">SUMIFS(Equipes!$D$2:$D$60,Equipes!$A$2:$A$60,"LOT-02",Equipes!$B$2:$B$60,"&lt;="&amp;$A410,Equipes!$C$2:$C$60,"&gt;="&amp;$A410)</f>
        <v>0</v>
      </c>
      <c r="E410" s="3" t="n">
        <f aca="false">IF(D410&gt;0,ROUNDUP(D410/Parametres!$B$7,0)+1,0)</f>
        <v>0</v>
      </c>
      <c r="F410" s="3" t="n">
        <f aca="false">SUMIFS(Equipes!$D$2:$D$60,Equipes!$A$2:$A$60,"LOT-03",Equipes!$B$2:$B$60,"&lt;="&amp;$A410,Equipes!$C$2:$C$60,"&gt;="&amp;$A410)</f>
        <v>0</v>
      </c>
      <c r="G410" s="3" t="n">
        <f aca="false">IF(F410&gt;0,ROUNDUP(F410/Parametres!$B$7,0)+1,0)</f>
        <v>0</v>
      </c>
      <c r="H410" s="3" t="n">
        <f aca="false">SUMIFS(Equipes!$D$2:$D$60,Equipes!$A$2:$A$60,"LOT-04",Equipes!$B$2:$B$60,"&lt;="&amp;$A410,Equipes!$C$2:$C$60,"&gt;="&amp;$A410)</f>
        <v>0</v>
      </c>
      <c r="I410" s="3" t="n">
        <f aca="false">IF(H410&gt;0,ROUNDUP(H410/Parametres!$B$7,0)+1,0)</f>
        <v>0</v>
      </c>
      <c r="J410" s="3" t="n">
        <f aca="false">SUMIFS(Equipes!$D$2:$D$60,Equipes!$A$2:$A$60,"LOT-05",Equipes!$B$2:$B$60,"&lt;="&amp;$A410,Equipes!$C$2:$C$60,"&gt;="&amp;$A410)</f>
        <v>0</v>
      </c>
      <c r="K410" s="3" t="n">
        <f aca="false">IF(J410&gt;0,ROUNDUP(J410/Parametres!$B$7,0)+1,0)</f>
        <v>0</v>
      </c>
      <c r="L410" s="3" t="n">
        <f aca="false">SUMIFS(Equipes!$D$2:$D$60,Equipes!$A$2:$A$60,"LOT-06",Equipes!$B$2:$B$60,"&lt;="&amp;$A410,Equipes!$C$2:$C$60,"&gt;="&amp;$A410)</f>
        <v>0</v>
      </c>
      <c r="M410" s="3" t="n">
        <f aca="false">IF(L410&gt;0,ROUNDUP(L410/Parametres!$B$7,0)+1,0)</f>
        <v>0</v>
      </c>
      <c r="N410" s="3" t="n">
        <f aca="false">SUMIFS(Equipes!$D$2:$D$60,Equipes!$A$2:$A$60,"LOT-07",Equipes!$B$2:$B$60,"&lt;="&amp;$A410,Equipes!$C$2:$C$60,"&gt;="&amp;$A410)</f>
        <v>0</v>
      </c>
      <c r="O410" s="3" t="n">
        <f aca="false">IF(N410&gt;0,ROUNDUP(N410/Parametres!$B$7,0)+1,0)</f>
        <v>0</v>
      </c>
      <c r="P410" s="3" t="n">
        <f aca="false">SUMIFS(Equipes!$D$2:$D$60,Equipes!$A$2:$A$60,"LOT-08",Equipes!$B$2:$B$60,"&lt;="&amp;$A410,Equipes!$C$2:$C$60,"&gt;="&amp;$A410)</f>
        <v>0</v>
      </c>
      <c r="Q410" s="3" t="n">
        <f aca="false">IF(P410&gt;0,ROUNDUP(P410/Parametres!$B$7,0)+1,0)</f>
        <v>0</v>
      </c>
    </row>
    <row r="411" customFormat="false" ht="15" hidden="false" customHeight="false" outlineLevel="0" collapsed="false">
      <c r="A411" s="2" t="n">
        <v>46492</v>
      </c>
      <c r="B411" s="3" t="n">
        <f aca="false">SUMIFS(Equipes!$D$2:$D$60,Equipes!$A$2:$A$60,"LOT-01",Equipes!$B$2:$B$60,"&lt;="&amp;$A411,Equipes!$C$2:$C$60,"&gt;="&amp;$A411)</f>
        <v>5</v>
      </c>
      <c r="C411" s="3" t="n">
        <f aca="false">IF(B411&gt;0,ROUNDUP(B411/Parametres!$B$7,0)+1,0)</f>
        <v>2</v>
      </c>
      <c r="D411" s="3" t="n">
        <f aca="false">SUMIFS(Equipes!$D$2:$D$60,Equipes!$A$2:$A$60,"LOT-02",Equipes!$B$2:$B$60,"&lt;="&amp;$A411,Equipes!$C$2:$C$60,"&gt;="&amp;$A411)</f>
        <v>0</v>
      </c>
      <c r="E411" s="3" t="n">
        <f aca="false">IF(D411&gt;0,ROUNDUP(D411/Parametres!$B$7,0)+1,0)</f>
        <v>0</v>
      </c>
      <c r="F411" s="3" t="n">
        <f aca="false">SUMIFS(Equipes!$D$2:$D$60,Equipes!$A$2:$A$60,"LOT-03",Equipes!$B$2:$B$60,"&lt;="&amp;$A411,Equipes!$C$2:$C$60,"&gt;="&amp;$A411)</f>
        <v>0</v>
      </c>
      <c r="G411" s="3" t="n">
        <f aca="false">IF(F411&gt;0,ROUNDUP(F411/Parametres!$B$7,0)+1,0)</f>
        <v>0</v>
      </c>
      <c r="H411" s="3" t="n">
        <f aca="false">SUMIFS(Equipes!$D$2:$D$60,Equipes!$A$2:$A$60,"LOT-04",Equipes!$B$2:$B$60,"&lt;="&amp;$A411,Equipes!$C$2:$C$60,"&gt;="&amp;$A411)</f>
        <v>0</v>
      </c>
      <c r="I411" s="3" t="n">
        <f aca="false">IF(H411&gt;0,ROUNDUP(H411/Parametres!$B$7,0)+1,0)</f>
        <v>0</v>
      </c>
      <c r="J411" s="3" t="n">
        <f aca="false">SUMIFS(Equipes!$D$2:$D$60,Equipes!$A$2:$A$60,"LOT-05",Equipes!$B$2:$B$60,"&lt;="&amp;$A411,Equipes!$C$2:$C$60,"&gt;="&amp;$A411)</f>
        <v>0</v>
      </c>
      <c r="K411" s="3" t="n">
        <f aca="false">IF(J411&gt;0,ROUNDUP(J411/Parametres!$B$7,0)+1,0)</f>
        <v>0</v>
      </c>
      <c r="L411" s="3" t="n">
        <f aca="false">SUMIFS(Equipes!$D$2:$D$60,Equipes!$A$2:$A$60,"LOT-06",Equipes!$B$2:$B$60,"&lt;="&amp;$A411,Equipes!$C$2:$C$60,"&gt;="&amp;$A411)</f>
        <v>0</v>
      </c>
      <c r="M411" s="3" t="n">
        <f aca="false">IF(L411&gt;0,ROUNDUP(L411/Parametres!$B$7,0)+1,0)</f>
        <v>0</v>
      </c>
      <c r="N411" s="3" t="n">
        <f aca="false">SUMIFS(Equipes!$D$2:$D$60,Equipes!$A$2:$A$60,"LOT-07",Equipes!$B$2:$B$60,"&lt;="&amp;$A411,Equipes!$C$2:$C$60,"&gt;="&amp;$A411)</f>
        <v>0</v>
      </c>
      <c r="O411" s="3" t="n">
        <f aca="false">IF(N411&gt;0,ROUNDUP(N411/Parametres!$B$7,0)+1,0)</f>
        <v>0</v>
      </c>
      <c r="P411" s="3" t="n">
        <f aca="false">SUMIFS(Equipes!$D$2:$D$60,Equipes!$A$2:$A$60,"LOT-08",Equipes!$B$2:$B$60,"&lt;="&amp;$A411,Equipes!$C$2:$C$60,"&gt;="&amp;$A411)</f>
        <v>0</v>
      </c>
      <c r="Q411" s="3" t="n">
        <f aca="false">IF(P411&gt;0,ROUNDUP(P411/Parametres!$B$7,0)+1,0)</f>
        <v>0</v>
      </c>
    </row>
    <row r="412" customFormat="false" ht="15" hidden="false" customHeight="false" outlineLevel="0" collapsed="false">
      <c r="A412" s="2" t="n">
        <v>46493</v>
      </c>
      <c r="B412" s="3" t="n">
        <f aca="false">SUMIFS(Equipes!$D$2:$D$60,Equipes!$A$2:$A$60,"LOT-01",Equipes!$B$2:$B$60,"&lt;="&amp;$A412,Equipes!$C$2:$C$60,"&gt;="&amp;$A412)</f>
        <v>5</v>
      </c>
      <c r="C412" s="3" t="n">
        <f aca="false">IF(B412&gt;0,ROUNDUP(B412/Parametres!$B$7,0)+1,0)</f>
        <v>2</v>
      </c>
      <c r="D412" s="3" t="n">
        <f aca="false">SUMIFS(Equipes!$D$2:$D$60,Equipes!$A$2:$A$60,"LOT-02",Equipes!$B$2:$B$60,"&lt;="&amp;$A412,Equipes!$C$2:$C$60,"&gt;="&amp;$A412)</f>
        <v>0</v>
      </c>
      <c r="E412" s="3" t="n">
        <f aca="false">IF(D412&gt;0,ROUNDUP(D412/Parametres!$B$7,0)+1,0)</f>
        <v>0</v>
      </c>
      <c r="F412" s="3" t="n">
        <f aca="false">SUMIFS(Equipes!$D$2:$D$60,Equipes!$A$2:$A$60,"LOT-03",Equipes!$B$2:$B$60,"&lt;="&amp;$A412,Equipes!$C$2:$C$60,"&gt;="&amp;$A412)</f>
        <v>0</v>
      </c>
      <c r="G412" s="3" t="n">
        <f aca="false">IF(F412&gt;0,ROUNDUP(F412/Parametres!$B$7,0)+1,0)</f>
        <v>0</v>
      </c>
      <c r="H412" s="3" t="n">
        <f aca="false">SUMIFS(Equipes!$D$2:$D$60,Equipes!$A$2:$A$60,"LOT-04",Equipes!$B$2:$B$60,"&lt;="&amp;$A412,Equipes!$C$2:$C$60,"&gt;="&amp;$A412)</f>
        <v>0</v>
      </c>
      <c r="I412" s="3" t="n">
        <f aca="false">IF(H412&gt;0,ROUNDUP(H412/Parametres!$B$7,0)+1,0)</f>
        <v>0</v>
      </c>
      <c r="J412" s="3" t="n">
        <f aca="false">SUMIFS(Equipes!$D$2:$D$60,Equipes!$A$2:$A$60,"LOT-05",Equipes!$B$2:$B$60,"&lt;="&amp;$A412,Equipes!$C$2:$C$60,"&gt;="&amp;$A412)</f>
        <v>0</v>
      </c>
      <c r="K412" s="3" t="n">
        <f aca="false">IF(J412&gt;0,ROUNDUP(J412/Parametres!$B$7,0)+1,0)</f>
        <v>0</v>
      </c>
      <c r="L412" s="3" t="n">
        <f aca="false">SUMIFS(Equipes!$D$2:$D$60,Equipes!$A$2:$A$60,"LOT-06",Equipes!$B$2:$B$60,"&lt;="&amp;$A412,Equipes!$C$2:$C$60,"&gt;="&amp;$A412)</f>
        <v>0</v>
      </c>
      <c r="M412" s="3" t="n">
        <f aca="false">IF(L412&gt;0,ROUNDUP(L412/Parametres!$B$7,0)+1,0)</f>
        <v>0</v>
      </c>
      <c r="N412" s="3" t="n">
        <f aca="false">SUMIFS(Equipes!$D$2:$D$60,Equipes!$A$2:$A$60,"LOT-07",Equipes!$B$2:$B$60,"&lt;="&amp;$A412,Equipes!$C$2:$C$60,"&gt;="&amp;$A412)</f>
        <v>0</v>
      </c>
      <c r="O412" s="3" t="n">
        <f aca="false">IF(N412&gt;0,ROUNDUP(N412/Parametres!$B$7,0)+1,0)</f>
        <v>0</v>
      </c>
      <c r="P412" s="3" t="n">
        <f aca="false">SUMIFS(Equipes!$D$2:$D$60,Equipes!$A$2:$A$60,"LOT-08",Equipes!$B$2:$B$60,"&lt;="&amp;$A412,Equipes!$C$2:$C$60,"&gt;="&amp;$A412)</f>
        <v>0</v>
      </c>
      <c r="Q412" s="3" t="n">
        <f aca="false">IF(P412&gt;0,ROUNDUP(P412/Parametres!$B$7,0)+1,0)</f>
        <v>0</v>
      </c>
    </row>
    <row r="413" customFormat="false" ht="15" hidden="false" customHeight="false" outlineLevel="0" collapsed="false">
      <c r="A413" s="2" t="n">
        <v>46494</v>
      </c>
      <c r="B413" s="3" t="n">
        <f aca="false">SUMIFS(Equipes!$D$2:$D$60,Equipes!$A$2:$A$60,"LOT-01",Equipes!$B$2:$B$60,"&lt;="&amp;$A413,Equipes!$C$2:$C$60,"&gt;="&amp;$A413)</f>
        <v>5</v>
      </c>
      <c r="C413" s="3" t="n">
        <f aca="false">IF(B413&gt;0,ROUNDUP(B413/Parametres!$B$7,0)+1,0)</f>
        <v>2</v>
      </c>
      <c r="D413" s="3" t="n">
        <f aca="false">SUMIFS(Equipes!$D$2:$D$60,Equipes!$A$2:$A$60,"LOT-02",Equipes!$B$2:$B$60,"&lt;="&amp;$A413,Equipes!$C$2:$C$60,"&gt;="&amp;$A413)</f>
        <v>0</v>
      </c>
      <c r="E413" s="3" t="n">
        <f aca="false">IF(D413&gt;0,ROUNDUP(D413/Parametres!$B$7,0)+1,0)</f>
        <v>0</v>
      </c>
      <c r="F413" s="3" t="n">
        <f aca="false">SUMIFS(Equipes!$D$2:$D$60,Equipes!$A$2:$A$60,"LOT-03",Equipes!$B$2:$B$60,"&lt;="&amp;$A413,Equipes!$C$2:$C$60,"&gt;="&amp;$A413)</f>
        <v>0</v>
      </c>
      <c r="G413" s="3" t="n">
        <f aca="false">IF(F413&gt;0,ROUNDUP(F413/Parametres!$B$7,0)+1,0)</f>
        <v>0</v>
      </c>
      <c r="H413" s="3" t="n">
        <f aca="false">SUMIFS(Equipes!$D$2:$D$60,Equipes!$A$2:$A$60,"LOT-04",Equipes!$B$2:$B$60,"&lt;="&amp;$A413,Equipes!$C$2:$C$60,"&gt;="&amp;$A413)</f>
        <v>0</v>
      </c>
      <c r="I413" s="3" t="n">
        <f aca="false">IF(H413&gt;0,ROUNDUP(H413/Parametres!$B$7,0)+1,0)</f>
        <v>0</v>
      </c>
      <c r="J413" s="3" t="n">
        <f aca="false">SUMIFS(Equipes!$D$2:$D$60,Equipes!$A$2:$A$60,"LOT-05",Equipes!$B$2:$B$60,"&lt;="&amp;$A413,Equipes!$C$2:$C$60,"&gt;="&amp;$A413)</f>
        <v>0</v>
      </c>
      <c r="K413" s="3" t="n">
        <f aca="false">IF(J413&gt;0,ROUNDUP(J413/Parametres!$B$7,0)+1,0)</f>
        <v>0</v>
      </c>
      <c r="L413" s="3" t="n">
        <f aca="false">SUMIFS(Equipes!$D$2:$D$60,Equipes!$A$2:$A$60,"LOT-06",Equipes!$B$2:$B$60,"&lt;="&amp;$A413,Equipes!$C$2:$C$60,"&gt;="&amp;$A413)</f>
        <v>0</v>
      </c>
      <c r="M413" s="3" t="n">
        <f aca="false">IF(L413&gt;0,ROUNDUP(L413/Parametres!$B$7,0)+1,0)</f>
        <v>0</v>
      </c>
      <c r="N413" s="3" t="n">
        <f aca="false">SUMIFS(Equipes!$D$2:$D$60,Equipes!$A$2:$A$60,"LOT-07",Equipes!$B$2:$B$60,"&lt;="&amp;$A413,Equipes!$C$2:$C$60,"&gt;="&amp;$A413)</f>
        <v>0</v>
      </c>
      <c r="O413" s="3" t="n">
        <f aca="false">IF(N413&gt;0,ROUNDUP(N413/Parametres!$B$7,0)+1,0)</f>
        <v>0</v>
      </c>
      <c r="P413" s="3" t="n">
        <f aca="false">SUMIFS(Equipes!$D$2:$D$60,Equipes!$A$2:$A$60,"LOT-08",Equipes!$B$2:$B$60,"&lt;="&amp;$A413,Equipes!$C$2:$C$60,"&gt;="&amp;$A413)</f>
        <v>0</v>
      </c>
      <c r="Q413" s="3" t="n">
        <f aca="false">IF(P413&gt;0,ROUNDUP(P413/Parametres!$B$7,0)+1,0)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436</v>
      </c>
      <c r="J1" s="1" t="s">
        <v>438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440</v>
      </c>
      <c r="R1" s="1" t="s">
        <v>442</v>
      </c>
      <c r="S1" s="1" t="s">
        <v>479</v>
      </c>
      <c r="T1" s="1" t="s">
        <v>480</v>
      </c>
      <c r="U1" s="1" t="s">
        <v>481</v>
      </c>
      <c r="V1" s="1" t="s">
        <v>482</v>
      </c>
      <c r="W1" s="1" t="s">
        <v>483</v>
      </c>
      <c r="X1" s="1" t="s">
        <v>484</v>
      </c>
      <c r="Y1" s="1" t="s">
        <v>444</v>
      </c>
      <c r="Z1" s="1" t="s">
        <v>446</v>
      </c>
      <c r="AA1" s="1" t="s">
        <v>485</v>
      </c>
      <c r="AB1" s="1" t="s">
        <v>486</v>
      </c>
      <c r="AC1" s="1" t="s">
        <v>487</v>
      </c>
    </row>
    <row r="2" customFormat="false" ht="15" hidden="false" customHeight="false" outlineLevel="0" collapsed="false">
      <c r="A2" s="0" t="s">
        <v>174</v>
      </c>
      <c r="B2" s="0" t="n">
        <f aca="false">SUMIFS(Lignes!$G$2:$G$135,Lignes!$C$2:$C$135,A2)</f>
        <v>65810000</v>
      </c>
      <c r="C2" s="0" t="n">
        <f aca="false">SUM(Debourse!B2:B413)*Parametres!$B$6</f>
        <v>1792</v>
      </c>
      <c r="D2" s="0" t="n">
        <f aca="false">SUM(Debourse!C2:C413)</f>
        <v>80</v>
      </c>
      <c r="E2" s="0" t="n">
        <f aca="false">ROUND(B2*Parametres!$B$4+C2*Parametres!$B$2+D2*Parametres!$B$3,0)</f>
        <v>44038600</v>
      </c>
      <c r="F2" s="0" t="n">
        <f aca="false">SUMIFS(Moyens!$C$2:$C$349,Moyens!$A$2:$A$349,A2,Moyens!$B$2:$B$349,"&lt;="&amp;Dates!$A$2)</f>
        <v>1671.34</v>
      </c>
      <c r="G2" s="0" t="n">
        <f aca="false">SUMIFS(Moyens!$D$2:$D$349,Moyens!$A$2:$A$349,A2,Moyens!$B$2:$B$349,"&lt;="&amp;Dates!$A$2)</f>
        <v>66</v>
      </c>
      <c r="H2" s="0" t="n">
        <f aca="false">SUMIFS(Aleas!$C$2:$C$13,Aleas!$A$2:$A$13,A2,Aleas!$B$2:$B$13,"&lt;="&amp;Dates!$A$2)</f>
        <v>0</v>
      </c>
      <c r="I2" s="0" t="n">
        <f aca="false">SUMIFS(Taches!$J$2:$J$60,Taches!$B$2:$B$60,A2)</f>
        <v>55890000</v>
      </c>
      <c r="J2" s="0" t="n">
        <f aca="false">ROUND(SUMIFS(Taches!$L$2:$L$60,Taches!$B$2:$B$60,A2),0)</f>
        <v>55890000</v>
      </c>
      <c r="K2" s="0" t="n">
        <f aca="false">SUMIFS(Lignes!$K$2:$K$135,Lignes!$C$2:$C$135,A2)</f>
        <v>0</v>
      </c>
      <c r="L2" s="0" t="n">
        <f aca="false">SUMIFS(Engins!$F$2:$F$149,Engins!$A$2:$A$149,A2,Engins!$B$2:$B$149,"&lt;="&amp;Dates!$A$2)</f>
        <v>0</v>
      </c>
      <c r="M2" s="0" t="n">
        <f aca="false">ROUND(F2*Parametres!$B$2+G2*Parametres!$B$3+(I2+K2)*IF(B2&gt;0,MAX(0,Parametres!$B$4-SUMIFS(EnginsPrevus!$G$2:$G$16,EnginsPrevus!$A$2:$A$16,A2)/B2),Parametres!$B$4)+H2+L2,0)</f>
        <v>37528076</v>
      </c>
      <c r="N2" s="0" t="n">
        <f aca="false">SUMIFS(Moyens!$C$2:$C$349,Moyens!$A$2:$A$349,A2,Moyens!$B$2:$B$349,"&lt;="&amp;Dates!$A$3)</f>
        <v>1671.34</v>
      </c>
      <c r="O2" s="0" t="n">
        <f aca="false">SUMIFS(Moyens!$D$2:$D$349,Moyens!$A$2:$A$349,A2,Moyens!$B$2:$B$349,"&lt;="&amp;Dates!$A$3)</f>
        <v>66</v>
      </c>
      <c r="P2" s="0" t="n">
        <f aca="false">SUMIFS(Aleas!$C$2:$C$13,Aleas!$A$2:$A$13,A2,Aleas!$B$2:$B$13,"&lt;="&amp;Dates!$A$3)</f>
        <v>0</v>
      </c>
      <c r="Q2" s="0" t="n">
        <f aca="false">SUMIFS(Taches!$N$2:$N$60,Taches!$B$2:$B$60,A2)</f>
        <v>55890000</v>
      </c>
      <c r="R2" s="0" t="n">
        <f aca="false">ROUND(SUMIFS(Taches!$P$2:$P$60,Taches!$B$2:$B$60,A2),0)</f>
        <v>55890000</v>
      </c>
      <c r="S2" s="0" t="n">
        <f aca="false">SUMIFS(Lignes!$O$2:$O$135,Lignes!$C$2:$C$135,A2)</f>
        <v>0</v>
      </c>
      <c r="T2" s="0" t="n">
        <f aca="false">SUMIFS(Engins!$F$2:$F$149,Engins!$A$2:$A$149,A2,Engins!$B$2:$B$149,"&lt;="&amp;Dates!$A$3)</f>
        <v>0</v>
      </c>
      <c r="U2" s="0" t="n">
        <f aca="false">ROUND(N2*Parametres!$B$2+O2*Parametres!$B$3+(Q2+S2)*IF(B2&gt;0,MAX(0,Parametres!$B$4-SUMIFS(EnginsPrevus!$G$2:$G$16,EnginsPrevus!$A$2:$A$16,A2)/B2),Parametres!$B$4)+P2+T2,0)</f>
        <v>37528076</v>
      </c>
      <c r="V2" s="0" t="n">
        <f aca="false">SUMIFS(Moyens!$C$2:$C$349,Moyens!$A$2:$A$349,A2,Moyens!$B$2:$B$349,"&lt;="&amp;Dates!$A$4)</f>
        <v>1671.34</v>
      </c>
      <c r="W2" s="0" t="n">
        <f aca="false">SUMIFS(Moyens!$D$2:$D$349,Moyens!$A$2:$A$349,A2,Moyens!$B$2:$B$349,"&lt;="&amp;Dates!$A$4)</f>
        <v>66</v>
      </c>
      <c r="X2" s="0" t="n">
        <f aca="false">SUMIFS(Aleas!$C$2:$C$13,Aleas!$A$2:$A$13,A2,Aleas!$B$2:$B$13,"&lt;="&amp;Dates!$A$4)</f>
        <v>0</v>
      </c>
      <c r="Y2" s="0" t="n">
        <f aca="false">SUMIFS(Taches!$R$2:$R$60,Taches!$B$2:$B$60,A2)</f>
        <v>55890000</v>
      </c>
      <c r="Z2" s="0" t="n">
        <f aca="false">ROUND(SUMIFS(Taches!$T$2:$T$60,Taches!$B$2:$B$60,A2),0)</f>
        <v>55890000</v>
      </c>
      <c r="AA2" s="0" t="n">
        <f aca="false">SUMIFS(Lignes!$S$2:$S$135,Lignes!$C$2:$C$135,A2)</f>
        <v>0</v>
      </c>
      <c r="AB2" s="0" t="n">
        <f aca="false">SUMIFS(Engins!$F$2:$F$149,Engins!$A$2:$A$149,A2,Engins!$B$2:$B$149,"&lt;="&amp;Dates!$A$4)</f>
        <v>0</v>
      </c>
      <c r="AC2" s="0" t="n">
        <f aca="false">ROUND(V2*Parametres!$B$2+W2*Parametres!$B$3+(Y2+AA2)*IF(B2&gt;0,MAX(0,Parametres!$B$4-SUMIFS(EnginsPrevus!$G$2:$G$16,EnginsPrevus!$A$2:$A$16,A2)/B2),Parametres!$B$4)+X2+AB2,0)</f>
        <v>37528076</v>
      </c>
    </row>
    <row r="3" customFormat="false" ht="15" hidden="false" customHeight="false" outlineLevel="0" collapsed="false">
      <c r="A3" s="0" t="s">
        <v>175</v>
      </c>
      <c r="B3" s="0" t="n">
        <f aca="false">SUMIFS(Lignes!$G$2:$G$135,Lignes!$C$2:$C$135,A3)</f>
        <v>86960400</v>
      </c>
      <c r="C3" s="0" t="n">
        <f aca="false">SUM(Debourse!D2:D413)*Parametres!$B$6</f>
        <v>5584</v>
      </c>
      <c r="D3" s="0" t="n">
        <f aca="false">SUM(Debourse!E2:E413)</f>
        <v>178</v>
      </c>
      <c r="E3" s="0" t="n">
        <f aca="false">ROUND(B3*Parametres!$B$4+C3*Parametres!$B$2+D3*Parametres!$B$3,0)</f>
        <v>65730632</v>
      </c>
      <c r="F3" s="0" t="n">
        <f aca="false">SUMIFS(Moyens!$C$2:$C$349,Moyens!$A$2:$A$349,A3,Moyens!$B$2:$B$349,"&lt;="&amp;Dates!$A$2)</f>
        <v>2681.27</v>
      </c>
      <c r="G3" s="0" t="n">
        <f aca="false">SUMIFS(Moyens!$D$2:$D$349,Moyens!$A$2:$A$349,A3,Moyens!$B$2:$B$349,"&lt;="&amp;Dates!$A$2)</f>
        <v>82</v>
      </c>
      <c r="H3" s="0" t="n">
        <f aca="false">SUMIFS(Aleas!$C$2:$C$13,Aleas!$A$2:$A$13,A3,Aleas!$B$2:$B$13,"&lt;="&amp;Dates!$A$2)</f>
        <v>1850000</v>
      </c>
      <c r="I3" s="0" t="n">
        <f aca="false">SUMIFS(Taches!$J$2:$J$60,Taches!$B$2:$B$60,A3)</f>
        <v>44483400</v>
      </c>
      <c r="J3" s="0" t="n">
        <f aca="false">ROUND(SUMIFS(Taches!$L$2:$L$60,Taches!$B$2:$B$60,A3),0)</f>
        <v>44483400</v>
      </c>
      <c r="K3" s="0" t="n">
        <f aca="false">SUMIFS(Lignes!$K$2:$K$135,Lignes!$C$2:$C$135,A3)</f>
        <v>0</v>
      </c>
      <c r="L3" s="0" t="n">
        <f aca="false">SUMIFS(Engins!$F$2:$F$149,Engins!$A$2:$A$149,A3,Engins!$B$2:$B$149,"&lt;="&amp;Dates!$A$2)</f>
        <v>19393987.5</v>
      </c>
      <c r="M3" s="0" t="n">
        <f aca="false">ROUND(F3*Parametres!$B$2+G3*Parametres!$B$3+(I3+K3)*IF(B3&gt;0,MAX(0,Parametres!$B$4-SUMIFS(EnginsPrevus!$G$2:$G$16,EnginsPrevus!$A$2:$A$16,A3)/B3),Parametres!$B$4)+H3+L3,0)</f>
        <v>34544410</v>
      </c>
      <c r="N3" s="0" t="n">
        <f aca="false">SUMIFS(Moyens!$C$2:$C$349,Moyens!$A$2:$A$349,A3,Moyens!$B$2:$B$349,"&lt;="&amp;Dates!$A$3)</f>
        <v>5301.46</v>
      </c>
      <c r="O3" s="0" t="n">
        <f aca="false">SUMIFS(Moyens!$D$2:$D$349,Moyens!$A$2:$A$349,A3,Moyens!$B$2:$B$349,"&lt;="&amp;Dates!$A$3)</f>
        <v>167</v>
      </c>
      <c r="P3" s="0" t="n">
        <f aca="false">SUMIFS(Aleas!$C$2:$C$13,Aleas!$A$2:$A$13,A3,Aleas!$B$2:$B$13,"&lt;="&amp;Dates!$A$3)</f>
        <v>1850000</v>
      </c>
      <c r="Q3" s="0" t="n">
        <f aca="false">SUMIFS(Taches!$N$2:$N$60,Taches!$B$2:$B$60,A3)</f>
        <v>83433282</v>
      </c>
      <c r="R3" s="0" t="n">
        <f aca="false">ROUND(SUMIFS(Taches!$P$2:$P$60,Taches!$B$2:$B$60,A3),0)</f>
        <v>86960400</v>
      </c>
      <c r="S3" s="0" t="n">
        <f aca="false">SUMIFS(Lignes!$O$2:$O$135,Lignes!$C$2:$C$135,A3)</f>
        <v>0</v>
      </c>
      <c r="T3" s="0" t="n">
        <f aca="false">SUMIFS(Engins!$F$2:$F$149,Engins!$A$2:$A$149,A3,Engins!$B$2:$B$149,"&lt;="&amp;Dates!$A$3)</f>
        <v>32281775</v>
      </c>
      <c r="U3" s="0" t="n">
        <f aca="false">ROUND(N3*Parametres!$B$2+O3*Parametres!$B$3+(Q3+S3)*IF(B3&gt;0,MAX(0,Parametres!$B$4-SUMIFS(EnginsPrevus!$G$2:$G$16,EnginsPrevus!$A$2:$A$16,A3)/B3),Parametres!$B$4)+P3+T3,0)</f>
        <v>60013968</v>
      </c>
      <c r="V3" s="0" t="n">
        <f aca="false">SUMIFS(Moyens!$C$2:$C$349,Moyens!$A$2:$A$349,A3,Moyens!$B$2:$B$349,"&lt;="&amp;Dates!$A$4)</f>
        <v>5882.44</v>
      </c>
      <c r="W3" s="0" t="n">
        <f aca="false">SUMIFS(Moyens!$D$2:$D$349,Moyens!$A$2:$A$349,A3,Moyens!$B$2:$B$349,"&lt;="&amp;Dates!$A$4)</f>
        <v>193</v>
      </c>
      <c r="X3" s="0" t="n">
        <f aca="false">SUMIFS(Aleas!$C$2:$C$13,Aleas!$A$2:$A$13,A3,Aleas!$B$2:$B$13,"&lt;="&amp;Dates!$A$4)</f>
        <v>3500000</v>
      </c>
      <c r="Y3" s="0" t="n">
        <f aca="false">SUMIFS(Taches!$R$2:$R$60,Taches!$B$2:$B$60,A3)</f>
        <v>86960400</v>
      </c>
      <c r="Z3" s="0" t="n">
        <f aca="false">ROUND(SUMIFS(Taches!$T$2:$T$60,Taches!$B$2:$B$60,A3),0)</f>
        <v>86960400</v>
      </c>
      <c r="AA3" s="0" t="n">
        <f aca="false">SUMIFS(Lignes!$S$2:$S$135,Lignes!$C$2:$C$135,A3)</f>
        <v>0</v>
      </c>
      <c r="AB3" s="0" t="n">
        <f aca="false">SUMIFS(Engins!$F$2:$F$149,Engins!$A$2:$A$149,A3,Engins!$B$2:$B$149,"&lt;="&amp;Dates!$A$4)</f>
        <v>35501525</v>
      </c>
      <c r="AC3" s="0" t="n">
        <f aca="false">ROUND(V3*Parametres!$B$2+W3*Parametres!$B$3+(Y3+AA3)*IF(B3&gt;0,MAX(0,Parametres!$B$4-SUMIFS(EnginsPrevus!$G$2:$G$16,EnginsPrevus!$A$2:$A$16,A3)/B3),Parametres!$B$4)+X3+AB3,0)</f>
        <v>67272973</v>
      </c>
    </row>
    <row r="4" customFormat="false" ht="15" hidden="false" customHeight="false" outlineLevel="0" collapsed="false">
      <c r="A4" s="0" t="s">
        <v>176</v>
      </c>
      <c r="B4" s="0" t="n">
        <f aca="false">SUMIFS(Lignes!$G$2:$G$135,Lignes!$C$2:$C$135,A4)</f>
        <v>111116000</v>
      </c>
      <c r="C4" s="0" t="n">
        <f aca="false">SUM(Debourse!F2:F413)*Parametres!$B$6</f>
        <v>7424</v>
      </c>
      <c r="D4" s="0" t="n">
        <f aca="false">SUM(Debourse!G2:G413)</f>
        <v>156</v>
      </c>
      <c r="E4" s="0" t="n">
        <f aca="false">ROUND(B4*Parametres!$B$4+C4*Parametres!$B$2+D4*Parametres!$B$3,0)</f>
        <v>81392880</v>
      </c>
      <c r="F4" s="0" t="n">
        <f aca="false">SUMIFS(Moyens!$C$2:$C$349,Moyens!$A$2:$A$349,A4,Moyens!$B$2:$B$349,"&lt;="&amp;Dates!$A$2)</f>
        <v>2830.85</v>
      </c>
      <c r="G4" s="0" t="n">
        <f aca="false">SUMIFS(Moyens!$D$2:$D$349,Moyens!$A$2:$A$349,A4,Moyens!$B$2:$B$349,"&lt;="&amp;Dates!$A$2)</f>
        <v>63</v>
      </c>
      <c r="H4" s="0" t="n">
        <f aca="false">SUMIFS(Aleas!$C$2:$C$13,Aleas!$A$2:$A$13,A4,Aleas!$B$2:$B$13,"&lt;="&amp;Dates!$A$2)</f>
        <v>2400000</v>
      </c>
      <c r="I4" s="0" t="n">
        <f aca="false">SUMIFS(Taches!$J$2:$J$60,Taches!$B$2:$B$60,A4)</f>
        <v>42021278</v>
      </c>
      <c r="J4" s="0" t="n">
        <f aca="false">ROUND(SUMIFS(Taches!$L$2:$L$60,Taches!$B$2:$B$60,A4),0)</f>
        <v>55553575</v>
      </c>
      <c r="K4" s="0" t="n">
        <f aca="false">SUMIFS(Lignes!$K$2:$K$135,Lignes!$C$2:$C$135,A4)</f>
        <v>0</v>
      </c>
      <c r="L4" s="0" t="n">
        <f aca="false">SUMIFS(Engins!$F$2:$F$149,Engins!$A$2:$A$149,A4,Engins!$B$2:$B$149,"&lt;="&amp;Dates!$A$2)</f>
        <v>0</v>
      </c>
      <c r="M4" s="0" t="n">
        <f aca="false">ROUND(F4*Parametres!$B$2+G4*Parametres!$B$3+(I4+K4)*IF(B4&gt;0,MAX(0,Parametres!$B$4-SUMIFS(EnginsPrevus!$G$2:$G$16,EnginsPrevus!$A$2:$A$16,A4)/B4),Parametres!$B$4)+H4+L4,0)</f>
        <v>33381531</v>
      </c>
      <c r="N4" s="0" t="n">
        <f aca="false">SUMIFS(Moyens!$C$2:$C$349,Moyens!$A$2:$A$349,A4,Moyens!$B$2:$B$349,"&lt;="&amp;Dates!$A$3)</f>
        <v>7535.63</v>
      </c>
      <c r="O4" s="0" t="n">
        <f aca="false">SUMIFS(Moyens!$D$2:$D$349,Moyens!$A$2:$A$349,A4,Moyens!$B$2:$B$349,"&lt;="&amp;Dates!$A$3)</f>
        <v>173</v>
      </c>
      <c r="P4" s="0" t="n">
        <f aca="false">SUMIFS(Aleas!$C$2:$C$13,Aleas!$A$2:$A$13,A4,Aleas!$B$2:$B$13,"&lt;="&amp;Dates!$A$3)</f>
        <v>6100000</v>
      </c>
      <c r="Q4" s="0" t="n">
        <f aca="false">SUMIFS(Taches!$N$2:$N$60,Taches!$B$2:$B$60,A4)</f>
        <v>111116000</v>
      </c>
      <c r="R4" s="0" t="n">
        <f aca="false">ROUND(SUMIFS(Taches!$P$2:$P$60,Taches!$B$2:$B$60,A4),0)</f>
        <v>111116000</v>
      </c>
      <c r="S4" s="0" t="n">
        <f aca="false">SUMIFS(Lignes!$O$2:$O$135,Lignes!$C$2:$C$135,A4)</f>
        <v>0</v>
      </c>
      <c r="T4" s="0" t="n">
        <f aca="false">SUMIFS(Engins!$F$2:$F$149,Engins!$A$2:$A$149,A4,Engins!$B$2:$B$149,"&lt;="&amp;Dates!$A$3)</f>
        <v>0</v>
      </c>
      <c r="U4" s="0" t="n">
        <f aca="false">ROUND(N4*Parametres!$B$2+O4*Parametres!$B$3+(Q4+S4)*IF(B4&gt;0,MAX(0,Parametres!$B$4-SUMIFS(EnginsPrevus!$G$2:$G$16,EnginsPrevus!$A$2:$A$16,A4)/B4),Parametres!$B$4)+P4+T4,0)</f>
        <v>88363162</v>
      </c>
      <c r="V4" s="0" t="n">
        <f aca="false">SUMIFS(Moyens!$C$2:$C$349,Moyens!$A$2:$A$349,A4,Moyens!$B$2:$B$349,"&lt;="&amp;Dates!$A$4)</f>
        <v>7535.63</v>
      </c>
      <c r="W4" s="0" t="n">
        <f aca="false">SUMIFS(Moyens!$D$2:$D$349,Moyens!$A$2:$A$349,A4,Moyens!$B$2:$B$349,"&lt;="&amp;Dates!$A$4)</f>
        <v>173</v>
      </c>
      <c r="X4" s="0" t="n">
        <f aca="false">SUMIFS(Aleas!$C$2:$C$13,Aleas!$A$2:$A$13,A4,Aleas!$B$2:$B$13,"&lt;="&amp;Dates!$A$4)</f>
        <v>6100000</v>
      </c>
      <c r="Y4" s="0" t="n">
        <f aca="false">SUMIFS(Taches!$R$2:$R$60,Taches!$B$2:$B$60,A4)</f>
        <v>111116000</v>
      </c>
      <c r="Z4" s="0" t="n">
        <f aca="false">ROUND(SUMIFS(Taches!$T$2:$T$60,Taches!$B$2:$B$60,A4),0)</f>
        <v>111116000</v>
      </c>
      <c r="AA4" s="0" t="n">
        <f aca="false">SUMIFS(Lignes!$S$2:$S$135,Lignes!$C$2:$C$135,A4)</f>
        <v>0</v>
      </c>
      <c r="AB4" s="0" t="n">
        <f aca="false">SUMIFS(Engins!$F$2:$F$149,Engins!$A$2:$A$149,A4,Engins!$B$2:$B$149,"&lt;="&amp;Dates!$A$4)</f>
        <v>0</v>
      </c>
      <c r="AC4" s="0" t="n">
        <f aca="false">ROUND(V4*Parametres!$B$2+W4*Parametres!$B$3+(Y4+AA4)*IF(B4&gt;0,MAX(0,Parametres!$B$4-SUMIFS(EnginsPrevus!$G$2:$G$16,EnginsPrevus!$A$2:$A$16,A4)/B4),Parametres!$B$4)+X4+AB4,0)</f>
        <v>88363162</v>
      </c>
    </row>
    <row r="5" customFormat="false" ht="15" hidden="false" customHeight="false" outlineLevel="0" collapsed="false">
      <c r="A5" s="0" t="s">
        <v>177</v>
      </c>
      <c r="B5" s="0" t="n">
        <f aca="false">SUMIFS(Lignes!$G$2:$G$135,Lignes!$C$2:$C$135,A5)</f>
        <v>316908000</v>
      </c>
      <c r="C5" s="0" t="n">
        <f aca="false">SUM(Debourse!H2:H413)*Parametres!$B$6</f>
        <v>26976</v>
      </c>
      <c r="D5" s="0" t="n">
        <f aca="false">SUM(Debourse!I2:I413)</f>
        <v>544</v>
      </c>
      <c r="E5" s="0" t="n">
        <f aca="false">ROUND(B5*Parametres!$B$4+C5*Parametres!$B$2+D5*Parametres!$B$3,0)</f>
        <v>244421040</v>
      </c>
      <c r="F5" s="0" t="n">
        <f aca="false">SUMIFS(Moyens!$C$2:$C$349,Moyens!$A$2:$A$349,A5,Moyens!$B$2:$B$349,"&lt;="&amp;Dates!$A$2)</f>
        <v>0</v>
      </c>
      <c r="G5" s="0" t="n">
        <f aca="false">SUMIFS(Moyens!$D$2:$D$349,Moyens!$A$2:$A$349,A5,Moyens!$B$2:$B$349,"&lt;="&amp;Dates!$A$2)</f>
        <v>0</v>
      </c>
      <c r="H5" s="0" t="n">
        <f aca="false">SUMIFS(Aleas!$C$2:$C$13,Aleas!$A$2:$A$13,A5,Aleas!$B$2:$B$13,"&lt;="&amp;Dates!$A$2)</f>
        <v>4200000</v>
      </c>
      <c r="I5" s="0" t="n">
        <f aca="false">SUMIFS(Taches!$J$2:$J$60,Taches!$B$2:$B$60,A5)</f>
        <v>0</v>
      </c>
      <c r="J5" s="0" t="n">
        <f aca="false">ROUND(SUMIFS(Taches!$L$2:$L$60,Taches!$B$2:$B$60,A5),0)</f>
        <v>0</v>
      </c>
      <c r="K5" s="0" t="n">
        <f aca="false">SUMIFS(Lignes!$K$2:$K$135,Lignes!$C$2:$C$135,A5)</f>
        <v>0</v>
      </c>
      <c r="L5" s="0" t="n">
        <f aca="false">SUMIFS(Engins!$F$2:$F$149,Engins!$A$2:$A$149,A5,Engins!$B$2:$B$149,"&lt;="&amp;Dates!$A$2)</f>
        <v>0</v>
      </c>
      <c r="M5" s="0" t="n">
        <f aca="false">ROUND(F5*Parametres!$B$2+G5*Parametres!$B$3+(I5+K5)*IF(B5&gt;0,MAX(0,Parametres!$B$4-SUMIFS(EnginsPrevus!$G$2:$G$16,EnginsPrevus!$A$2:$A$16,A5)/B5),Parametres!$B$4)+H5+L5,0)</f>
        <v>4200000</v>
      </c>
      <c r="N5" s="0" t="n">
        <f aca="false">SUMIFS(Moyens!$C$2:$C$349,Moyens!$A$2:$A$349,A5,Moyens!$B$2:$B$349,"&lt;="&amp;Dates!$A$3)</f>
        <v>6901.4</v>
      </c>
      <c r="O5" s="0" t="n">
        <f aca="false">SUMIFS(Moyens!$D$2:$D$349,Moyens!$A$2:$A$349,A5,Moyens!$B$2:$B$349,"&lt;="&amp;Dates!$A$3)</f>
        <v>147</v>
      </c>
      <c r="P5" s="0" t="n">
        <f aca="false">SUMIFS(Aleas!$C$2:$C$13,Aleas!$A$2:$A$13,A5,Aleas!$B$2:$B$13,"&lt;="&amp;Dates!$A$3)</f>
        <v>14250000</v>
      </c>
      <c r="Q5" s="0" t="n">
        <f aca="false">SUMIFS(Taches!$N$2:$N$60,Taches!$B$2:$B$60,A5)</f>
        <v>70674216</v>
      </c>
      <c r="R5" s="0" t="n">
        <f aca="false">ROUND(SUMIFS(Taches!$P$2:$P$60,Taches!$B$2:$B$60,A5),0)</f>
        <v>93101000</v>
      </c>
      <c r="S5" s="0" t="n">
        <f aca="false">SUMIFS(Lignes!$O$2:$O$135,Lignes!$C$2:$C$135,A5)</f>
        <v>0</v>
      </c>
      <c r="T5" s="0" t="n">
        <f aca="false">SUMIFS(Engins!$F$2:$F$149,Engins!$A$2:$A$149,A5,Engins!$B$2:$B$149,"&lt;="&amp;Dates!$A$3)</f>
        <v>0</v>
      </c>
      <c r="U5" s="0" t="n">
        <f aca="false">ROUND(N5*Parametres!$B$2+O5*Parametres!$B$3+(Q5+S5)*IF(B5&gt;0,MAX(0,Parametres!$B$4-SUMIFS(EnginsPrevus!$G$2:$G$16,EnginsPrevus!$A$2:$A$16,A5)/B5),Parametres!$B$4)+P5+T5,0)</f>
        <v>71077005</v>
      </c>
      <c r="V5" s="0" t="n">
        <f aca="false">SUMIFS(Moyens!$C$2:$C$349,Moyens!$A$2:$A$349,A5,Moyens!$B$2:$B$349,"&lt;="&amp;Dates!$A$4)</f>
        <v>18812.82</v>
      </c>
      <c r="W5" s="0" t="n">
        <f aca="false">SUMIFS(Moyens!$D$2:$D$349,Moyens!$A$2:$A$349,A5,Moyens!$B$2:$B$349,"&lt;="&amp;Dates!$A$4)</f>
        <v>358</v>
      </c>
      <c r="X5" s="0" t="n">
        <f aca="false">SUMIFS(Aleas!$C$2:$C$13,Aleas!$A$2:$A$13,A5,Aleas!$B$2:$B$13,"&lt;="&amp;Dates!$A$4)</f>
        <v>15140000</v>
      </c>
      <c r="Y5" s="0" t="n">
        <f aca="false">SUMIFS(Taches!$R$2:$R$60,Taches!$B$2:$B$60,A5)</f>
        <v>217029457</v>
      </c>
      <c r="Z5" s="0" t="n">
        <f aca="false">ROUND(SUMIFS(Taches!$T$2:$T$60,Taches!$B$2:$B$60,A5),0)</f>
        <v>239855000</v>
      </c>
      <c r="AA5" s="0" t="n">
        <f aca="false">SUMIFS(Lignes!$S$2:$S$135,Lignes!$C$2:$C$135,A5)</f>
        <v>0</v>
      </c>
      <c r="AB5" s="0" t="n">
        <f aca="false">SUMIFS(Engins!$F$2:$F$149,Engins!$A$2:$A$149,A5,Engins!$B$2:$B$149,"&lt;="&amp;Dates!$A$4)</f>
        <v>0</v>
      </c>
      <c r="AC5" s="0" t="n">
        <f aca="false">ROUND(V5*Parametres!$B$2+W5*Parametres!$B$3+(Y5+AA5)*IF(B5&gt;0,MAX(0,Parametres!$B$4-SUMIFS(EnginsPrevus!$G$2:$G$16,EnginsPrevus!$A$2:$A$16,A5)/B5),Parametres!$B$4)+X5+AB5,0)</f>
        <v>182391033</v>
      </c>
    </row>
    <row r="6" customFormat="false" ht="15" hidden="false" customHeight="false" outlineLevel="0" collapsed="false">
      <c r="A6" s="0" t="s">
        <v>185</v>
      </c>
      <c r="B6" s="0" t="n">
        <f aca="false">SUMIFS(Lignes!$G$2:$G$135,Lignes!$C$2:$C$135,A6)</f>
        <v>72442000</v>
      </c>
      <c r="C6" s="0" t="n">
        <f aca="false">SUM(Debourse!J2:J413)*Parametres!$B$6</f>
        <v>3632</v>
      </c>
      <c r="D6" s="0" t="n">
        <f aca="false">SUM(Debourse!K2:K413)</f>
        <v>111</v>
      </c>
      <c r="E6" s="0" t="n">
        <f aca="false">ROUND(B6*Parametres!$B$4+C6*Parametres!$B$2+D6*Parametres!$B$3,0)</f>
        <v>51763160</v>
      </c>
      <c r="F6" s="0" t="n">
        <f aca="false">SUMIFS(Moyens!$C$2:$C$349,Moyens!$A$2:$A$349,A6,Moyens!$B$2:$B$349,"&lt;="&amp;Dates!$A$2)</f>
        <v>0</v>
      </c>
      <c r="G6" s="0" t="n">
        <f aca="false">SUMIFS(Moyens!$D$2:$D$349,Moyens!$A$2:$A$349,A6,Moyens!$B$2:$B$349,"&lt;="&amp;Dates!$A$2)</f>
        <v>0</v>
      </c>
      <c r="H6" s="0" t="n">
        <f aca="false">SUMIFS(Aleas!$C$2:$C$13,Aleas!$A$2:$A$13,A6,Aleas!$B$2:$B$13,"&lt;="&amp;Dates!$A$2)</f>
        <v>0</v>
      </c>
      <c r="I6" s="0" t="n">
        <f aca="false">SUMIFS(Taches!$J$2:$J$60,Taches!$B$2:$B$60,A6)</f>
        <v>0</v>
      </c>
      <c r="J6" s="0" t="n">
        <f aca="false">ROUND(SUMIFS(Taches!$L$2:$L$60,Taches!$B$2:$B$60,A6),0)</f>
        <v>0</v>
      </c>
      <c r="K6" s="0" t="n">
        <f aca="false">SUMIFS(Lignes!$K$2:$K$135,Lignes!$C$2:$C$135,A6)</f>
        <v>0</v>
      </c>
      <c r="L6" s="0" t="n">
        <f aca="false">SUMIFS(Engins!$F$2:$F$149,Engins!$A$2:$A$149,A6,Engins!$B$2:$B$149,"&lt;="&amp;Dates!$A$2)</f>
        <v>0</v>
      </c>
      <c r="M6" s="0" t="n">
        <f aca="false">ROUND(F6*Parametres!$B$2+G6*Parametres!$B$3+(I6+K6)*IF(B6&gt;0,MAX(0,Parametres!$B$4-SUMIFS(EnginsPrevus!$G$2:$G$16,EnginsPrevus!$A$2:$A$16,A6)/B6),Parametres!$B$4)+H6+L6,0)</f>
        <v>0</v>
      </c>
      <c r="N6" s="0" t="n">
        <f aca="false">SUMIFS(Moyens!$C$2:$C$349,Moyens!$A$2:$A$349,A6,Moyens!$B$2:$B$349,"&lt;="&amp;Dates!$A$3)</f>
        <v>0</v>
      </c>
      <c r="O6" s="0" t="n">
        <f aca="false">SUMIFS(Moyens!$D$2:$D$349,Moyens!$A$2:$A$349,A6,Moyens!$B$2:$B$349,"&lt;="&amp;Dates!$A$3)</f>
        <v>0</v>
      </c>
      <c r="P6" s="0" t="n">
        <f aca="false">SUMIFS(Aleas!$C$2:$C$13,Aleas!$A$2:$A$13,A6,Aleas!$B$2:$B$13,"&lt;="&amp;Dates!$A$3)</f>
        <v>0</v>
      </c>
      <c r="Q6" s="0" t="n">
        <f aca="false">SUMIFS(Taches!$N$2:$N$60,Taches!$B$2:$B$60,A6)</f>
        <v>0</v>
      </c>
      <c r="R6" s="0" t="n">
        <f aca="false">ROUND(SUMIFS(Taches!$P$2:$P$60,Taches!$B$2:$B$60,A6),0)</f>
        <v>0</v>
      </c>
      <c r="S6" s="0" t="n">
        <f aca="false">SUMIFS(Lignes!$O$2:$O$135,Lignes!$C$2:$C$135,A6)</f>
        <v>0</v>
      </c>
      <c r="T6" s="0" t="n">
        <f aca="false">SUMIFS(Engins!$F$2:$F$149,Engins!$A$2:$A$149,A6,Engins!$B$2:$B$149,"&lt;="&amp;Dates!$A$3)</f>
        <v>0</v>
      </c>
      <c r="U6" s="0" t="n">
        <f aca="false">ROUND(N6*Parametres!$B$2+O6*Parametres!$B$3+(Q6+S6)*IF(B6&gt;0,MAX(0,Parametres!$B$4-SUMIFS(EnginsPrevus!$G$2:$G$16,EnginsPrevus!$A$2:$A$16,A6)/B6),Parametres!$B$4)+P6+T6,0)</f>
        <v>0</v>
      </c>
      <c r="V6" s="0" t="n">
        <f aca="false">SUMIFS(Moyens!$C$2:$C$349,Moyens!$A$2:$A$349,A6,Moyens!$B$2:$B$349,"&lt;="&amp;Dates!$A$4)</f>
        <v>0</v>
      </c>
      <c r="W6" s="0" t="n">
        <f aca="false">SUMIFS(Moyens!$D$2:$D$349,Moyens!$A$2:$A$349,A6,Moyens!$B$2:$B$349,"&lt;="&amp;Dates!$A$4)</f>
        <v>0</v>
      </c>
      <c r="X6" s="0" t="n">
        <f aca="false">SUMIFS(Aleas!$C$2:$C$13,Aleas!$A$2:$A$13,A6,Aleas!$B$2:$B$13,"&lt;="&amp;Dates!$A$4)</f>
        <v>0</v>
      </c>
      <c r="Y6" s="0" t="n">
        <f aca="false">SUMIFS(Taches!$R$2:$R$60,Taches!$B$2:$B$60,A6)</f>
        <v>0</v>
      </c>
      <c r="Z6" s="0" t="n">
        <f aca="false">ROUND(SUMIFS(Taches!$T$2:$T$60,Taches!$B$2:$B$60,A6),0)</f>
        <v>0</v>
      </c>
      <c r="AA6" s="0" t="n">
        <f aca="false">SUMIFS(Lignes!$S$2:$S$135,Lignes!$C$2:$C$135,A6)</f>
        <v>0</v>
      </c>
      <c r="AB6" s="0" t="n">
        <f aca="false">SUMIFS(Engins!$F$2:$F$149,Engins!$A$2:$A$149,A6,Engins!$B$2:$B$149,"&lt;="&amp;Dates!$A$4)</f>
        <v>0</v>
      </c>
      <c r="AC6" s="0" t="n">
        <f aca="false">ROUND(V6*Parametres!$B$2+W6*Parametres!$B$3+(Y6+AA6)*IF(B6&gt;0,MAX(0,Parametres!$B$4-SUMIFS(EnginsPrevus!$G$2:$G$16,EnginsPrevus!$A$2:$A$16,A6)/B6),Parametres!$B$4)+X6+AB6,0)</f>
        <v>0</v>
      </c>
    </row>
    <row r="7" customFormat="false" ht="15" hidden="false" customHeight="false" outlineLevel="0" collapsed="false">
      <c r="A7" s="0" t="s">
        <v>178</v>
      </c>
      <c r="B7" s="0" t="n">
        <f aca="false">SUMIFS(Lignes!$G$2:$G$135,Lignes!$C$2:$C$135,A7)</f>
        <v>236966000</v>
      </c>
      <c r="C7" s="0" t="n">
        <f aca="false">SUM(Debourse!L2:L413)*Parametres!$B$6</f>
        <v>18880</v>
      </c>
      <c r="D7" s="0" t="n">
        <f aca="false">SUM(Debourse!M2:M413)</f>
        <v>388</v>
      </c>
      <c r="E7" s="0" t="n">
        <f aca="false">ROUND(B7*Parametres!$B$4+C7*Parametres!$B$2+D7*Parametres!$B$3,0)</f>
        <v>180168280</v>
      </c>
      <c r="F7" s="0" t="n">
        <f aca="false">SUMIFS(Moyens!$C$2:$C$349,Moyens!$A$2:$A$349,A7,Moyens!$B$2:$B$349,"&lt;="&amp;Dates!$A$2)</f>
        <v>0</v>
      </c>
      <c r="G7" s="0" t="n">
        <f aca="false">SUMIFS(Moyens!$D$2:$D$349,Moyens!$A$2:$A$349,A7,Moyens!$B$2:$B$349,"&lt;="&amp;Dates!$A$2)</f>
        <v>0</v>
      </c>
      <c r="H7" s="0" t="n">
        <f aca="false">SUMIFS(Aleas!$C$2:$C$13,Aleas!$A$2:$A$13,A7,Aleas!$B$2:$B$13,"&lt;="&amp;Dates!$A$2)</f>
        <v>0</v>
      </c>
      <c r="I7" s="0" t="n">
        <f aca="false">SUMIFS(Taches!$J$2:$J$60,Taches!$B$2:$B$60,A7)</f>
        <v>0</v>
      </c>
      <c r="J7" s="0" t="n">
        <f aca="false">ROUND(SUMIFS(Taches!$L$2:$L$60,Taches!$B$2:$B$60,A7),0)</f>
        <v>0</v>
      </c>
      <c r="K7" s="0" t="n">
        <f aca="false">SUMIFS(Lignes!$K$2:$K$135,Lignes!$C$2:$C$135,A7)</f>
        <v>0</v>
      </c>
      <c r="L7" s="0" t="n">
        <f aca="false">SUMIFS(Engins!$F$2:$F$149,Engins!$A$2:$A$149,A7,Engins!$B$2:$B$149,"&lt;="&amp;Dates!$A$2)</f>
        <v>0</v>
      </c>
      <c r="M7" s="0" t="n">
        <f aca="false">ROUND(F7*Parametres!$B$2+G7*Parametres!$B$3+(I7+K7)*IF(B7&gt;0,MAX(0,Parametres!$B$4-SUMIFS(EnginsPrevus!$G$2:$G$16,EnginsPrevus!$A$2:$A$16,A7)/B7),Parametres!$B$4)+H7+L7,0)</f>
        <v>0</v>
      </c>
      <c r="N7" s="0" t="n">
        <f aca="false">SUMIFS(Moyens!$C$2:$C$349,Moyens!$A$2:$A$349,A7,Moyens!$B$2:$B$349,"&lt;="&amp;Dates!$A$3)</f>
        <v>0</v>
      </c>
      <c r="O7" s="0" t="n">
        <f aca="false">SUMIFS(Moyens!$D$2:$D$349,Moyens!$A$2:$A$349,A7,Moyens!$B$2:$B$349,"&lt;="&amp;Dates!$A$3)</f>
        <v>0</v>
      </c>
      <c r="P7" s="0" t="n">
        <f aca="false">SUMIFS(Aleas!$C$2:$C$13,Aleas!$A$2:$A$13,A7,Aleas!$B$2:$B$13,"&lt;="&amp;Dates!$A$3)</f>
        <v>0</v>
      </c>
      <c r="Q7" s="0" t="n">
        <f aca="false">SUMIFS(Taches!$N$2:$N$60,Taches!$B$2:$B$60,A7)</f>
        <v>0</v>
      </c>
      <c r="R7" s="0" t="n">
        <f aca="false">ROUND(SUMIFS(Taches!$P$2:$P$60,Taches!$B$2:$B$60,A7),0)</f>
        <v>0</v>
      </c>
      <c r="S7" s="0" t="n">
        <f aca="false">SUMIFS(Lignes!$O$2:$O$135,Lignes!$C$2:$C$135,A7)</f>
        <v>0</v>
      </c>
      <c r="T7" s="0" t="n">
        <f aca="false">SUMIFS(Engins!$F$2:$F$149,Engins!$A$2:$A$149,A7,Engins!$B$2:$B$149,"&lt;="&amp;Dates!$A$3)</f>
        <v>0</v>
      </c>
      <c r="U7" s="0" t="n">
        <f aca="false">ROUND(N7*Parametres!$B$2+O7*Parametres!$B$3+(Q7+S7)*IF(B7&gt;0,MAX(0,Parametres!$B$4-SUMIFS(EnginsPrevus!$G$2:$G$16,EnginsPrevus!$A$2:$A$16,A7)/B7),Parametres!$B$4)+P7+T7,0)</f>
        <v>0</v>
      </c>
      <c r="V7" s="0" t="n">
        <f aca="false">SUMIFS(Moyens!$C$2:$C$349,Moyens!$A$2:$A$349,A7,Moyens!$B$2:$B$349,"&lt;="&amp;Dates!$A$4)</f>
        <v>1968.29</v>
      </c>
      <c r="W7" s="0" t="n">
        <f aca="false">SUMIFS(Moyens!$D$2:$D$349,Moyens!$A$2:$A$349,A7,Moyens!$B$2:$B$349,"&lt;="&amp;Dates!$A$4)</f>
        <v>50</v>
      </c>
      <c r="X7" s="0" t="n">
        <f aca="false">SUMIFS(Aleas!$C$2:$C$13,Aleas!$A$2:$A$13,A7,Aleas!$B$2:$B$13,"&lt;="&amp;Dates!$A$4)</f>
        <v>0</v>
      </c>
      <c r="Y7" s="0" t="n">
        <f aca="false">SUMIFS(Taches!$R$2:$R$60,Taches!$B$2:$B$60,A7)</f>
        <v>18767385</v>
      </c>
      <c r="Z7" s="0" t="n">
        <f aca="false">ROUND(SUMIFS(Taches!$T$2:$T$60,Taches!$B$2:$B$60,A7),0)</f>
        <v>30367263</v>
      </c>
      <c r="AA7" s="0" t="n">
        <f aca="false">SUMIFS(Lignes!$S$2:$S$135,Lignes!$C$2:$C$135,A7)</f>
        <v>0</v>
      </c>
      <c r="AB7" s="0" t="n">
        <f aca="false">SUMIFS(Engins!$F$2:$F$149,Engins!$A$2:$A$149,A7,Engins!$B$2:$B$149,"&lt;="&amp;Dates!$A$4)</f>
        <v>0</v>
      </c>
      <c r="AC7" s="0" t="n">
        <f aca="false">ROUND(V7*Parametres!$B$2+W7*Parametres!$B$3+(Y7+AA7)*IF(B7&gt;0,MAX(0,Parametres!$B$4-SUMIFS(EnginsPrevus!$G$2:$G$16,EnginsPrevus!$A$2:$A$16,A7)/B7),Parametres!$B$4)+X7+AB7,0)</f>
        <v>15740689</v>
      </c>
    </row>
    <row r="8" customFormat="false" ht="15" hidden="false" customHeight="false" outlineLevel="0" collapsed="false">
      <c r="A8" s="0" t="s">
        <v>179</v>
      </c>
      <c r="B8" s="0" t="n">
        <f aca="false">SUMIFS(Lignes!$G$2:$G$135,Lignes!$C$2:$C$135,A8)</f>
        <v>143070800</v>
      </c>
      <c r="C8" s="0" t="n">
        <f aca="false">SUM(Debourse!N2:N413)*Parametres!$B$6</f>
        <v>12800</v>
      </c>
      <c r="D8" s="0" t="n">
        <f aca="false">SUM(Debourse!O2:O413)</f>
        <v>242</v>
      </c>
      <c r="E8" s="0" t="n">
        <f aca="false">ROUND(B8*Parametres!$B$4+C8*Parametres!$B$2+D8*Parametres!$B$3,0)</f>
        <v>111065064</v>
      </c>
      <c r="F8" s="0" t="n">
        <f aca="false">SUMIFS(Moyens!$C$2:$C$349,Moyens!$A$2:$A$349,A8,Moyens!$B$2:$B$349,"&lt;="&amp;Dates!$A$2)</f>
        <v>0</v>
      </c>
      <c r="G8" s="0" t="n">
        <f aca="false">SUMIFS(Moyens!$D$2:$D$349,Moyens!$A$2:$A$349,A8,Moyens!$B$2:$B$349,"&lt;="&amp;Dates!$A$2)</f>
        <v>0</v>
      </c>
      <c r="H8" s="0" t="n">
        <f aca="false">SUMIFS(Aleas!$C$2:$C$13,Aleas!$A$2:$A$13,A8,Aleas!$B$2:$B$13,"&lt;="&amp;Dates!$A$2)</f>
        <v>0</v>
      </c>
      <c r="I8" s="0" t="n">
        <f aca="false">SUMIFS(Taches!$J$2:$J$60,Taches!$B$2:$B$60,A8)</f>
        <v>0</v>
      </c>
      <c r="J8" s="0" t="n">
        <f aca="false">ROUND(SUMIFS(Taches!$L$2:$L$60,Taches!$B$2:$B$60,A8),0)</f>
        <v>0</v>
      </c>
      <c r="K8" s="0" t="n">
        <f aca="false">SUMIFS(Lignes!$K$2:$K$135,Lignes!$C$2:$C$135,A8)</f>
        <v>0</v>
      </c>
      <c r="L8" s="0" t="n">
        <f aca="false">SUMIFS(Engins!$F$2:$F$149,Engins!$A$2:$A$149,A8,Engins!$B$2:$B$149,"&lt;="&amp;Dates!$A$2)</f>
        <v>0</v>
      </c>
      <c r="M8" s="0" t="n">
        <f aca="false">ROUND(F8*Parametres!$B$2+G8*Parametres!$B$3+(I8+K8)*IF(B8&gt;0,MAX(0,Parametres!$B$4-SUMIFS(EnginsPrevus!$G$2:$G$16,EnginsPrevus!$A$2:$A$16,A8)/B8),Parametres!$B$4)+H8+L8,0)</f>
        <v>0</v>
      </c>
      <c r="N8" s="0" t="n">
        <f aca="false">SUMIFS(Moyens!$C$2:$C$349,Moyens!$A$2:$A$349,A8,Moyens!$B$2:$B$349,"&lt;="&amp;Dates!$A$3)</f>
        <v>0</v>
      </c>
      <c r="O8" s="0" t="n">
        <f aca="false">SUMIFS(Moyens!$D$2:$D$349,Moyens!$A$2:$A$349,A8,Moyens!$B$2:$B$349,"&lt;="&amp;Dates!$A$3)</f>
        <v>0</v>
      </c>
      <c r="P8" s="0" t="n">
        <f aca="false">SUMIFS(Aleas!$C$2:$C$13,Aleas!$A$2:$A$13,A8,Aleas!$B$2:$B$13,"&lt;="&amp;Dates!$A$3)</f>
        <v>0</v>
      </c>
      <c r="Q8" s="0" t="n">
        <f aca="false">SUMIFS(Taches!$N$2:$N$60,Taches!$B$2:$B$60,A8)</f>
        <v>0</v>
      </c>
      <c r="R8" s="0" t="n">
        <f aca="false">ROUND(SUMIFS(Taches!$P$2:$P$60,Taches!$B$2:$B$60,A8),0)</f>
        <v>0</v>
      </c>
      <c r="S8" s="0" t="n">
        <f aca="false">SUMIFS(Lignes!$O$2:$O$135,Lignes!$C$2:$C$135,A8)</f>
        <v>0</v>
      </c>
      <c r="T8" s="0" t="n">
        <f aca="false">SUMIFS(Engins!$F$2:$F$149,Engins!$A$2:$A$149,A8,Engins!$B$2:$B$149,"&lt;="&amp;Dates!$A$3)</f>
        <v>0</v>
      </c>
      <c r="U8" s="0" t="n">
        <f aca="false">ROUND(N8*Parametres!$B$2+O8*Parametres!$B$3+(Q8+S8)*IF(B8&gt;0,MAX(0,Parametres!$B$4-SUMIFS(EnginsPrevus!$G$2:$G$16,EnginsPrevus!$A$2:$A$16,A8)/B8),Parametres!$B$4)+P8+T8,0)</f>
        <v>0</v>
      </c>
      <c r="V8" s="0" t="n">
        <f aca="false">SUMIFS(Moyens!$C$2:$C$349,Moyens!$A$2:$A$349,A8,Moyens!$B$2:$B$349,"&lt;="&amp;Dates!$A$4)</f>
        <v>2471.67</v>
      </c>
      <c r="W8" s="0" t="n">
        <f aca="false">SUMIFS(Moyens!$D$2:$D$349,Moyens!$A$2:$A$349,A8,Moyens!$B$2:$B$349,"&lt;="&amp;Dates!$A$4)</f>
        <v>47</v>
      </c>
      <c r="X8" s="0" t="n">
        <f aca="false">SUMIFS(Aleas!$C$2:$C$13,Aleas!$A$2:$A$13,A8,Aleas!$B$2:$B$13,"&lt;="&amp;Dates!$A$4)</f>
        <v>0</v>
      </c>
      <c r="Y8" s="0" t="n">
        <f aca="false">SUMIFS(Taches!$R$2:$R$60,Taches!$B$2:$B$60,A8)</f>
        <v>14720564</v>
      </c>
      <c r="Z8" s="0" t="n">
        <f aca="false">ROUND(SUMIFS(Taches!$T$2:$T$60,Taches!$B$2:$B$60,A8),0)</f>
        <v>33083458</v>
      </c>
      <c r="AA8" s="0" t="n">
        <f aca="false">SUMIFS(Lignes!$S$2:$S$135,Lignes!$C$2:$C$135,A8)</f>
        <v>0</v>
      </c>
      <c r="AB8" s="0" t="n">
        <f aca="false">SUMIFS(Engins!$F$2:$F$149,Engins!$A$2:$A$149,A8,Engins!$B$2:$B$149,"&lt;="&amp;Dates!$A$4)</f>
        <v>0</v>
      </c>
      <c r="AC8" s="0" t="n">
        <f aca="false">ROUND(V8*Parametres!$B$2+W8*Parametres!$B$3+(Y8+AA8)*IF(B8&gt;0,MAX(0,Parametres!$B$4-SUMIFS(EnginsPrevus!$G$2:$G$16,EnginsPrevus!$A$2:$A$16,A8)/B8),Parametres!$B$4)+X8+AB8,0)</f>
        <v>13972265</v>
      </c>
    </row>
    <row r="9" customFormat="false" ht="15" hidden="false" customHeight="false" outlineLevel="0" collapsed="false">
      <c r="A9" s="0" t="s">
        <v>186</v>
      </c>
      <c r="B9" s="0" t="n">
        <f aca="false">SUMIFS(Lignes!$G$2:$G$135,Lignes!$C$2:$C$135,A9)</f>
        <v>122868000</v>
      </c>
      <c r="C9" s="0" t="n">
        <f aca="false">SUM(Debourse!P2:P413)*Parametres!$B$6</f>
        <v>8160</v>
      </c>
      <c r="D9" s="0" t="n">
        <f aca="false">SUM(Debourse!Q2:Q413)</f>
        <v>190</v>
      </c>
      <c r="E9" s="0" t="n">
        <f aca="false">ROUND(B9*Parametres!$B$4+C9*Parametres!$B$2+D9*Parametres!$B$3,0)</f>
        <v>90667440</v>
      </c>
      <c r="F9" s="0" t="n">
        <f aca="false">SUMIFS(Moyens!$C$2:$C$349,Moyens!$A$2:$A$349,A9,Moyens!$B$2:$B$349,"&lt;="&amp;Dates!$A$2)</f>
        <v>0</v>
      </c>
      <c r="G9" s="0" t="n">
        <f aca="false">SUMIFS(Moyens!$D$2:$D$349,Moyens!$A$2:$A$349,A9,Moyens!$B$2:$B$349,"&lt;="&amp;Dates!$A$2)</f>
        <v>0</v>
      </c>
      <c r="H9" s="0" t="n">
        <f aca="false">SUMIFS(Aleas!$C$2:$C$13,Aleas!$A$2:$A$13,A9,Aleas!$B$2:$B$13,"&lt;="&amp;Dates!$A$2)</f>
        <v>0</v>
      </c>
      <c r="I9" s="0" t="n">
        <f aca="false">SUMIFS(Taches!$J$2:$J$60,Taches!$B$2:$B$60,A9)</f>
        <v>0</v>
      </c>
      <c r="J9" s="0" t="n">
        <f aca="false">ROUND(SUMIFS(Taches!$L$2:$L$60,Taches!$B$2:$B$60,A9),0)</f>
        <v>0</v>
      </c>
      <c r="K9" s="0" t="n">
        <f aca="false">SUMIFS(Lignes!$K$2:$K$135,Lignes!$C$2:$C$135,A9)</f>
        <v>0</v>
      </c>
      <c r="L9" s="0" t="n">
        <f aca="false">SUMIFS(Engins!$F$2:$F$149,Engins!$A$2:$A$149,A9,Engins!$B$2:$B$149,"&lt;="&amp;Dates!$A$2)</f>
        <v>0</v>
      </c>
      <c r="M9" s="0" t="n">
        <f aca="false">ROUND(F9*Parametres!$B$2+G9*Parametres!$B$3+(I9+K9)*IF(B9&gt;0,MAX(0,Parametres!$B$4-SUMIFS(EnginsPrevus!$G$2:$G$16,EnginsPrevus!$A$2:$A$16,A9)/B9),Parametres!$B$4)+H9+L9,0)</f>
        <v>0</v>
      </c>
      <c r="N9" s="0" t="n">
        <f aca="false">SUMIFS(Moyens!$C$2:$C$349,Moyens!$A$2:$A$349,A9,Moyens!$B$2:$B$349,"&lt;="&amp;Dates!$A$3)</f>
        <v>0</v>
      </c>
      <c r="O9" s="0" t="n">
        <f aca="false">SUMIFS(Moyens!$D$2:$D$349,Moyens!$A$2:$A$349,A9,Moyens!$B$2:$B$349,"&lt;="&amp;Dates!$A$3)</f>
        <v>0</v>
      </c>
      <c r="P9" s="0" t="n">
        <f aca="false">SUMIFS(Aleas!$C$2:$C$13,Aleas!$A$2:$A$13,A9,Aleas!$B$2:$B$13,"&lt;="&amp;Dates!$A$3)</f>
        <v>0</v>
      </c>
      <c r="Q9" s="0" t="n">
        <f aca="false">SUMIFS(Taches!$N$2:$N$60,Taches!$B$2:$B$60,A9)</f>
        <v>0</v>
      </c>
      <c r="R9" s="0" t="n">
        <f aca="false">ROUND(SUMIFS(Taches!$P$2:$P$60,Taches!$B$2:$B$60,A9),0)</f>
        <v>0</v>
      </c>
      <c r="S9" s="0" t="n">
        <f aca="false">SUMIFS(Lignes!$O$2:$O$135,Lignes!$C$2:$C$135,A9)</f>
        <v>0</v>
      </c>
      <c r="T9" s="0" t="n">
        <f aca="false">SUMIFS(Engins!$F$2:$F$149,Engins!$A$2:$A$149,A9,Engins!$B$2:$B$149,"&lt;="&amp;Dates!$A$3)</f>
        <v>0</v>
      </c>
      <c r="U9" s="0" t="n">
        <f aca="false">ROUND(N9*Parametres!$B$2+O9*Parametres!$B$3+(Q9+S9)*IF(B9&gt;0,MAX(0,Parametres!$B$4-SUMIFS(EnginsPrevus!$G$2:$G$16,EnginsPrevus!$A$2:$A$16,A9)/B9),Parametres!$B$4)+P9+T9,0)</f>
        <v>0</v>
      </c>
      <c r="V9" s="0" t="n">
        <f aca="false">SUMIFS(Moyens!$C$2:$C$349,Moyens!$A$2:$A$349,A9,Moyens!$B$2:$B$349,"&lt;="&amp;Dates!$A$4)</f>
        <v>0</v>
      </c>
      <c r="W9" s="0" t="n">
        <f aca="false">SUMIFS(Moyens!$D$2:$D$349,Moyens!$A$2:$A$349,A9,Moyens!$B$2:$B$349,"&lt;="&amp;Dates!$A$4)</f>
        <v>0</v>
      </c>
      <c r="X9" s="0" t="n">
        <f aca="false">SUMIFS(Aleas!$C$2:$C$13,Aleas!$A$2:$A$13,A9,Aleas!$B$2:$B$13,"&lt;="&amp;Dates!$A$4)</f>
        <v>0</v>
      </c>
      <c r="Y9" s="0" t="n">
        <f aca="false">SUMIFS(Taches!$R$2:$R$60,Taches!$B$2:$B$60,A9)</f>
        <v>0</v>
      </c>
      <c r="Z9" s="0" t="n">
        <f aca="false">ROUND(SUMIFS(Taches!$T$2:$T$60,Taches!$B$2:$B$60,A9),0)</f>
        <v>0</v>
      </c>
      <c r="AA9" s="0" t="n">
        <f aca="false">SUMIFS(Lignes!$S$2:$S$135,Lignes!$C$2:$C$135,A9)</f>
        <v>0</v>
      </c>
      <c r="AB9" s="0" t="n">
        <f aca="false">SUMIFS(Engins!$F$2:$F$149,Engins!$A$2:$A$149,A9,Engins!$B$2:$B$149,"&lt;="&amp;Dates!$A$4)</f>
        <v>0</v>
      </c>
      <c r="AC9" s="0" t="n">
        <f aca="false">ROUND(V9*Parametres!$B$2+W9*Parametres!$B$3+(Y9+AA9)*IF(B9&gt;0,MAX(0,Parametres!$B$4-SUMIFS(EnginsPrevus!$G$2:$G$16,EnginsPrevus!$A$2:$A$16,A9)/B9),Parametres!$B$4)+X9+AB9,0)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488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185</v>
      </c>
      <c r="G1" s="1" t="s">
        <v>178</v>
      </c>
      <c r="H1" s="1" t="s">
        <v>179</v>
      </c>
      <c r="I1" s="1" t="s">
        <v>186</v>
      </c>
      <c r="J1" s="1" t="s">
        <v>80</v>
      </c>
    </row>
    <row r="2" customFormat="false" ht="15" hidden="false" customHeight="false" outlineLevel="0" collapsed="false">
      <c r="A2" s="0" t="n">
        <v>0</v>
      </c>
      <c r="B2" s="0" t="n">
        <f aca="false">ROUND(SUMPRODUCT((Taches!$B$2:$B$60="LOT-01")*($A2&gt;=Taches!$H$2:$H$60)*((($A2-Taches!$H$2:$H$60+1)&gt;=Taches!$E$2:$E$60)+(($A2-Taches!$H$2:$H$60+1)&lt;Taches!$E$2:$E$60)*($A2-Taches!$H$2:$H$60+1)/Taches!$E$2:$E$60)*Taches!$G$2:$G$60),0)</f>
        <v>1794000</v>
      </c>
      <c r="C2" s="0" t="n">
        <f aca="false">ROUND(SUMPRODUCT((Taches!$B$2:$B$60="LOT-02")*($A2&gt;=Taches!$H$2:$H$60)*((($A2-Taches!$H$2:$H$60+1)&gt;=Taches!$E$2:$E$60)+(($A2-Taches!$H$2:$H$60+1)&lt;Taches!$E$2:$E$60)*($A2-Taches!$H$2:$H$60+1)/Taches!$E$2:$E$60)*Taches!$G$2:$G$60),0)</f>
        <v>0</v>
      </c>
      <c r="D2" s="0" t="n">
        <f aca="false">ROUND(SUMPRODUCT((Taches!$B$2:$B$60="LOT-03")*($A2&gt;=Taches!$H$2:$H$60)*((($A2-Taches!$H$2:$H$60+1)&gt;=Taches!$E$2:$E$60)+(($A2-Taches!$H$2:$H$60+1)&lt;Taches!$E$2:$E$60)*($A2-Taches!$H$2:$H$60+1)/Taches!$E$2:$E$60)*Taches!$G$2:$G$60),0)</f>
        <v>0</v>
      </c>
      <c r="E2" s="0" t="n">
        <f aca="false">ROUND(SUMPRODUCT((Taches!$B$2:$B$60="LOT-04")*($A2&gt;=Taches!$H$2:$H$60)*((($A2-Taches!$H$2:$H$60+1)&gt;=Taches!$E$2:$E$60)+(($A2-Taches!$H$2:$H$60+1)&lt;Taches!$E$2:$E$60)*($A2-Taches!$H$2:$H$60+1)/Taches!$E$2:$E$60)*Taches!$G$2:$G$60),0)</f>
        <v>0</v>
      </c>
      <c r="F2" s="0" t="n">
        <f aca="false">ROUND(SUMPRODUCT((Taches!$B$2:$B$60="LOT-05")*($A2&gt;=Taches!$H$2:$H$60)*((($A2-Taches!$H$2:$H$60+1)&gt;=Taches!$E$2:$E$60)+(($A2-Taches!$H$2:$H$60+1)&lt;Taches!$E$2:$E$60)*($A2-Taches!$H$2:$H$60+1)/Taches!$E$2:$E$60)*Taches!$G$2:$G$60),0)</f>
        <v>0</v>
      </c>
      <c r="G2" s="0" t="n">
        <f aca="false">ROUND(SUMPRODUCT((Taches!$B$2:$B$60="LOT-06")*($A2&gt;=Taches!$H$2:$H$60)*((($A2-Taches!$H$2:$H$60+1)&gt;=Taches!$E$2:$E$60)+(($A2-Taches!$H$2:$H$60+1)&lt;Taches!$E$2:$E$60)*($A2-Taches!$H$2:$H$60+1)/Taches!$E$2:$E$60)*Taches!$G$2:$G$60),0)</f>
        <v>0</v>
      </c>
      <c r="H2" s="0" t="n">
        <f aca="false">ROUND(SUMPRODUCT((Taches!$B$2:$B$60="LOT-07")*($A2&gt;=Taches!$H$2:$H$60)*((($A2-Taches!$H$2:$H$60+1)&gt;=Taches!$E$2:$E$60)+(($A2-Taches!$H$2:$H$60+1)&lt;Taches!$E$2:$E$60)*($A2-Taches!$H$2:$H$60+1)/Taches!$E$2:$E$60)*Taches!$G$2:$G$60),0)</f>
        <v>0</v>
      </c>
      <c r="I2" s="0" t="n">
        <f aca="false">ROUND(SUMPRODUCT((Taches!$B$2:$B$60="LOT-08")*($A2&gt;=Taches!$H$2:$H$60)*((($A2-Taches!$H$2:$H$60+1)&gt;=Taches!$E$2:$E$60)+(($A2-Taches!$H$2:$H$60+1)&lt;Taches!$E$2:$E$60)*($A2-Taches!$H$2:$H$60+1)/Taches!$E$2:$E$60)*Taches!$G$2:$G$60),0)</f>
        <v>0</v>
      </c>
      <c r="J2" s="0" t="n">
        <f aca="false">SUM(B2:I2)</f>
        <v>1794000</v>
      </c>
    </row>
    <row r="3" customFormat="false" ht="15" hidden="false" customHeight="false" outlineLevel="0" collapsed="false">
      <c r="A3" s="0" t="n">
        <v>1</v>
      </c>
      <c r="B3" s="0" t="n">
        <f aca="false">ROUND(SUMPRODUCT((Taches!$B$2:$B$60="LOT-01")*($A3&gt;=Taches!$H$2:$H$60)*((($A3-Taches!$H$2:$H$60+1)&gt;=Taches!$E$2:$E$60)+(($A3-Taches!$H$2:$H$60+1)&lt;Taches!$E$2:$E$60)*($A3-Taches!$H$2:$H$60+1)/Taches!$E$2:$E$60)*Taches!$G$2:$G$60),0)</f>
        <v>3588000</v>
      </c>
      <c r="C3" s="0" t="n">
        <f aca="false">ROUND(SUMPRODUCT((Taches!$B$2:$B$60="LOT-02")*($A3&gt;=Taches!$H$2:$H$60)*((($A3-Taches!$H$2:$H$60+1)&gt;=Taches!$E$2:$E$60)+(($A3-Taches!$H$2:$H$60+1)&lt;Taches!$E$2:$E$60)*($A3-Taches!$H$2:$H$60+1)/Taches!$E$2:$E$60)*Taches!$G$2:$G$60),0)</f>
        <v>0</v>
      </c>
      <c r="D3" s="0" t="n">
        <f aca="false">ROUND(SUMPRODUCT((Taches!$B$2:$B$60="LOT-03")*($A3&gt;=Taches!$H$2:$H$60)*((($A3-Taches!$H$2:$H$60+1)&gt;=Taches!$E$2:$E$60)+(($A3-Taches!$H$2:$H$60+1)&lt;Taches!$E$2:$E$60)*($A3-Taches!$H$2:$H$60+1)/Taches!$E$2:$E$60)*Taches!$G$2:$G$60),0)</f>
        <v>0</v>
      </c>
      <c r="E3" s="0" t="n">
        <f aca="false">ROUND(SUMPRODUCT((Taches!$B$2:$B$60="LOT-04")*($A3&gt;=Taches!$H$2:$H$60)*((($A3-Taches!$H$2:$H$60+1)&gt;=Taches!$E$2:$E$60)+(($A3-Taches!$H$2:$H$60+1)&lt;Taches!$E$2:$E$60)*($A3-Taches!$H$2:$H$60+1)/Taches!$E$2:$E$60)*Taches!$G$2:$G$60),0)</f>
        <v>0</v>
      </c>
      <c r="F3" s="0" t="n">
        <f aca="false">ROUND(SUMPRODUCT((Taches!$B$2:$B$60="LOT-05")*($A3&gt;=Taches!$H$2:$H$60)*((($A3-Taches!$H$2:$H$60+1)&gt;=Taches!$E$2:$E$60)+(($A3-Taches!$H$2:$H$60+1)&lt;Taches!$E$2:$E$60)*($A3-Taches!$H$2:$H$60+1)/Taches!$E$2:$E$60)*Taches!$G$2:$G$60),0)</f>
        <v>0</v>
      </c>
      <c r="G3" s="0" t="n">
        <f aca="false">ROUND(SUMPRODUCT((Taches!$B$2:$B$60="LOT-06")*($A3&gt;=Taches!$H$2:$H$60)*((($A3-Taches!$H$2:$H$60+1)&gt;=Taches!$E$2:$E$60)+(($A3-Taches!$H$2:$H$60+1)&lt;Taches!$E$2:$E$60)*($A3-Taches!$H$2:$H$60+1)/Taches!$E$2:$E$60)*Taches!$G$2:$G$60),0)</f>
        <v>0</v>
      </c>
      <c r="H3" s="0" t="n">
        <f aca="false">ROUND(SUMPRODUCT((Taches!$B$2:$B$60="LOT-07")*($A3&gt;=Taches!$H$2:$H$60)*((($A3-Taches!$H$2:$H$60+1)&gt;=Taches!$E$2:$E$60)+(($A3-Taches!$H$2:$H$60+1)&lt;Taches!$E$2:$E$60)*($A3-Taches!$H$2:$H$60+1)/Taches!$E$2:$E$60)*Taches!$G$2:$G$60),0)</f>
        <v>0</v>
      </c>
      <c r="I3" s="0" t="n">
        <f aca="false">ROUND(SUMPRODUCT((Taches!$B$2:$B$60="LOT-08")*($A3&gt;=Taches!$H$2:$H$60)*((($A3-Taches!$H$2:$H$60+1)&gt;=Taches!$E$2:$E$60)+(($A3-Taches!$H$2:$H$60+1)&lt;Taches!$E$2:$E$60)*($A3-Taches!$H$2:$H$60+1)/Taches!$E$2:$E$60)*Taches!$G$2:$G$60),0)</f>
        <v>0</v>
      </c>
      <c r="J3" s="0" t="n">
        <f aca="false">SUM(B3:I3)</f>
        <v>3588000</v>
      </c>
    </row>
    <row r="4" customFormat="false" ht="15" hidden="false" customHeight="false" outlineLevel="0" collapsed="false">
      <c r="A4" s="0" t="n">
        <v>2</v>
      </c>
      <c r="B4" s="0" t="n">
        <f aca="false">ROUND(SUMPRODUCT((Taches!$B$2:$B$60="LOT-01")*($A4&gt;=Taches!$H$2:$H$60)*((($A4-Taches!$H$2:$H$60+1)&gt;=Taches!$E$2:$E$60)+(($A4-Taches!$H$2:$H$60+1)&lt;Taches!$E$2:$E$60)*($A4-Taches!$H$2:$H$60+1)/Taches!$E$2:$E$60)*Taches!$G$2:$G$60),0)</f>
        <v>5382000</v>
      </c>
      <c r="C4" s="0" t="n">
        <f aca="false">ROUND(SUMPRODUCT((Taches!$B$2:$B$60="LOT-02")*($A4&gt;=Taches!$H$2:$H$60)*((($A4-Taches!$H$2:$H$60+1)&gt;=Taches!$E$2:$E$60)+(($A4-Taches!$H$2:$H$60+1)&lt;Taches!$E$2:$E$60)*($A4-Taches!$H$2:$H$60+1)/Taches!$E$2:$E$60)*Taches!$G$2:$G$60),0)</f>
        <v>0</v>
      </c>
      <c r="D4" s="0" t="n">
        <f aca="false">ROUND(SUMPRODUCT((Taches!$B$2:$B$60="LOT-03")*($A4&gt;=Taches!$H$2:$H$60)*((($A4-Taches!$H$2:$H$60+1)&gt;=Taches!$E$2:$E$60)+(($A4-Taches!$H$2:$H$60+1)&lt;Taches!$E$2:$E$60)*($A4-Taches!$H$2:$H$60+1)/Taches!$E$2:$E$60)*Taches!$G$2:$G$60),0)</f>
        <v>0</v>
      </c>
      <c r="E4" s="0" t="n">
        <f aca="false">ROUND(SUMPRODUCT((Taches!$B$2:$B$60="LOT-04")*($A4&gt;=Taches!$H$2:$H$60)*((($A4-Taches!$H$2:$H$60+1)&gt;=Taches!$E$2:$E$60)+(($A4-Taches!$H$2:$H$60+1)&lt;Taches!$E$2:$E$60)*($A4-Taches!$H$2:$H$60+1)/Taches!$E$2:$E$60)*Taches!$G$2:$G$60),0)</f>
        <v>0</v>
      </c>
      <c r="F4" s="0" t="n">
        <f aca="false">ROUND(SUMPRODUCT((Taches!$B$2:$B$60="LOT-05")*($A4&gt;=Taches!$H$2:$H$60)*((($A4-Taches!$H$2:$H$60+1)&gt;=Taches!$E$2:$E$60)+(($A4-Taches!$H$2:$H$60+1)&lt;Taches!$E$2:$E$60)*($A4-Taches!$H$2:$H$60+1)/Taches!$E$2:$E$60)*Taches!$G$2:$G$60),0)</f>
        <v>0</v>
      </c>
      <c r="G4" s="0" t="n">
        <f aca="false">ROUND(SUMPRODUCT((Taches!$B$2:$B$60="LOT-06")*($A4&gt;=Taches!$H$2:$H$60)*((($A4-Taches!$H$2:$H$60+1)&gt;=Taches!$E$2:$E$60)+(($A4-Taches!$H$2:$H$60+1)&lt;Taches!$E$2:$E$60)*($A4-Taches!$H$2:$H$60+1)/Taches!$E$2:$E$60)*Taches!$G$2:$G$60),0)</f>
        <v>0</v>
      </c>
      <c r="H4" s="0" t="n">
        <f aca="false">ROUND(SUMPRODUCT((Taches!$B$2:$B$60="LOT-07")*($A4&gt;=Taches!$H$2:$H$60)*((($A4-Taches!$H$2:$H$60+1)&gt;=Taches!$E$2:$E$60)+(($A4-Taches!$H$2:$H$60+1)&lt;Taches!$E$2:$E$60)*($A4-Taches!$H$2:$H$60+1)/Taches!$E$2:$E$60)*Taches!$G$2:$G$60),0)</f>
        <v>0</v>
      </c>
      <c r="I4" s="0" t="n">
        <f aca="false">ROUND(SUMPRODUCT((Taches!$B$2:$B$60="LOT-08")*($A4&gt;=Taches!$H$2:$H$60)*((($A4-Taches!$H$2:$H$60+1)&gt;=Taches!$E$2:$E$60)+(($A4-Taches!$H$2:$H$60+1)&lt;Taches!$E$2:$E$60)*($A4-Taches!$H$2:$H$60+1)/Taches!$E$2:$E$60)*Taches!$G$2:$G$60),0)</f>
        <v>0</v>
      </c>
      <c r="J4" s="0" t="n">
        <f aca="false">SUM(B4:I4)</f>
        <v>5382000</v>
      </c>
    </row>
    <row r="5" customFormat="false" ht="15" hidden="false" customHeight="false" outlineLevel="0" collapsed="false">
      <c r="A5" s="0" t="n">
        <v>3</v>
      </c>
      <c r="B5" s="0" t="n">
        <f aca="false">ROUND(SUMPRODUCT((Taches!$B$2:$B$60="LOT-01")*($A5&gt;=Taches!$H$2:$H$60)*((($A5-Taches!$H$2:$H$60+1)&gt;=Taches!$E$2:$E$60)+(($A5-Taches!$H$2:$H$60+1)&lt;Taches!$E$2:$E$60)*($A5-Taches!$H$2:$H$60+1)/Taches!$E$2:$E$60)*Taches!$G$2:$G$60),0)</f>
        <v>7176000</v>
      </c>
      <c r="C5" s="0" t="n">
        <f aca="false">ROUND(SUMPRODUCT((Taches!$B$2:$B$60="LOT-02")*($A5&gt;=Taches!$H$2:$H$60)*((($A5-Taches!$H$2:$H$60+1)&gt;=Taches!$E$2:$E$60)+(($A5-Taches!$H$2:$H$60+1)&lt;Taches!$E$2:$E$60)*($A5-Taches!$H$2:$H$60+1)/Taches!$E$2:$E$60)*Taches!$G$2:$G$60),0)</f>
        <v>0</v>
      </c>
      <c r="D5" s="0" t="n">
        <f aca="false">ROUND(SUMPRODUCT((Taches!$B$2:$B$60="LOT-03")*($A5&gt;=Taches!$H$2:$H$60)*((($A5-Taches!$H$2:$H$60+1)&gt;=Taches!$E$2:$E$60)+(($A5-Taches!$H$2:$H$60+1)&lt;Taches!$E$2:$E$60)*($A5-Taches!$H$2:$H$60+1)/Taches!$E$2:$E$60)*Taches!$G$2:$G$60),0)</f>
        <v>0</v>
      </c>
      <c r="E5" s="0" t="n">
        <f aca="false">ROUND(SUMPRODUCT((Taches!$B$2:$B$60="LOT-04")*($A5&gt;=Taches!$H$2:$H$60)*((($A5-Taches!$H$2:$H$60+1)&gt;=Taches!$E$2:$E$60)+(($A5-Taches!$H$2:$H$60+1)&lt;Taches!$E$2:$E$60)*($A5-Taches!$H$2:$H$60+1)/Taches!$E$2:$E$60)*Taches!$G$2:$G$60),0)</f>
        <v>0</v>
      </c>
      <c r="F5" s="0" t="n">
        <f aca="false">ROUND(SUMPRODUCT((Taches!$B$2:$B$60="LOT-05")*($A5&gt;=Taches!$H$2:$H$60)*((($A5-Taches!$H$2:$H$60+1)&gt;=Taches!$E$2:$E$60)+(($A5-Taches!$H$2:$H$60+1)&lt;Taches!$E$2:$E$60)*($A5-Taches!$H$2:$H$60+1)/Taches!$E$2:$E$60)*Taches!$G$2:$G$60),0)</f>
        <v>0</v>
      </c>
      <c r="G5" s="0" t="n">
        <f aca="false">ROUND(SUMPRODUCT((Taches!$B$2:$B$60="LOT-06")*($A5&gt;=Taches!$H$2:$H$60)*((($A5-Taches!$H$2:$H$60+1)&gt;=Taches!$E$2:$E$60)+(($A5-Taches!$H$2:$H$60+1)&lt;Taches!$E$2:$E$60)*($A5-Taches!$H$2:$H$60+1)/Taches!$E$2:$E$60)*Taches!$G$2:$G$60),0)</f>
        <v>0</v>
      </c>
      <c r="H5" s="0" t="n">
        <f aca="false">ROUND(SUMPRODUCT((Taches!$B$2:$B$60="LOT-07")*($A5&gt;=Taches!$H$2:$H$60)*((($A5-Taches!$H$2:$H$60+1)&gt;=Taches!$E$2:$E$60)+(($A5-Taches!$H$2:$H$60+1)&lt;Taches!$E$2:$E$60)*($A5-Taches!$H$2:$H$60+1)/Taches!$E$2:$E$60)*Taches!$G$2:$G$60),0)</f>
        <v>0</v>
      </c>
      <c r="I5" s="0" t="n">
        <f aca="false">ROUND(SUMPRODUCT((Taches!$B$2:$B$60="LOT-08")*($A5&gt;=Taches!$H$2:$H$60)*((($A5-Taches!$H$2:$H$60+1)&gt;=Taches!$E$2:$E$60)+(($A5-Taches!$H$2:$H$60+1)&lt;Taches!$E$2:$E$60)*($A5-Taches!$H$2:$H$60+1)/Taches!$E$2:$E$60)*Taches!$G$2:$G$60),0)</f>
        <v>0</v>
      </c>
      <c r="J5" s="0" t="n">
        <f aca="false">SUM(B5:I5)</f>
        <v>7176000</v>
      </c>
    </row>
    <row r="6" customFormat="false" ht="15" hidden="false" customHeight="false" outlineLevel="0" collapsed="false">
      <c r="A6" s="0" t="n">
        <v>4</v>
      </c>
      <c r="B6" s="0" t="n">
        <f aca="false">ROUND(SUMPRODUCT((Taches!$B$2:$B$60="LOT-01")*($A6&gt;=Taches!$H$2:$H$60)*((($A6-Taches!$H$2:$H$60+1)&gt;=Taches!$E$2:$E$60)+(($A6-Taches!$H$2:$H$60+1)&lt;Taches!$E$2:$E$60)*($A6-Taches!$H$2:$H$60+1)/Taches!$E$2:$E$60)*Taches!$G$2:$G$60),0)</f>
        <v>8970000</v>
      </c>
      <c r="C6" s="0" t="n">
        <f aca="false">ROUND(SUMPRODUCT((Taches!$B$2:$B$60="LOT-02")*($A6&gt;=Taches!$H$2:$H$60)*((($A6-Taches!$H$2:$H$60+1)&gt;=Taches!$E$2:$E$60)+(($A6-Taches!$H$2:$H$60+1)&lt;Taches!$E$2:$E$60)*($A6-Taches!$H$2:$H$60+1)/Taches!$E$2:$E$60)*Taches!$G$2:$G$60),0)</f>
        <v>0</v>
      </c>
      <c r="D6" s="0" t="n">
        <f aca="false">ROUND(SUMPRODUCT((Taches!$B$2:$B$60="LOT-03")*($A6&gt;=Taches!$H$2:$H$60)*((($A6-Taches!$H$2:$H$60+1)&gt;=Taches!$E$2:$E$60)+(($A6-Taches!$H$2:$H$60+1)&lt;Taches!$E$2:$E$60)*($A6-Taches!$H$2:$H$60+1)/Taches!$E$2:$E$60)*Taches!$G$2:$G$60),0)</f>
        <v>0</v>
      </c>
      <c r="E6" s="0" t="n">
        <f aca="false">ROUND(SUMPRODUCT((Taches!$B$2:$B$60="LOT-04")*($A6&gt;=Taches!$H$2:$H$60)*((($A6-Taches!$H$2:$H$60+1)&gt;=Taches!$E$2:$E$60)+(($A6-Taches!$H$2:$H$60+1)&lt;Taches!$E$2:$E$60)*($A6-Taches!$H$2:$H$60+1)/Taches!$E$2:$E$60)*Taches!$G$2:$G$60),0)</f>
        <v>0</v>
      </c>
      <c r="F6" s="0" t="n">
        <f aca="false">ROUND(SUMPRODUCT((Taches!$B$2:$B$60="LOT-05")*($A6&gt;=Taches!$H$2:$H$60)*((($A6-Taches!$H$2:$H$60+1)&gt;=Taches!$E$2:$E$60)+(($A6-Taches!$H$2:$H$60+1)&lt;Taches!$E$2:$E$60)*($A6-Taches!$H$2:$H$60+1)/Taches!$E$2:$E$60)*Taches!$G$2:$G$60),0)</f>
        <v>0</v>
      </c>
      <c r="G6" s="0" t="n">
        <f aca="false">ROUND(SUMPRODUCT((Taches!$B$2:$B$60="LOT-06")*($A6&gt;=Taches!$H$2:$H$60)*((($A6-Taches!$H$2:$H$60+1)&gt;=Taches!$E$2:$E$60)+(($A6-Taches!$H$2:$H$60+1)&lt;Taches!$E$2:$E$60)*($A6-Taches!$H$2:$H$60+1)/Taches!$E$2:$E$60)*Taches!$G$2:$G$60),0)</f>
        <v>0</v>
      </c>
      <c r="H6" s="0" t="n">
        <f aca="false">ROUND(SUMPRODUCT((Taches!$B$2:$B$60="LOT-07")*($A6&gt;=Taches!$H$2:$H$60)*((($A6-Taches!$H$2:$H$60+1)&gt;=Taches!$E$2:$E$60)+(($A6-Taches!$H$2:$H$60+1)&lt;Taches!$E$2:$E$60)*($A6-Taches!$H$2:$H$60+1)/Taches!$E$2:$E$60)*Taches!$G$2:$G$60),0)</f>
        <v>0</v>
      </c>
      <c r="I6" s="0" t="n">
        <f aca="false">ROUND(SUMPRODUCT((Taches!$B$2:$B$60="LOT-08")*($A6&gt;=Taches!$H$2:$H$60)*((($A6-Taches!$H$2:$H$60+1)&gt;=Taches!$E$2:$E$60)+(($A6-Taches!$H$2:$H$60+1)&lt;Taches!$E$2:$E$60)*($A6-Taches!$H$2:$H$60+1)/Taches!$E$2:$E$60)*Taches!$G$2:$G$60),0)</f>
        <v>0</v>
      </c>
      <c r="J6" s="0" t="n">
        <f aca="false">SUM(B6:I6)</f>
        <v>8970000</v>
      </c>
    </row>
    <row r="7" customFormat="false" ht="15" hidden="false" customHeight="false" outlineLevel="0" collapsed="false">
      <c r="A7" s="0" t="n">
        <v>5</v>
      </c>
      <c r="B7" s="0" t="n">
        <f aca="false">ROUND(SUMPRODUCT((Taches!$B$2:$B$60="LOT-01")*($A7&gt;=Taches!$H$2:$H$60)*((($A7-Taches!$H$2:$H$60+1)&gt;=Taches!$E$2:$E$60)+(($A7-Taches!$H$2:$H$60+1)&lt;Taches!$E$2:$E$60)*($A7-Taches!$H$2:$H$60+1)/Taches!$E$2:$E$60)*Taches!$G$2:$G$60),0)</f>
        <v>10764000</v>
      </c>
      <c r="C7" s="0" t="n">
        <f aca="false">ROUND(SUMPRODUCT((Taches!$B$2:$B$60="LOT-02")*($A7&gt;=Taches!$H$2:$H$60)*((($A7-Taches!$H$2:$H$60+1)&gt;=Taches!$E$2:$E$60)+(($A7-Taches!$H$2:$H$60+1)&lt;Taches!$E$2:$E$60)*($A7-Taches!$H$2:$H$60+1)/Taches!$E$2:$E$60)*Taches!$G$2:$G$60),0)</f>
        <v>0</v>
      </c>
      <c r="D7" s="0" t="n">
        <f aca="false">ROUND(SUMPRODUCT((Taches!$B$2:$B$60="LOT-03")*($A7&gt;=Taches!$H$2:$H$60)*((($A7-Taches!$H$2:$H$60+1)&gt;=Taches!$E$2:$E$60)+(($A7-Taches!$H$2:$H$60+1)&lt;Taches!$E$2:$E$60)*($A7-Taches!$H$2:$H$60+1)/Taches!$E$2:$E$60)*Taches!$G$2:$G$60),0)</f>
        <v>0</v>
      </c>
      <c r="E7" s="0" t="n">
        <f aca="false">ROUND(SUMPRODUCT((Taches!$B$2:$B$60="LOT-04")*($A7&gt;=Taches!$H$2:$H$60)*((($A7-Taches!$H$2:$H$60+1)&gt;=Taches!$E$2:$E$60)+(($A7-Taches!$H$2:$H$60+1)&lt;Taches!$E$2:$E$60)*($A7-Taches!$H$2:$H$60+1)/Taches!$E$2:$E$60)*Taches!$G$2:$G$60),0)</f>
        <v>0</v>
      </c>
      <c r="F7" s="0" t="n">
        <f aca="false">ROUND(SUMPRODUCT((Taches!$B$2:$B$60="LOT-05")*($A7&gt;=Taches!$H$2:$H$60)*((($A7-Taches!$H$2:$H$60+1)&gt;=Taches!$E$2:$E$60)+(($A7-Taches!$H$2:$H$60+1)&lt;Taches!$E$2:$E$60)*($A7-Taches!$H$2:$H$60+1)/Taches!$E$2:$E$60)*Taches!$G$2:$G$60),0)</f>
        <v>0</v>
      </c>
      <c r="G7" s="0" t="n">
        <f aca="false">ROUND(SUMPRODUCT((Taches!$B$2:$B$60="LOT-06")*($A7&gt;=Taches!$H$2:$H$60)*((($A7-Taches!$H$2:$H$60+1)&gt;=Taches!$E$2:$E$60)+(($A7-Taches!$H$2:$H$60+1)&lt;Taches!$E$2:$E$60)*($A7-Taches!$H$2:$H$60+1)/Taches!$E$2:$E$60)*Taches!$G$2:$G$60),0)</f>
        <v>0</v>
      </c>
      <c r="H7" s="0" t="n">
        <f aca="false">ROUND(SUMPRODUCT((Taches!$B$2:$B$60="LOT-07")*($A7&gt;=Taches!$H$2:$H$60)*((($A7-Taches!$H$2:$H$60+1)&gt;=Taches!$E$2:$E$60)+(($A7-Taches!$H$2:$H$60+1)&lt;Taches!$E$2:$E$60)*($A7-Taches!$H$2:$H$60+1)/Taches!$E$2:$E$60)*Taches!$G$2:$G$60),0)</f>
        <v>0</v>
      </c>
      <c r="I7" s="0" t="n">
        <f aca="false">ROUND(SUMPRODUCT((Taches!$B$2:$B$60="LOT-08")*($A7&gt;=Taches!$H$2:$H$60)*((($A7-Taches!$H$2:$H$60+1)&gt;=Taches!$E$2:$E$60)+(($A7-Taches!$H$2:$H$60+1)&lt;Taches!$E$2:$E$60)*($A7-Taches!$H$2:$H$60+1)/Taches!$E$2:$E$60)*Taches!$G$2:$G$60),0)</f>
        <v>0</v>
      </c>
      <c r="J7" s="0" t="n">
        <f aca="false">SUM(B7:I7)</f>
        <v>10764000</v>
      </c>
    </row>
    <row r="8" customFormat="false" ht="15" hidden="false" customHeight="false" outlineLevel="0" collapsed="false">
      <c r="A8" s="0" t="n">
        <v>6</v>
      </c>
      <c r="B8" s="0" t="n">
        <f aca="false">ROUND(SUMPRODUCT((Taches!$B$2:$B$60="LOT-01")*($A8&gt;=Taches!$H$2:$H$60)*((($A8-Taches!$H$2:$H$60+1)&gt;=Taches!$E$2:$E$60)+(($A8-Taches!$H$2:$H$60+1)&lt;Taches!$E$2:$E$60)*($A8-Taches!$H$2:$H$60+1)/Taches!$E$2:$E$60)*Taches!$G$2:$G$60),0)</f>
        <v>12558000</v>
      </c>
      <c r="C8" s="0" t="n">
        <f aca="false">ROUND(SUMPRODUCT((Taches!$B$2:$B$60="LOT-02")*($A8&gt;=Taches!$H$2:$H$60)*((($A8-Taches!$H$2:$H$60+1)&gt;=Taches!$E$2:$E$60)+(($A8-Taches!$H$2:$H$60+1)&lt;Taches!$E$2:$E$60)*($A8-Taches!$H$2:$H$60+1)/Taches!$E$2:$E$60)*Taches!$G$2:$G$60),0)</f>
        <v>0</v>
      </c>
      <c r="D8" s="0" t="n">
        <f aca="false">ROUND(SUMPRODUCT((Taches!$B$2:$B$60="LOT-03")*($A8&gt;=Taches!$H$2:$H$60)*((($A8-Taches!$H$2:$H$60+1)&gt;=Taches!$E$2:$E$60)+(($A8-Taches!$H$2:$H$60+1)&lt;Taches!$E$2:$E$60)*($A8-Taches!$H$2:$H$60+1)/Taches!$E$2:$E$60)*Taches!$G$2:$G$60),0)</f>
        <v>0</v>
      </c>
      <c r="E8" s="0" t="n">
        <f aca="false">ROUND(SUMPRODUCT((Taches!$B$2:$B$60="LOT-04")*($A8&gt;=Taches!$H$2:$H$60)*((($A8-Taches!$H$2:$H$60+1)&gt;=Taches!$E$2:$E$60)+(($A8-Taches!$H$2:$H$60+1)&lt;Taches!$E$2:$E$60)*($A8-Taches!$H$2:$H$60+1)/Taches!$E$2:$E$60)*Taches!$G$2:$G$60),0)</f>
        <v>0</v>
      </c>
      <c r="F8" s="0" t="n">
        <f aca="false">ROUND(SUMPRODUCT((Taches!$B$2:$B$60="LOT-05")*($A8&gt;=Taches!$H$2:$H$60)*((($A8-Taches!$H$2:$H$60+1)&gt;=Taches!$E$2:$E$60)+(($A8-Taches!$H$2:$H$60+1)&lt;Taches!$E$2:$E$60)*($A8-Taches!$H$2:$H$60+1)/Taches!$E$2:$E$60)*Taches!$G$2:$G$60),0)</f>
        <v>0</v>
      </c>
      <c r="G8" s="0" t="n">
        <f aca="false">ROUND(SUMPRODUCT((Taches!$B$2:$B$60="LOT-06")*($A8&gt;=Taches!$H$2:$H$60)*((($A8-Taches!$H$2:$H$60+1)&gt;=Taches!$E$2:$E$60)+(($A8-Taches!$H$2:$H$60+1)&lt;Taches!$E$2:$E$60)*($A8-Taches!$H$2:$H$60+1)/Taches!$E$2:$E$60)*Taches!$G$2:$G$60),0)</f>
        <v>0</v>
      </c>
      <c r="H8" s="0" t="n">
        <f aca="false">ROUND(SUMPRODUCT((Taches!$B$2:$B$60="LOT-07")*($A8&gt;=Taches!$H$2:$H$60)*((($A8-Taches!$H$2:$H$60+1)&gt;=Taches!$E$2:$E$60)+(($A8-Taches!$H$2:$H$60+1)&lt;Taches!$E$2:$E$60)*($A8-Taches!$H$2:$H$60+1)/Taches!$E$2:$E$60)*Taches!$G$2:$G$60),0)</f>
        <v>0</v>
      </c>
      <c r="I8" s="0" t="n">
        <f aca="false">ROUND(SUMPRODUCT((Taches!$B$2:$B$60="LOT-08")*($A8&gt;=Taches!$H$2:$H$60)*((($A8-Taches!$H$2:$H$60+1)&gt;=Taches!$E$2:$E$60)+(($A8-Taches!$H$2:$H$60+1)&lt;Taches!$E$2:$E$60)*($A8-Taches!$H$2:$H$60+1)/Taches!$E$2:$E$60)*Taches!$G$2:$G$60),0)</f>
        <v>0</v>
      </c>
      <c r="J8" s="0" t="n">
        <f aca="false">SUM(B8:I8)</f>
        <v>12558000</v>
      </c>
    </row>
    <row r="9" customFormat="false" ht="15" hidden="false" customHeight="false" outlineLevel="0" collapsed="false">
      <c r="A9" s="0" t="n">
        <v>7</v>
      </c>
      <c r="B9" s="0" t="n">
        <f aca="false">ROUND(SUMPRODUCT((Taches!$B$2:$B$60="LOT-01")*($A9&gt;=Taches!$H$2:$H$60)*((($A9-Taches!$H$2:$H$60+1)&gt;=Taches!$E$2:$E$60)+(($A9-Taches!$H$2:$H$60+1)&lt;Taches!$E$2:$E$60)*($A9-Taches!$H$2:$H$60+1)/Taches!$E$2:$E$60)*Taches!$G$2:$G$60),0)</f>
        <v>14352000</v>
      </c>
      <c r="C9" s="0" t="n">
        <f aca="false">ROUND(SUMPRODUCT((Taches!$B$2:$B$60="LOT-02")*($A9&gt;=Taches!$H$2:$H$60)*((($A9-Taches!$H$2:$H$60+1)&gt;=Taches!$E$2:$E$60)+(($A9-Taches!$H$2:$H$60+1)&lt;Taches!$E$2:$E$60)*($A9-Taches!$H$2:$H$60+1)/Taches!$E$2:$E$60)*Taches!$G$2:$G$60),0)</f>
        <v>0</v>
      </c>
      <c r="D9" s="0" t="n">
        <f aca="false">ROUND(SUMPRODUCT((Taches!$B$2:$B$60="LOT-03")*($A9&gt;=Taches!$H$2:$H$60)*((($A9-Taches!$H$2:$H$60+1)&gt;=Taches!$E$2:$E$60)+(($A9-Taches!$H$2:$H$60+1)&lt;Taches!$E$2:$E$60)*($A9-Taches!$H$2:$H$60+1)/Taches!$E$2:$E$60)*Taches!$G$2:$G$60),0)</f>
        <v>0</v>
      </c>
      <c r="E9" s="0" t="n">
        <f aca="false">ROUND(SUMPRODUCT((Taches!$B$2:$B$60="LOT-04")*($A9&gt;=Taches!$H$2:$H$60)*((($A9-Taches!$H$2:$H$60+1)&gt;=Taches!$E$2:$E$60)+(($A9-Taches!$H$2:$H$60+1)&lt;Taches!$E$2:$E$60)*($A9-Taches!$H$2:$H$60+1)/Taches!$E$2:$E$60)*Taches!$G$2:$G$60),0)</f>
        <v>0</v>
      </c>
      <c r="F9" s="0" t="n">
        <f aca="false">ROUND(SUMPRODUCT((Taches!$B$2:$B$60="LOT-05")*($A9&gt;=Taches!$H$2:$H$60)*((($A9-Taches!$H$2:$H$60+1)&gt;=Taches!$E$2:$E$60)+(($A9-Taches!$H$2:$H$60+1)&lt;Taches!$E$2:$E$60)*($A9-Taches!$H$2:$H$60+1)/Taches!$E$2:$E$60)*Taches!$G$2:$G$60),0)</f>
        <v>0</v>
      </c>
      <c r="G9" s="0" t="n">
        <f aca="false">ROUND(SUMPRODUCT((Taches!$B$2:$B$60="LOT-06")*($A9&gt;=Taches!$H$2:$H$60)*((($A9-Taches!$H$2:$H$60+1)&gt;=Taches!$E$2:$E$60)+(($A9-Taches!$H$2:$H$60+1)&lt;Taches!$E$2:$E$60)*($A9-Taches!$H$2:$H$60+1)/Taches!$E$2:$E$60)*Taches!$G$2:$G$60),0)</f>
        <v>0</v>
      </c>
      <c r="H9" s="0" t="n">
        <f aca="false">ROUND(SUMPRODUCT((Taches!$B$2:$B$60="LOT-07")*($A9&gt;=Taches!$H$2:$H$60)*((($A9-Taches!$H$2:$H$60+1)&gt;=Taches!$E$2:$E$60)+(($A9-Taches!$H$2:$H$60+1)&lt;Taches!$E$2:$E$60)*($A9-Taches!$H$2:$H$60+1)/Taches!$E$2:$E$60)*Taches!$G$2:$G$60),0)</f>
        <v>0</v>
      </c>
      <c r="I9" s="0" t="n">
        <f aca="false">ROUND(SUMPRODUCT((Taches!$B$2:$B$60="LOT-08")*($A9&gt;=Taches!$H$2:$H$60)*((($A9-Taches!$H$2:$H$60+1)&gt;=Taches!$E$2:$E$60)+(($A9-Taches!$H$2:$H$60+1)&lt;Taches!$E$2:$E$60)*($A9-Taches!$H$2:$H$60+1)/Taches!$E$2:$E$60)*Taches!$G$2:$G$60),0)</f>
        <v>0</v>
      </c>
      <c r="J9" s="0" t="n">
        <f aca="false">SUM(B9:I9)</f>
        <v>14352000</v>
      </c>
    </row>
    <row r="10" customFormat="false" ht="15" hidden="false" customHeight="false" outlineLevel="0" collapsed="false">
      <c r="A10" s="0" t="n">
        <v>8</v>
      </c>
      <c r="B10" s="0" t="n">
        <f aca="false">ROUND(SUMPRODUCT((Taches!$B$2:$B$60="LOT-01")*($A10&gt;=Taches!$H$2:$H$60)*((($A10-Taches!$H$2:$H$60+1)&gt;=Taches!$E$2:$E$60)+(($A10-Taches!$H$2:$H$60+1)&lt;Taches!$E$2:$E$60)*($A10-Taches!$H$2:$H$60+1)/Taches!$E$2:$E$60)*Taches!$G$2:$G$60),0)</f>
        <v>16146000</v>
      </c>
      <c r="C10" s="0" t="n">
        <f aca="false">ROUND(SUMPRODUCT((Taches!$B$2:$B$60="LOT-02")*($A10&gt;=Taches!$H$2:$H$60)*((($A10-Taches!$H$2:$H$60+1)&gt;=Taches!$E$2:$E$60)+(($A10-Taches!$H$2:$H$60+1)&lt;Taches!$E$2:$E$60)*($A10-Taches!$H$2:$H$60+1)/Taches!$E$2:$E$60)*Taches!$G$2:$G$60),0)</f>
        <v>0</v>
      </c>
      <c r="D10" s="0" t="n">
        <f aca="false">ROUND(SUMPRODUCT((Taches!$B$2:$B$60="LOT-03")*($A10&gt;=Taches!$H$2:$H$60)*((($A10-Taches!$H$2:$H$60+1)&gt;=Taches!$E$2:$E$60)+(($A10-Taches!$H$2:$H$60+1)&lt;Taches!$E$2:$E$60)*($A10-Taches!$H$2:$H$60+1)/Taches!$E$2:$E$60)*Taches!$G$2:$G$60),0)</f>
        <v>0</v>
      </c>
      <c r="E10" s="0" t="n">
        <f aca="false">ROUND(SUMPRODUCT((Taches!$B$2:$B$60="LOT-04")*($A10&gt;=Taches!$H$2:$H$60)*((($A10-Taches!$H$2:$H$60+1)&gt;=Taches!$E$2:$E$60)+(($A10-Taches!$H$2:$H$60+1)&lt;Taches!$E$2:$E$60)*($A10-Taches!$H$2:$H$60+1)/Taches!$E$2:$E$60)*Taches!$G$2:$G$60),0)</f>
        <v>0</v>
      </c>
      <c r="F10" s="0" t="n">
        <f aca="false">ROUND(SUMPRODUCT((Taches!$B$2:$B$60="LOT-05")*($A10&gt;=Taches!$H$2:$H$60)*((($A10-Taches!$H$2:$H$60+1)&gt;=Taches!$E$2:$E$60)+(($A10-Taches!$H$2:$H$60+1)&lt;Taches!$E$2:$E$60)*($A10-Taches!$H$2:$H$60+1)/Taches!$E$2:$E$60)*Taches!$G$2:$G$60),0)</f>
        <v>0</v>
      </c>
      <c r="G10" s="0" t="n">
        <f aca="false">ROUND(SUMPRODUCT((Taches!$B$2:$B$60="LOT-06")*($A10&gt;=Taches!$H$2:$H$60)*((($A10-Taches!$H$2:$H$60+1)&gt;=Taches!$E$2:$E$60)+(($A10-Taches!$H$2:$H$60+1)&lt;Taches!$E$2:$E$60)*($A10-Taches!$H$2:$H$60+1)/Taches!$E$2:$E$60)*Taches!$G$2:$G$60),0)</f>
        <v>0</v>
      </c>
      <c r="H10" s="0" t="n">
        <f aca="false">ROUND(SUMPRODUCT((Taches!$B$2:$B$60="LOT-07")*($A10&gt;=Taches!$H$2:$H$60)*((($A10-Taches!$H$2:$H$60+1)&gt;=Taches!$E$2:$E$60)+(($A10-Taches!$H$2:$H$60+1)&lt;Taches!$E$2:$E$60)*($A10-Taches!$H$2:$H$60+1)/Taches!$E$2:$E$60)*Taches!$G$2:$G$60),0)</f>
        <v>0</v>
      </c>
      <c r="I10" s="0" t="n">
        <f aca="false">ROUND(SUMPRODUCT((Taches!$B$2:$B$60="LOT-08")*($A10&gt;=Taches!$H$2:$H$60)*((($A10-Taches!$H$2:$H$60+1)&gt;=Taches!$E$2:$E$60)+(($A10-Taches!$H$2:$H$60+1)&lt;Taches!$E$2:$E$60)*($A10-Taches!$H$2:$H$60+1)/Taches!$E$2:$E$60)*Taches!$G$2:$G$60),0)</f>
        <v>0</v>
      </c>
      <c r="J10" s="0" t="n">
        <f aca="false">SUM(B10:I10)</f>
        <v>16146000</v>
      </c>
    </row>
    <row r="11" customFormat="false" ht="15" hidden="false" customHeight="false" outlineLevel="0" collapsed="false">
      <c r="A11" s="0" t="n">
        <v>9</v>
      </c>
      <c r="B11" s="0" t="n">
        <f aca="false">ROUND(SUMPRODUCT((Taches!$B$2:$B$60="LOT-01")*($A11&gt;=Taches!$H$2:$H$60)*((($A11-Taches!$H$2:$H$60+1)&gt;=Taches!$E$2:$E$60)+(($A11-Taches!$H$2:$H$60+1)&lt;Taches!$E$2:$E$60)*($A11-Taches!$H$2:$H$60+1)/Taches!$E$2:$E$60)*Taches!$G$2:$G$60),0)</f>
        <v>17940000</v>
      </c>
      <c r="C11" s="0" t="n">
        <f aca="false">ROUND(SUMPRODUCT((Taches!$B$2:$B$60="LOT-02")*($A11&gt;=Taches!$H$2:$H$60)*((($A11-Taches!$H$2:$H$60+1)&gt;=Taches!$E$2:$E$60)+(($A11-Taches!$H$2:$H$60+1)&lt;Taches!$E$2:$E$60)*($A11-Taches!$H$2:$H$60+1)/Taches!$E$2:$E$60)*Taches!$G$2:$G$60),0)</f>
        <v>0</v>
      </c>
      <c r="D11" s="0" t="n">
        <f aca="false">ROUND(SUMPRODUCT((Taches!$B$2:$B$60="LOT-03")*($A11&gt;=Taches!$H$2:$H$60)*((($A11-Taches!$H$2:$H$60+1)&gt;=Taches!$E$2:$E$60)+(($A11-Taches!$H$2:$H$60+1)&lt;Taches!$E$2:$E$60)*($A11-Taches!$H$2:$H$60+1)/Taches!$E$2:$E$60)*Taches!$G$2:$G$60),0)</f>
        <v>0</v>
      </c>
      <c r="E11" s="0" t="n">
        <f aca="false">ROUND(SUMPRODUCT((Taches!$B$2:$B$60="LOT-04")*($A11&gt;=Taches!$H$2:$H$60)*((($A11-Taches!$H$2:$H$60+1)&gt;=Taches!$E$2:$E$60)+(($A11-Taches!$H$2:$H$60+1)&lt;Taches!$E$2:$E$60)*($A11-Taches!$H$2:$H$60+1)/Taches!$E$2:$E$60)*Taches!$G$2:$G$60),0)</f>
        <v>0</v>
      </c>
      <c r="F11" s="0" t="n">
        <f aca="false">ROUND(SUMPRODUCT((Taches!$B$2:$B$60="LOT-05")*($A11&gt;=Taches!$H$2:$H$60)*((($A11-Taches!$H$2:$H$60+1)&gt;=Taches!$E$2:$E$60)+(($A11-Taches!$H$2:$H$60+1)&lt;Taches!$E$2:$E$60)*($A11-Taches!$H$2:$H$60+1)/Taches!$E$2:$E$60)*Taches!$G$2:$G$60),0)</f>
        <v>0</v>
      </c>
      <c r="G11" s="0" t="n">
        <f aca="false">ROUND(SUMPRODUCT((Taches!$B$2:$B$60="LOT-06")*($A11&gt;=Taches!$H$2:$H$60)*((($A11-Taches!$H$2:$H$60+1)&gt;=Taches!$E$2:$E$60)+(($A11-Taches!$H$2:$H$60+1)&lt;Taches!$E$2:$E$60)*($A11-Taches!$H$2:$H$60+1)/Taches!$E$2:$E$60)*Taches!$G$2:$G$60),0)</f>
        <v>0</v>
      </c>
      <c r="H11" s="0" t="n">
        <f aca="false">ROUND(SUMPRODUCT((Taches!$B$2:$B$60="LOT-07")*($A11&gt;=Taches!$H$2:$H$60)*((($A11-Taches!$H$2:$H$60+1)&gt;=Taches!$E$2:$E$60)+(($A11-Taches!$H$2:$H$60+1)&lt;Taches!$E$2:$E$60)*($A11-Taches!$H$2:$H$60+1)/Taches!$E$2:$E$60)*Taches!$G$2:$G$60),0)</f>
        <v>0</v>
      </c>
      <c r="I11" s="0" t="n">
        <f aca="false">ROUND(SUMPRODUCT((Taches!$B$2:$B$60="LOT-08")*($A11&gt;=Taches!$H$2:$H$60)*((($A11-Taches!$H$2:$H$60+1)&gt;=Taches!$E$2:$E$60)+(($A11-Taches!$H$2:$H$60+1)&lt;Taches!$E$2:$E$60)*($A11-Taches!$H$2:$H$60+1)/Taches!$E$2:$E$60)*Taches!$G$2:$G$60),0)</f>
        <v>0</v>
      </c>
      <c r="J11" s="0" t="n">
        <f aca="false">SUM(B11:I11)</f>
        <v>17940000</v>
      </c>
    </row>
    <row r="12" customFormat="false" ht="15" hidden="false" customHeight="false" outlineLevel="0" collapsed="false">
      <c r="A12" s="0" t="n">
        <v>10</v>
      </c>
      <c r="B12" s="0" t="n">
        <f aca="false">ROUND(SUMPRODUCT((Taches!$B$2:$B$60="LOT-01")*($A12&gt;=Taches!$H$2:$H$60)*((($A12-Taches!$H$2:$H$60+1)&gt;=Taches!$E$2:$E$60)+(($A12-Taches!$H$2:$H$60+1)&lt;Taches!$E$2:$E$60)*($A12-Taches!$H$2:$H$60+1)/Taches!$E$2:$E$60)*Taches!$G$2:$G$60),0)</f>
        <v>19236667</v>
      </c>
      <c r="C12" s="0" t="n">
        <f aca="false">ROUND(SUMPRODUCT((Taches!$B$2:$B$60="LOT-02")*($A12&gt;=Taches!$H$2:$H$60)*((($A12-Taches!$H$2:$H$60+1)&gt;=Taches!$E$2:$E$60)+(($A12-Taches!$H$2:$H$60+1)&lt;Taches!$E$2:$E$60)*($A12-Taches!$H$2:$H$60+1)/Taches!$E$2:$E$60)*Taches!$G$2:$G$60),0)</f>
        <v>1032000</v>
      </c>
      <c r="D12" s="0" t="n">
        <f aca="false">ROUND(SUMPRODUCT((Taches!$B$2:$B$60="LOT-03")*($A12&gt;=Taches!$H$2:$H$60)*((($A12-Taches!$H$2:$H$60+1)&gt;=Taches!$E$2:$E$60)+(($A12-Taches!$H$2:$H$60+1)&lt;Taches!$E$2:$E$60)*($A12-Taches!$H$2:$H$60+1)/Taches!$E$2:$E$60)*Taches!$G$2:$G$60),0)</f>
        <v>0</v>
      </c>
      <c r="E12" s="0" t="n">
        <f aca="false">ROUND(SUMPRODUCT((Taches!$B$2:$B$60="LOT-04")*($A12&gt;=Taches!$H$2:$H$60)*((($A12-Taches!$H$2:$H$60+1)&gt;=Taches!$E$2:$E$60)+(($A12-Taches!$H$2:$H$60+1)&lt;Taches!$E$2:$E$60)*($A12-Taches!$H$2:$H$60+1)/Taches!$E$2:$E$60)*Taches!$G$2:$G$60),0)</f>
        <v>0</v>
      </c>
      <c r="F12" s="0" t="n">
        <f aca="false">ROUND(SUMPRODUCT((Taches!$B$2:$B$60="LOT-05")*($A12&gt;=Taches!$H$2:$H$60)*((($A12-Taches!$H$2:$H$60+1)&gt;=Taches!$E$2:$E$60)+(($A12-Taches!$H$2:$H$60+1)&lt;Taches!$E$2:$E$60)*($A12-Taches!$H$2:$H$60+1)/Taches!$E$2:$E$60)*Taches!$G$2:$G$60),0)</f>
        <v>0</v>
      </c>
      <c r="G12" s="0" t="n">
        <f aca="false">ROUND(SUMPRODUCT((Taches!$B$2:$B$60="LOT-06")*($A12&gt;=Taches!$H$2:$H$60)*((($A12-Taches!$H$2:$H$60+1)&gt;=Taches!$E$2:$E$60)+(($A12-Taches!$H$2:$H$60+1)&lt;Taches!$E$2:$E$60)*($A12-Taches!$H$2:$H$60+1)/Taches!$E$2:$E$60)*Taches!$G$2:$G$60),0)</f>
        <v>0</v>
      </c>
      <c r="H12" s="0" t="n">
        <f aca="false">ROUND(SUMPRODUCT((Taches!$B$2:$B$60="LOT-07")*($A12&gt;=Taches!$H$2:$H$60)*((($A12-Taches!$H$2:$H$60+1)&gt;=Taches!$E$2:$E$60)+(($A12-Taches!$H$2:$H$60+1)&lt;Taches!$E$2:$E$60)*($A12-Taches!$H$2:$H$60+1)/Taches!$E$2:$E$60)*Taches!$G$2:$G$60),0)</f>
        <v>0</v>
      </c>
      <c r="I12" s="0" t="n">
        <f aca="false">ROUND(SUMPRODUCT((Taches!$B$2:$B$60="LOT-08")*($A12&gt;=Taches!$H$2:$H$60)*((($A12-Taches!$H$2:$H$60+1)&gt;=Taches!$E$2:$E$60)+(($A12-Taches!$H$2:$H$60+1)&lt;Taches!$E$2:$E$60)*($A12-Taches!$H$2:$H$60+1)/Taches!$E$2:$E$60)*Taches!$G$2:$G$60),0)</f>
        <v>0</v>
      </c>
      <c r="J12" s="0" t="n">
        <f aca="false">SUM(B12:I12)</f>
        <v>20268667</v>
      </c>
    </row>
    <row r="13" customFormat="false" ht="15" hidden="false" customHeight="false" outlineLevel="0" collapsed="false">
      <c r="A13" s="0" t="n">
        <v>11</v>
      </c>
      <c r="B13" s="0" t="n">
        <f aca="false">ROUND(SUMPRODUCT((Taches!$B$2:$B$60="LOT-01")*($A13&gt;=Taches!$H$2:$H$60)*((($A13-Taches!$H$2:$H$60+1)&gt;=Taches!$E$2:$E$60)+(($A13-Taches!$H$2:$H$60+1)&lt;Taches!$E$2:$E$60)*($A13-Taches!$H$2:$H$60+1)/Taches!$E$2:$E$60)*Taches!$G$2:$G$60),0)</f>
        <v>20533333</v>
      </c>
      <c r="C13" s="0" t="n">
        <f aca="false">ROUND(SUMPRODUCT((Taches!$B$2:$B$60="LOT-02")*($A13&gt;=Taches!$H$2:$H$60)*((($A13-Taches!$H$2:$H$60+1)&gt;=Taches!$E$2:$E$60)+(($A13-Taches!$H$2:$H$60+1)&lt;Taches!$E$2:$E$60)*($A13-Taches!$H$2:$H$60+1)/Taches!$E$2:$E$60)*Taches!$G$2:$G$60),0)</f>
        <v>2064000</v>
      </c>
      <c r="D13" s="0" t="n">
        <f aca="false">ROUND(SUMPRODUCT((Taches!$B$2:$B$60="LOT-03")*($A13&gt;=Taches!$H$2:$H$60)*((($A13-Taches!$H$2:$H$60+1)&gt;=Taches!$E$2:$E$60)+(($A13-Taches!$H$2:$H$60+1)&lt;Taches!$E$2:$E$60)*($A13-Taches!$H$2:$H$60+1)/Taches!$E$2:$E$60)*Taches!$G$2:$G$60),0)</f>
        <v>0</v>
      </c>
      <c r="E13" s="0" t="n">
        <f aca="false">ROUND(SUMPRODUCT((Taches!$B$2:$B$60="LOT-04")*($A13&gt;=Taches!$H$2:$H$60)*((($A13-Taches!$H$2:$H$60+1)&gt;=Taches!$E$2:$E$60)+(($A13-Taches!$H$2:$H$60+1)&lt;Taches!$E$2:$E$60)*($A13-Taches!$H$2:$H$60+1)/Taches!$E$2:$E$60)*Taches!$G$2:$G$60),0)</f>
        <v>0</v>
      </c>
      <c r="F13" s="0" t="n">
        <f aca="false">ROUND(SUMPRODUCT((Taches!$B$2:$B$60="LOT-05")*($A13&gt;=Taches!$H$2:$H$60)*((($A13-Taches!$H$2:$H$60+1)&gt;=Taches!$E$2:$E$60)+(($A13-Taches!$H$2:$H$60+1)&lt;Taches!$E$2:$E$60)*($A13-Taches!$H$2:$H$60+1)/Taches!$E$2:$E$60)*Taches!$G$2:$G$60),0)</f>
        <v>0</v>
      </c>
      <c r="G13" s="0" t="n">
        <f aca="false">ROUND(SUMPRODUCT((Taches!$B$2:$B$60="LOT-06")*($A13&gt;=Taches!$H$2:$H$60)*((($A13-Taches!$H$2:$H$60+1)&gt;=Taches!$E$2:$E$60)+(($A13-Taches!$H$2:$H$60+1)&lt;Taches!$E$2:$E$60)*($A13-Taches!$H$2:$H$60+1)/Taches!$E$2:$E$60)*Taches!$G$2:$G$60),0)</f>
        <v>0</v>
      </c>
      <c r="H13" s="0" t="n">
        <f aca="false">ROUND(SUMPRODUCT((Taches!$B$2:$B$60="LOT-07")*($A13&gt;=Taches!$H$2:$H$60)*((($A13-Taches!$H$2:$H$60+1)&gt;=Taches!$E$2:$E$60)+(($A13-Taches!$H$2:$H$60+1)&lt;Taches!$E$2:$E$60)*($A13-Taches!$H$2:$H$60+1)/Taches!$E$2:$E$60)*Taches!$G$2:$G$60),0)</f>
        <v>0</v>
      </c>
      <c r="I13" s="0" t="n">
        <f aca="false">ROUND(SUMPRODUCT((Taches!$B$2:$B$60="LOT-08")*($A13&gt;=Taches!$H$2:$H$60)*((($A13-Taches!$H$2:$H$60+1)&gt;=Taches!$E$2:$E$60)+(($A13-Taches!$H$2:$H$60+1)&lt;Taches!$E$2:$E$60)*($A13-Taches!$H$2:$H$60+1)/Taches!$E$2:$E$60)*Taches!$G$2:$G$60),0)</f>
        <v>0</v>
      </c>
      <c r="J13" s="0" t="n">
        <f aca="false">SUM(B13:I13)</f>
        <v>22597333</v>
      </c>
    </row>
    <row r="14" customFormat="false" ht="15" hidden="false" customHeight="false" outlineLevel="0" collapsed="false">
      <c r="A14" s="0" t="n">
        <v>12</v>
      </c>
      <c r="B14" s="0" t="n">
        <f aca="false">ROUND(SUMPRODUCT((Taches!$B$2:$B$60="LOT-01")*($A14&gt;=Taches!$H$2:$H$60)*((($A14-Taches!$H$2:$H$60+1)&gt;=Taches!$E$2:$E$60)+(($A14-Taches!$H$2:$H$60+1)&lt;Taches!$E$2:$E$60)*($A14-Taches!$H$2:$H$60+1)/Taches!$E$2:$E$60)*Taches!$G$2:$G$60),0)</f>
        <v>21830000</v>
      </c>
      <c r="C14" s="0" t="n">
        <f aca="false">ROUND(SUMPRODUCT((Taches!$B$2:$B$60="LOT-02")*($A14&gt;=Taches!$H$2:$H$60)*((($A14-Taches!$H$2:$H$60+1)&gt;=Taches!$E$2:$E$60)+(($A14-Taches!$H$2:$H$60+1)&lt;Taches!$E$2:$E$60)*($A14-Taches!$H$2:$H$60+1)/Taches!$E$2:$E$60)*Taches!$G$2:$G$60),0)</f>
        <v>3096000</v>
      </c>
      <c r="D14" s="0" t="n">
        <f aca="false">ROUND(SUMPRODUCT((Taches!$B$2:$B$60="LOT-03")*($A14&gt;=Taches!$H$2:$H$60)*((($A14-Taches!$H$2:$H$60+1)&gt;=Taches!$E$2:$E$60)+(($A14-Taches!$H$2:$H$60+1)&lt;Taches!$E$2:$E$60)*($A14-Taches!$H$2:$H$60+1)/Taches!$E$2:$E$60)*Taches!$G$2:$G$60),0)</f>
        <v>0</v>
      </c>
      <c r="E14" s="0" t="n">
        <f aca="false">ROUND(SUMPRODUCT((Taches!$B$2:$B$60="LOT-04")*($A14&gt;=Taches!$H$2:$H$60)*((($A14-Taches!$H$2:$H$60+1)&gt;=Taches!$E$2:$E$60)+(($A14-Taches!$H$2:$H$60+1)&lt;Taches!$E$2:$E$60)*($A14-Taches!$H$2:$H$60+1)/Taches!$E$2:$E$60)*Taches!$G$2:$G$60),0)</f>
        <v>0</v>
      </c>
      <c r="F14" s="0" t="n">
        <f aca="false">ROUND(SUMPRODUCT((Taches!$B$2:$B$60="LOT-05")*($A14&gt;=Taches!$H$2:$H$60)*((($A14-Taches!$H$2:$H$60+1)&gt;=Taches!$E$2:$E$60)+(($A14-Taches!$H$2:$H$60+1)&lt;Taches!$E$2:$E$60)*($A14-Taches!$H$2:$H$60+1)/Taches!$E$2:$E$60)*Taches!$G$2:$G$60),0)</f>
        <v>0</v>
      </c>
      <c r="G14" s="0" t="n">
        <f aca="false">ROUND(SUMPRODUCT((Taches!$B$2:$B$60="LOT-06")*($A14&gt;=Taches!$H$2:$H$60)*((($A14-Taches!$H$2:$H$60+1)&gt;=Taches!$E$2:$E$60)+(($A14-Taches!$H$2:$H$60+1)&lt;Taches!$E$2:$E$60)*($A14-Taches!$H$2:$H$60+1)/Taches!$E$2:$E$60)*Taches!$G$2:$G$60),0)</f>
        <v>0</v>
      </c>
      <c r="H14" s="0" t="n">
        <f aca="false">ROUND(SUMPRODUCT((Taches!$B$2:$B$60="LOT-07")*($A14&gt;=Taches!$H$2:$H$60)*((($A14-Taches!$H$2:$H$60+1)&gt;=Taches!$E$2:$E$60)+(($A14-Taches!$H$2:$H$60+1)&lt;Taches!$E$2:$E$60)*($A14-Taches!$H$2:$H$60+1)/Taches!$E$2:$E$60)*Taches!$G$2:$G$60),0)</f>
        <v>0</v>
      </c>
      <c r="I14" s="0" t="n">
        <f aca="false">ROUND(SUMPRODUCT((Taches!$B$2:$B$60="LOT-08")*($A14&gt;=Taches!$H$2:$H$60)*((($A14-Taches!$H$2:$H$60+1)&gt;=Taches!$E$2:$E$60)+(($A14-Taches!$H$2:$H$60+1)&lt;Taches!$E$2:$E$60)*($A14-Taches!$H$2:$H$60+1)/Taches!$E$2:$E$60)*Taches!$G$2:$G$60),0)</f>
        <v>0</v>
      </c>
      <c r="J14" s="0" t="n">
        <f aca="false">SUM(B14:I14)</f>
        <v>24926000</v>
      </c>
    </row>
    <row r="15" customFormat="false" ht="15" hidden="false" customHeight="false" outlineLevel="0" collapsed="false">
      <c r="A15" s="0" t="n">
        <v>13</v>
      </c>
      <c r="B15" s="0" t="n">
        <f aca="false">ROUND(SUMPRODUCT((Taches!$B$2:$B$60="LOT-01")*($A15&gt;=Taches!$H$2:$H$60)*((($A15-Taches!$H$2:$H$60+1)&gt;=Taches!$E$2:$E$60)+(($A15-Taches!$H$2:$H$60+1)&lt;Taches!$E$2:$E$60)*($A15-Taches!$H$2:$H$60+1)/Taches!$E$2:$E$60)*Taches!$G$2:$G$60),0)</f>
        <v>23126667</v>
      </c>
      <c r="C15" s="0" t="n">
        <f aca="false">ROUND(SUMPRODUCT((Taches!$B$2:$B$60="LOT-02")*($A15&gt;=Taches!$H$2:$H$60)*((($A15-Taches!$H$2:$H$60+1)&gt;=Taches!$E$2:$E$60)+(($A15-Taches!$H$2:$H$60+1)&lt;Taches!$E$2:$E$60)*($A15-Taches!$H$2:$H$60+1)/Taches!$E$2:$E$60)*Taches!$G$2:$G$60),0)</f>
        <v>4128000</v>
      </c>
      <c r="D15" s="0" t="n">
        <f aca="false">ROUND(SUMPRODUCT((Taches!$B$2:$B$60="LOT-03")*($A15&gt;=Taches!$H$2:$H$60)*((($A15-Taches!$H$2:$H$60+1)&gt;=Taches!$E$2:$E$60)+(($A15-Taches!$H$2:$H$60+1)&lt;Taches!$E$2:$E$60)*($A15-Taches!$H$2:$H$60+1)/Taches!$E$2:$E$60)*Taches!$G$2:$G$60),0)</f>
        <v>0</v>
      </c>
      <c r="E15" s="0" t="n">
        <f aca="false">ROUND(SUMPRODUCT((Taches!$B$2:$B$60="LOT-04")*($A15&gt;=Taches!$H$2:$H$60)*((($A15-Taches!$H$2:$H$60+1)&gt;=Taches!$E$2:$E$60)+(($A15-Taches!$H$2:$H$60+1)&lt;Taches!$E$2:$E$60)*($A15-Taches!$H$2:$H$60+1)/Taches!$E$2:$E$60)*Taches!$G$2:$G$60),0)</f>
        <v>0</v>
      </c>
      <c r="F15" s="0" t="n">
        <f aca="false">ROUND(SUMPRODUCT((Taches!$B$2:$B$60="LOT-05")*($A15&gt;=Taches!$H$2:$H$60)*((($A15-Taches!$H$2:$H$60+1)&gt;=Taches!$E$2:$E$60)+(($A15-Taches!$H$2:$H$60+1)&lt;Taches!$E$2:$E$60)*($A15-Taches!$H$2:$H$60+1)/Taches!$E$2:$E$60)*Taches!$G$2:$G$60),0)</f>
        <v>0</v>
      </c>
      <c r="G15" s="0" t="n">
        <f aca="false">ROUND(SUMPRODUCT((Taches!$B$2:$B$60="LOT-06")*($A15&gt;=Taches!$H$2:$H$60)*((($A15-Taches!$H$2:$H$60+1)&gt;=Taches!$E$2:$E$60)+(($A15-Taches!$H$2:$H$60+1)&lt;Taches!$E$2:$E$60)*($A15-Taches!$H$2:$H$60+1)/Taches!$E$2:$E$60)*Taches!$G$2:$G$60),0)</f>
        <v>0</v>
      </c>
      <c r="H15" s="0" t="n">
        <f aca="false">ROUND(SUMPRODUCT((Taches!$B$2:$B$60="LOT-07")*($A15&gt;=Taches!$H$2:$H$60)*((($A15-Taches!$H$2:$H$60+1)&gt;=Taches!$E$2:$E$60)+(($A15-Taches!$H$2:$H$60+1)&lt;Taches!$E$2:$E$60)*($A15-Taches!$H$2:$H$60+1)/Taches!$E$2:$E$60)*Taches!$G$2:$G$60),0)</f>
        <v>0</v>
      </c>
      <c r="I15" s="0" t="n">
        <f aca="false">ROUND(SUMPRODUCT((Taches!$B$2:$B$60="LOT-08")*($A15&gt;=Taches!$H$2:$H$60)*((($A15-Taches!$H$2:$H$60+1)&gt;=Taches!$E$2:$E$60)+(($A15-Taches!$H$2:$H$60+1)&lt;Taches!$E$2:$E$60)*($A15-Taches!$H$2:$H$60+1)/Taches!$E$2:$E$60)*Taches!$G$2:$G$60),0)</f>
        <v>0</v>
      </c>
      <c r="J15" s="0" t="n">
        <f aca="false">SUM(B15:I15)</f>
        <v>27254667</v>
      </c>
    </row>
    <row r="16" customFormat="false" ht="15" hidden="false" customHeight="false" outlineLevel="0" collapsed="false">
      <c r="A16" s="0" t="n">
        <v>14</v>
      </c>
      <c r="B16" s="0" t="n">
        <f aca="false">ROUND(SUMPRODUCT((Taches!$B$2:$B$60="LOT-01")*($A16&gt;=Taches!$H$2:$H$60)*((($A16-Taches!$H$2:$H$60+1)&gt;=Taches!$E$2:$E$60)+(($A16-Taches!$H$2:$H$60+1)&lt;Taches!$E$2:$E$60)*($A16-Taches!$H$2:$H$60+1)/Taches!$E$2:$E$60)*Taches!$G$2:$G$60),0)</f>
        <v>24423333</v>
      </c>
      <c r="C16" s="0" t="n">
        <f aca="false">ROUND(SUMPRODUCT((Taches!$B$2:$B$60="LOT-02")*($A16&gt;=Taches!$H$2:$H$60)*((($A16-Taches!$H$2:$H$60+1)&gt;=Taches!$E$2:$E$60)+(($A16-Taches!$H$2:$H$60+1)&lt;Taches!$E$2:$E$60)*($A16-Taches!$H$2:$H$60+1)/Taches!$E$2:$E$60)*Taches!$G$2:$G$60),0)</f>
        <v>5160000</v>
      </c>
      <c r="D16" s="0" t="n">
        <f aca="false">ROUND(SUMPRODUCT((Taches!$B$2:$B$60="LOT-03")*($A16&gt;=Taches!$H$2:$H$60)*((($A16-Taches!$H$2:$H$60+1)&gt;=Taches!$E$2:$E$60)+(($A16-Taches!$H$2:$H$60+1)&lt;Taches!$E$2:$E$60)*($A16-Taches!$H$2:$H$60+1)/Taches!$E$2:$E$60)*Taches!$G$2:$G$60),0)</f>
        <v>0</v>
      </c>
      <c r="E16" s="0" t="n">
        <f aca="false">ROUND(SUMPRODUCT((Taches!$B$2:$B$60="LOT-04")*($A16&gt;=Taches!$H$2:$H$60)*((($A16-Taches!$H$2:$H$60+1)&gt;=Taches!$E$2:$E$60)+(($A16-Taches!$H$2:$H$60+1)&lt;Taches!$E$2:$E$60)*($A16-Taches!$H$2:$H$60+1)/Taches!$E$2:$E$60)*Taches!$G$2:$G$60),0)</f>
        <v>0</v>
      </c>
      <c r="F16" s="0" t="n">
        <f aca="false">ROUND(SUMPRODUCT((Taches!$B$2:$B$60="LOT-05")*($A16&gt;=Taches!$H$2:$H$60)*((($A16-Taches!$H$2:$H$60+1)&gt;=Taches!$E$2:$E$60)+(($A16-Taches!$H$2:$H$60+1)&lt;Taches!$E$2:$E$60)*($A16-Taches!$H$2:$H$60+1)/Taches!$E$2:$E$60)*Taches!$G$2:$G$60),0)</f>
        <v>0</v>
      </c>
      <c r="G16" s="0" t="n">
        <f aca="false">ROUND(SUMPRODUCT((Taches!$B$2:$B$60="LOT-06")*($A16&gt;=Taches!$H$2:$H$60)*((($A16-Taches!$H$2:$H$60+1)&gt;=Taches!$E$2:$E$60)+(($A16-Taches!$H$2:$H$60+1)&lt;Taches!$E$2:$E$60)*($A16-Taches!$H$2:$H$60+1)/Taches!$E$2:$E$60)*Taches!$G$2:$G$60),0)</f>
        <v>0</v>
      </c>
      <c r="H16" s="0" t="n">
        <f aca="false">ROUND(SUMPRODUCT((Taches!$B$2:$B$60="LOT-07")*($A16&gt;=Taches!$H$2:$H$60)*((($A16-Taches!$H$2:$H$60+1)&gt;=Taches!$E$2:$E$60)+(($A16-Taches!$H$2:$H$60+1)&lt;Taches!$E$2:$E$60)*($A16-Taches!$H$2:$H$60+1)/Taches!$E$2:$E$60)*Taches!$G$2:$G$60),0)</f>
        <v>0</v>
      </c>
      <c r="I16" s="0" t="n">
        <f aca="false">ROUND(SUMPRODUCT((Taches!$B$2:$B$60="LOT-08")*($A16&gt;=Taches!$H$2:$H$60)*((($A16-Taches!$H$2:$H$60+1)&gt;=Taches!$E$2:$E$60)+(($A16-Taches!$H$2:$H$60+1)&lt;Taches!$E$2:$E$60)*($A16-Taches!$H$2:$H$60+1)/Taches!$E$2:$E$60)*Taches!$G$2:$G$60),0)</f>
        <v>0</v>
      </c>
      <c r="J16" s="0" t="n">
        <f aca="false">SUM(B16:I16)</f>
        <v>29583333</v>
      </c>
    </row>
    <row r="17" customFormat="false" ht="15" hidden="false" customHeight="false" outlineLevel="0" collapsed="false">
      <c r="A17" s="0" t="n">
        <v>15</v>
      </c>
      <c r="B17" s="0" t="n">
        <f aca="false">ROUND(SUMPRODUCT((Taches!$B$2:$B$60="LOT-01")*($A17&gt;=Taches!$H$2:$H$60)*((($A17-Taches!$H$2:$H$60+1)&gt;=Taches!$E$2:$E$60)+(($A17-Taches!$H$2:$H$60+1)&lt;Taches!$E$2:$E$60)*($A17-Taches!$H$2:$H$60+1)/Taches!$E$2:$E$60)*Taches!$G$2:$G$60),0)</f>
        <v>25720000</v>
      </c>
      <c r="C17" s="0" t="n">
        <f aca="false">ROUND(SUMPRODUCT((Taches!$B$2:$B$60="LOT-02")*($A17&gt;=Taches!$H$2:$H$60)*((($A17-Taches!$H$2:$H$60+1)&gt;=Taches!$E$2:$E$60)+(($A17-Taches!$H$2:$H$60+1)&lt;Taches!$E$2:$E$60)*($A17-Taches!$H$2:$H$60+1)/Taches!$E$2:$E$60)*Taches!$G$2:$G$60),0)</f>
        <v>6192000</v>
      </c>
      <c r="D17" s="0" t="n">
        <f aca="false">ROUND(SUMPRODUCT((Taches!$B$2:$B$60="LOT-03")*($A17&gt;=Taches!$H$2:$H$60)*((($A17-Taches!$H$2:$H$60+1)&gt;=Taches!$E$2:$E$60)+(($A17-Taches!$H$2:$H$60+1)&lt;Taches!$E$2:$E$60)*($A17-Taches!$H$2:$H$60+1)/Taches!$E$2:$E$60)*Taches!$G$2:$G$60),0)</f>
        <v>0</v>
      </c>
      <c r="E17" s="0" t="n">
        <f aca="false">ROUND(SUMPRODUCT((Taches!$B$2:$B$60="LOT-04")*($A17&gt;=Taches!$H$2:$H$60)*((($A17-Taches!$H$2:$H$60+1)&gt;=Taches!$E$2:$E$60)+(($A17-Taches!$H$2:$H$60+1)&lt;Taches!$E$2:$E$60)*($A17-Taches!$H$2:$H$60+1)/Taches!$E$2:$E$60)*Taches!$G$2:$G$60),0)</f>
        <v>0</v>
      </c>
      <c r="F17" s="0" t="n">
        <f aca="false">ROUND(SUMPRODUCT((Taches!$B$2:$B$60="LOT-05")*($A17&gt;=Taches!$H$2:$H$60)*((($A17-Taches!$H$2:$H$60+1)&gt;=Taches!$E$2:$E$60)+(($A17-Taches!$H$2:$H$60+1)&lt;Taches!$E$2:$E$60)*($A17-Taches!$H$2:$H$60+1)/Taches!$E$2:$E$60)*Taches!$G$2:$G$60),0)</f>
        <v>0</v>
      </c>
      <c r="G17" s="0" t="n">
        <f aca="false">ROUND(SUMPRODUCT((Taches!$B$2:$B$60="LOT-06")*($A17&gt;=Taches!$H$2:$H$60)*((($A17-Taches!$H$2:$H$60+1)&gt;=Taches!$E$2:$E$60)+(($A17-Taches!$H$2:$H$60+1)&lt;Taches!$E$2:$E$60)*($A17-Taches!$H$2:$H$60+1)/Taches!$E$2:$E$60)*Taches!$G$2:$G$60),0)</f>
        <v>0</v>
      </c>
      <c r="H17" s="0" t="n">
        <f aca="false">ROUND(SUMPRODUCT((Taches!$B$2:$B$60="LOT-07")*($A17&gt;=Taches!$H$2:$H$60)*((($A17-Taches!$H$2:$H$60+1)&gt;=Taches!$E$2:$E$60)+(($A17-Taches!$H$2:$H$60+1)&lt;Taches!$E$2:$E$60)*($A17-Taches!$H$2:$H$60+1)/Taches!$E$2:$E$60)*Taches!$G$2:$G$60),0)</f>
        <v>0</v>
      </c>
      <c r="I17" s="0" t="n">
        <f aca="false">ROUND(SUMPRODUCT((Taches!$B$2:$B$60="LOT-08")*($A17&gt;=Taches!$H$2:$H$60)*((($A17-Taches!$H$2:$H$60+1)&gt;=Taches!$E$2:$E$60)+(($A17-Taches!$H$2:$H$60+1)&lt;Taches!$E$2:$E$60)*($A17-Taches!$H$2:$H$60+1)/Taches!$E$2:$E$60)*Taches!$G$2:$G$60),0)</f>
        <v>0</v>
      </c>
      <c r="J17" s="0" t="n">
        <f aca="false">SUM(B17:I17)</f>
        <v>31912000</v>
      </c>
    </row>
    <row r="18" customFormat="false" ht="15" hidden="false" customHeight="false" outlineLevel="0" collapsed="false">
      <c r="A18" s="0" t="n">
        <v>16</v>
      </c>
      <c r="B18" s="0" t="n">
        <f aca="false">ROUND(SUMPRODUCT((Taches!$B$2:$B$60="LOT-01")*($A18&gt;=Taches!$H$2:$H$60)*((($A18-Taches!$H$2:$H$60+1)&gt;=Taches!$E$2:$E$60)+(($A18-Taches!$H$2:$H$60+1)&lt;Taches!$E$2:$E$60)*($A18-Taches!$H$2:$H$60+1)/Taches!$E$2:$E$60)*Taches!$G$2:$G$60),0)</f>
        <v>27016667</v>
      </c>
      <c r="C18" s="0" t="n">
        <f aca="false">ROUND(SUMPRODUCT((Taches!$B$2:$B$60="LOT-02")*($A18&gt;=Taches!$H$2:$H$60)*((($A18-Taches!$H$2:$H$60+1)&gt;=Taches!$E$2:$E$60)+(($A18-Taches!$H$2:$H$60+1)&lt;Taches!$E$2:$E$60)*($A18-Taches!$H$2:$H$60+1)/Taches!$E$2:$E$60)*Taches!$G$2:$G$60),0)</f>
        <v>7224000</v>
      </c>
      <c r="D18" s="0" t="n">
        <f aca="false">ROUND(SUMPRODUCT((Taches!$B$2:$B$60="LOT-03")*($A18&gt;=Taches!$H$2:$H$60)*((($A18-Taches!$H$2:$H$60+1)&gt;=Taches!$E$2:$E$60)+(($A18-Taches!$H$2:$H$60+1)&lt;Taches!$E$2:$E$60)*($A18-Taches!$H$2:$H$60+1)/Taches!$E$2:$E$60)*Taches!$G$2:$G$60),0)</f>
        <v>0</v>
      </c>
      <c r="E18" s="0" t="n">
        <f aca="false">ROUND(SUMPRODUCT((Taches!$B$2:$B$60="LOT-04")*($A18&gt;=Taches!$H$2:$H$60)*((($A18-Taches!$H$2:$H$60+1)&gt;=Taches!$E$2:$E$60)+(($A18-Taches!$H$2:$H$60+1)&lt;Taches!$E$2:$E$60)*($A18-Taches!$H$2:$H$60+1)/Taches!$E$2:$E$60)*Taches!$G$2:$G$60),0)</f>
        <v>0</v>
      </c>
      <c r="F18" s="0" t="n">
        <f aca="false">ROUND(SUMPRODUCT((Taches!$B$2:$B$60="LOT-05")*($A18&gt;=Taches!$H$2:$H$60)*((($A18-Taches!$H$2:$H$60+1)&gt;=Taches!$E$2:$E$60)+(($A18-Taches!$H$2:$H$60+1)&lt;Taches!$E$2:$E$60)*($A18-Taches!$H$2:$H$60+1)/Taches!$E$2:$E$60)*Taches!$G$2:$G$60),0)</f>
        <v>0</v>
      </c>
      <c r="G18" s="0" t="n">
        <f aca="false">ROUND(SUMPRODUCT((Taches!$B$2:$B$60="LOT-06")*($A18&gt;=Taches!$H$2:$H$60)*((($A18-Taches!$H$2:$H$60+1)&gt;=Taches!$E$2:$E$60)+(($A18-Taches!$H$2:$H$60+1)&lt;Taches!$E$2:$E$60)*($A18-Taches!$H$2:$H$60+1)/Taches!$E$2:$E$60)*Taches!$G$2:$G$60),0)</f>
        <v>0</v>
      </c>
      <c r="H18" s="0" t="n">
        <f aca="false">ROUND(SUMPRODUCT((Taches!$B$2:$B$60="LOT-07")*($A18&gt;=Taches!$H$2:$H$60)*((($A18-Taches!$H$2:$H$60+1)&gt;=Taches!$E$2:$E$60)+(($A18-Taches!$H$2:$H$60+1)&lt;Taches!$E$2:$E$60)*($A18-Taches!$H$2:$H$60+1)/Taches!$E$2:$E$60)*Taches!$G$2:$G$60),0)</f>
        <v>0</v>
      </c>
      <c r="I18" s="0" t="n">
        <f aca="false">ROUND(SUMPRODUCT((Taches!$B$2:$B$60="LOT-08")*($A18&gt;=Taches!$H$2:$H$60)*((($A18-Taches!$H$2:$H$60+1)&gt;=Taches!$E$2:$E$60)+(($A18-Taches!$H$2:$H$60+1)&lt;Taches!$E$2:$E$60)*($A18-Taches!$H$2:$H$60+1)/Taches!$E$2:$E$60)*Taches!$G$2:$G$60),0)</f>
        <v>0</v>
      </c>
      <c r="J18" s="0" t="n">
        <f aca="false">SUM(B18:I18)</f>
        <v>34240667</v>
      </c>
    </row>
    <row r="19" customFormat="false" ht="15" hidden="false" customHeight="false" outlineLevel="0" collapsed="false">
      <c r="A19" s="0" t="n">
        <v>17</v>
      </c>
      <c r="B19" s="0" t="n">
        <f aca="false">ROUND(SUMPRODUCT((Taches!$B$2:$B$60="LOT-01")*($A19&gt;=Taches!$H$2:$H$60)*((($A19-Taches!$H$2:$H$60+1)&gt;=Taches!$E$2:$E$60)+(($A19-Taches!$H$2:$H$60+1)&lt;Taches!$E$2:$E$60)*($A19-Taches!$H$2:$H$60+1)/Taches!$E$2:$E$60)*Taches!$G$2:$G$60),0)</f>
        <v>28313333</v>
      </c>
      <c r="C19" s="0" t="n">
        <f aca="false">ROUND(SUMPRODUCT((Taches!$B$2:$B$60="LOT-02")*($A19&gt;=Taches!$H$2:$H$60)*((($A19-Taches!$H$2:$H$60+1)&gt;=Taches!$E$2:$E$60)+(($A19-Taches!$H$2:$H$60+1)&lt;Taches!$E$2:$E$60)*($A19-Taches!$H$2:$H$60+1)/Taches!$E$2:$E$60)*Taches!$G$2:$G$60),0)</f>
        <v>8256000</v>
      </c>
      <c r="D19" s="0" t="n">
        <f aca="false">ROUND(SUMPRODUCT((Taches!$B$2:$B$60="LOT-03")*($A19&gt;=Taches!$H$2:$H$60)*((($A19-Taches!$H$2:$H$60+1)&gt;=Taches!$E$2:$E$60)+(($A19-Taches!$H$2:$H$60+1)&lt;Taches!$E$2:$E$60)*($A19-Taches!$H$2:$H$60+1)/Taches!$E$2:$E$60)*Taches!$G$2:$G$60),0)</f>
        <v>0</v>
      </c>
      <c r="E19" s="0" t="n">
        <f aca="false">ROUND(SUMPRODUCT((Taches!$B$2:$B$60="LOT-04")*($A19&gt;=Taches!$H$2:$H$60)*((($A19-Taches!$H$2:$H$60+1)&gt;=Taches!$E$2:$E$60)+(($A19-Taches!$H$2:$H$60+1)&lt;Taches!$E$2:$E$60)*($A19-Taches!$H$2:$H$60+1)/Taches!$E$2:$E$60)*Taches!$G$2:$G$60),0)</f>
        <v>0</v>
      </c>
      <c r="F19" s="0" t="n">
        <f aca="false">ROUND(SUMPRODUCT((Taches!$B$2:$B$60="LOT-05")*($A19&gt;=Taches!$H$2:$H$60)*((($A19-Taches!$H$2:$H$60+1)&gt;=Taches!$E$2:$E$60)+(($A19-Taches!$H$2:$H$60+1)&lt;Taches!$E$2:$E$60)*($A19-Taches!$H$2:$H$60+1)/Taches!$E$2:$E$60)*Taches!$G$2:$G$60),0)</f>
        <v>0</v>
      </c>
      <c r="G19" s="0" t="n">
        <f aca="false">ROUND(SUMPRODUCT((Taches!$B$2:$B$60="LOT-06")*($A19&gt;=Taches!$H$2:$H$60)*((($A19-Taches!$H$2:$H$60+1)&gt;=Taches!$E$2:$E$60)+(($A19-Taches!$H$2:$H$60+1)&lt;Taches!$E$2:$E$60)*($A19-Taches!$H$2:$H$60+1)/Taches!$E$2:$E$60)*Taches!$G$2:$G$60),0)</f>
        <v>0</v>
      </c>
      <c r="H19" s="0" t="n">
        <f aca="false">ROUND(SUMPRODUCT((Taches!$B$2:$B$60="LOT-07")*($A19&gt;=Taches!$H$2:$H$60)*((($A19-Taches!$H$2:$H$60+1)&gt;=Taches!$E$2:$E$60)+(($A19-Taches!$H$2:$H$60+1)&lt;Taches!$E$2:$E$60)*($A19-Taches!$H$2:$H$60+1)/Taches!$E$2:$E$60)*Taches!$G$2:$G$60),0)</f>
        <v>0</v>
      </c>
      <c r="I19" s="0" t="n">
        <f aca="false">ROUND(SUMPRODUCT((Taches!$B$2:$B$60="LOT-08")*($A19&gt;=Taches!$H$2:$H$60)*((($A19-Taches!$H$2:$H$60+1)&gt;=Taches!$E$2:$E$60)+(($A19-Taches!$H$2:$H$60+1)&lt;Taches!$E$2:$E$60)*($A19-Taches!$H$2:$H$60+1)/Taches!$E$2:$E$60)*Taches!$G$2:$G$60),0)</f>
        <v>0</v>
      </c>
      <c r="J19" s="0" t="n">
        <f aca="false">SUM(B19:I19)</f>
        <v>36569333</v>
      </c>
    </row>
    <row r="20" customFormat="false" ht="15" hidden="false" customHeight="false" outlineLevel="0" collapsed="false">
      <c r="A20" s="0" t="n">
        <v>18</v>
      </c>
      <c r="B20" s="0" t="n">
        <f aca="false">ROUND(SUMPRODUCT((Taches!$B$2:$B$60="LOT-01")*($A20&gt;=Taches!$H$2:$H$60)*((($A20-Taches!$H$2:$H$60+1)&gt;=Taches!$E$2:$E$60)+(($A20-Taches!$H$2:$H$60+1)&lt;Taches!$E$2:$E$60)*($A20-Taches!$H$2:$H$60+1)/Taches!$E$2:$E$60)*Taches!$G$2:$G$60),0)</f>
        <v>29610000</v>
      </c>
      <c r="C20" s="0" t="n">
        <f aca="false">ROUND(SUMPRODUCT((Taches!$B$2:$B$60="LOT-02")*($A20&gt;=Taches!$H$2:$H$60)*((($A20-Taches!$H$2:$H$60+1)&gt;=Taches!$E$2:$E$60)+(($A20-Taches!$H$2:$H$60+1)&lt;Taches!$E$2:$E$60)*($A20-Taches!$H$2:$H$60+1)/Taches!$E$2:$E$60)*Taches!$G$2:$G$60),0)</f>
        <v>10012667</v>
      </c>
      <c r="D20" s="0" t="n">
        <f aca="false">ROUND(SUMPRODUCT((Taches!$B$2:$B$60="LOT-03")*($A20&gt;=Taches!$H$2:$H$60)*((($A20-Taches!$H$2:$H$60+1)&gt;=Taches!$E$2:$E$60)+(($A20-Taches!$H$2:$H$60+1)&lt;Taches!$E$2:$E$60)*($A20-Taches!$H$2:$H$60+1)/Taches!$E$2:$E$60)*Taches!$G$2:$G$60),0)</f>
        <v>0</v>
      </c>
      <c r="E20" s="0" t="n">
        <f aca="false">ROUND(SUMPRODUCT((Taches!$B$2:$B$60="LOT-04")*($A20&gt;=Taches!$H$2:$H$60)*((($A20-Taches!$H$2:$H$60+1)&gt;=Taches!$E$2:$E$60)+(($A20-Taches!$H$2:$H$60+1)&lt;Taches!$E$2:$E$60)*($A20-Taches!$H$2:$H$60+1)/Taches!$E$2:$E$60)*Taches!$G$2:$G$60),0)</f>
        <v>0</v>
      </c>
      <c r="F20" s="0" t="n">
        <f aca="false">ROUND(SUMPRODUCT((Taches!$B$2:$B$60="LOT-05")*($A20&gt;=Taches!$H$2:$H$60)*((($A20-Taches!$H$2:$H$60+1)&gt;=Taches!$E$2:$E$60)+(($A20-Taches!$H$2:$H$60+1)&lt;Taches!$E$2:$E$60)*($A20-Taches!$H$2:$H$60+1)/Taches!$E$2:$E$60)*Taches!$G$2:$G$60),0)</f>
        <v>0</v>
      </c>
      <c r="G20" s="0" t="n">
        <f aca="false">ROUND(SUMPRODUCT((Taches!$B$2:$B$60="LOT-06")*($A20&gt;=Taches!$H$2:$H$60)*((($A20-Taches!$H$2:$H$60+1)&gt;=Taches!$E$2:$E$60)+(($A20-Taches!$H$2:$H$60+1)&lt;Taches!$E$2:$E$60)*($A20-Taches!$H$2:$H$60+1)/Taches!$E$2:$E$60)*Taches!$G$2:$G$60),0)</f>
        <v>0</v>
      </c>
      <c r="H20" s="0" t="n">
        <f aca="false">ROUND(SUMPRODUCT((Taches!$B$2:$B$60="LOT-07")*($A20&gt;=Taches!$H$2:$H$60)*((($A20-Taches!$H$2:$H$60+1)&gt;=Taches!$E$2:$E$60)+(($A20-Taches!$H$2:$H$60+1)&lt;Taches!$E$2:$E$60)*($A20-Taches!$H$2:$H$60+1)/Taches!$E$2:$E$60)*Taches!$G$2:$G$60),0)</f>
        <v>0</v>
      </c>
      <c r="I20" s="0" t="n">
        <f aca="false">ROUND(SUMPRODUCT((Taches!$B$2:$B$60="LOT-08")*($A20&gt;=Taches!$H$2:$H$60)*((($A20-Taches!$H$2:$H$60+1)&gt;=Taches!$E$2:$E$60)+(($A20-Taches!$H$2:$H$60+1)&lt;Taches!$E$2:$E$60)*($A20-Taches!$H$2:$H$60+1)/Taches!$E$2:$E$60)*Taches!$G$2:$G$60),0)</f>
        <v>0</v>
      </c>
      <c r="J20" s="0" t="n">
        <f aca="false">SUM(B20:I20)</f>
        <v>39622667</v>
      </c>
    </row>
    <row r="21" customFormat="false" ht="15" hidden="false" customHeight="false" outlineLevel="0" collapsed="false">
      <c r="A21" s="0" t="n">
        <v>19</v>
      </c>
      <c r="B21" s="0" t="n">
        <f aca="false">ROUND(SUMPRODUCT((Taches!$B$2:$B$60="LOT-01")*($A21&gt;=Taches!$H$2:$H$60)*((($A21-Taches!$H$2:$H$60+1)&gt;=Taches!$E$2:$E$60)+(($A21-Taches!$H$2:$H$60+1)&lt;Taches!$E$2:$E$60)*($A21-Taches!$H$2:$H$60+1)/Taches!$E$2:$E$60)*Taches!$G$2:$G$60),0)</f>
        <v>30906667</v>
      </c>
      <c r="C21" s="0" t="n">
        <f aca="false">ROUND(SUMPRODUCT((Taches!$B$2:$B$60="LOT-02")*($A21&gt;=Taches!$H$2:$H$60)*((($A21-Taches!$H$2:$H$60+1)&gt;=Taches!$E$2:$E$60)+(($A21-Taches!$H$2:$H$60+1)&lt;Taches!$E$2:$E$60)*($A21-Taches!$H$2:$H$60+1)/Taches!$E$2:$E$60)*Taches!$G$2:$G$60),0)</f>
        <v>11769333</v>
      </c>
      <c r="D21" s="0" t="n">
        <f aca="false">ROUND(SUMPRODUCT((Taches!$B$2:$B$60="LOT-03")*($A21&gt;=Taches!$H$2:$H$60)*((($A21-Taches!$H$2:$H$60+1)&gt;=Taches!$E$2:$E$60)+(($A21-Taches!$H$2:$H$60+1)&lt;Taches!$E$2:$E$60)*($A21-Taches!$H$2:$H$60+1)/Taches!$E$2:$E$60)*Taches!$G$2:$G$60),0)</f>
        <v>0</v>
      </c>
      <c r="E21" s="0" t="n">
        <f aca="false">ROUND(SUMPRODUCT((Taches!$B$2:$B$60="LOT-04")*($A21&gt;=Taches!$H$2:$H$60)*((($A21-Taches!$H$2:$H$60+1)&gt;=Taches!$E$2:$E$60)+(($A21-Taches!$H$2:$H$60+1)&lt;Taches!$E$2:$E$60)*($A21-Taches!$H$2:$H$60+1)/Taches!$E$2:$E$60)*Taches!$G$2:$G$60),0)</f>
        <v>0</v>
      </c>
      <c r="F21" s="0" t="n">
        <f aca="false">ROUND(SUMPRODUCT((Taches!$B$2:$B$60="LOT-05")*($A21&gt;=Taches!$H$2:$H$60)*((($A21-Taches!$H$2:$H$60+1)&gt;=Taches!$E$2:$E$60)+(($A21-Taches!$H$2:$H$60+1)&lt;Taches!$E$2:$E$60)*($A21-Taches!$H$2:$H$60+1)/Taches!$E$2:$E$60)*Taches!$G$2:$G$60),0)</f>
        <v>0</v>
      </c>
      <c r="G21" s="0" t="n">
        <f aca="false">ROUND(SUMPRODUCT((Taches!$B$2:$B$60="LOT-06")*($A21&gt;=Taches!$H$2:$H$60)*((($A21-Taches!$H$2:$H$60+1)&gt;=Taches!$E$2:$E$60)+(($A21-Taches!$H$2:$H$60+1)&lt;Taches!$E$2:$E$60)*($A21-Taches!$H$2:$H$60+1)/Taches!$E$2:$E$60)*Taches!$G$2:$G$60),0)</f>
        <v>0</v>
      </c>
      <c r="H21" s="0" t="n">
        <f aca="false">ROUND(SUMPRODUCT((Taches!$B$2:$B$60="LOT-07")*($A21&gt;=Taches!$H$2:$H$60)*((($A21-Taches!$H$2:$H$60+1)&gt;=Taches!$E$2:$E$60)+(($A21-Taches!$H$2:$H$60+1)&lt;Taches!$E$2:$E$60)*($A21-Taches!$H$2:$H$60+1)/Taches!$E$2:$E$60)*Taches!$G$2:$G$60),0)</f>
        <v>0</v>
      </c>
      <c r="I21" s="0" t="n">
        <f aca="false">ROUND(SUMPRODUCT((Taches!$B$2:$B$60="LOT-08")*($A21&gt;=Taches!$H$2:$H$60)*((($A21-Taches!$H$2:$H$60+1)&gt;=Taches!$E$2:$E$60)+(($A21-Taches!$H$2:$H$60+1)&lt;Taches!$E$2:$E$60)*($A21-Taches!$H$2:$H$60+1)/Taches!$E$2:$E$60)*Taches!$G$2:$G$60),0)</f>
        <v>0</v>
      </c>
      <c r="J21" s="0" t="n">
        <f aca="false">SUM(B21:I21)</f>
        <v>42676000</v>
      </c>
    </row>
    <row r="22" customFormat="false" ht="15" hidden="false" customHeight="false" outlineLevel="0" collapsed="false">
      <c r="A22" s="0" t="n">
        <v>20</v>
      </c>
      <c r="B22" s="0" t="n">
        <f aca="false">ROUND(SUMPRODUCT((Taches!$B$2:$B$60="LOT-01")*($A22&gt;=Taches!$H$2:$H$60)*((($A22-Taches!$H$2:$H$60+1)&gt;=Taches!$E$2:$E$60)+(($A22-Taches!$H$2:$H$60+1)&lt;Taches!$E$2:$E$60)*($A22-Taches!$H$2:$H$60+1)/Taches!$E$2:$E$60)*Taches!$G$2:$G$60),0)</f>
        <v>32203333</v>
      </c>
      <c r="C22" s="0" t="n">
        <f aca="false">ROUND(SUMPRODUCT((Taches!$B$2:$B$60="LOT-02")*($A22&gt;=Taches!$H$2:$H$60)*((($A22-Taches!$H$2:$H$60+1)&gt;=Taches!$E$2:$E$60)+(($A22-Taches!$H$2:$H$60+1)&lt;Taches!$E$2:$E$60)*($A22-Taches!$H$2:$H$60+1)/Taches!$E$2:$E$60)*Taches!$G$2:$G$60),0)</f>
        <v>13526000</v>
      </c>
      <c r="D22" s="0" t="n">
        <f aca="false">ROUND(SUMPRODUCT((Taches!$B$2:$B$60="LOT-03")*($A22&gt;=Taches!$H$2:$H$60)*((($A22-Taches!$H$2:$H$60+1)&gt;=Taches!$E$2:$E$60)+(($A22-Taches!$H$2:$H$60+1)&lt;Taches!$E$2:$E$60)*($A22-Taches!$H$2:$H$60+1)/Taches!$E$2:$E$60)*Taches!$G$2:$G$60),0)</f>
        <v>0</v>
      </c>
      <c r="E22" s="0" t="n">
        <f aca="false">ROUND(SUMPRODUCT((Taches!$B$2:$B$60="LOT-04")*($A22&gt;=Taches!$H$2:$H$60)*((($A22-Taches!$H$2:$H$60+1)&gt;=Taches!$E$2:$E$60)+(($A22-Taches!$H$2:$H$60+1)&lt;Taches!$E$2:$E$60)*($A22-Taches!$H$2:$H$60+1)/Taches!$E$2:$E$60)*Taches!$G$2:$G$60),0)</f>
        <v>0</v>
      </c>
      <c r="F22" s="0" t="n">
        <f aca="false">ROUND(SUMPRODUCT((Taches!$B$2:$B$60="LOT-05")*($A22&gt;=Taches!$H$2:$H$60)*((($A22-Taches!$H$2:$H$60+1)&gt;=Taches!$E$2:$E$60)+(($A22-Taches!$H$2:$H$60+1)&lt;Taches!$E$2:$E$60)*($A22-Taches!$H$2:$H$60+1)/Taches!$E$2:$E$60)*Taches!$G$2:$G$60),0)</f>
        <v>0</v>
      </c>
      <c r="G22" s="0" t="n">
        <f aca="false">ROUND(SUMPRODUCT((Taches!$B$2:$B$60="LOT-06")*($A22&gt;=Taches!$H$2:$H$60)*((($A22-Taches!$H$2:$H$60+1)&gt;=Taches!$E$2:$E$60)+(($A22-Taches!$H$2:$H$60+1)&lt;Taches!$E$2:$E$60)*($A22-Taches!$H$2:$H$60+1)/Taches!$E$2:$E$60)*Taches!$G$2:$G$60),0)</f>
        <v>0</v>
      </c>
      <c r="H22" s="0" t="n">
        <f aca="false">ROUND(SUMPRODUCT((Taches!$B$2:$B$60="LOT-07")*($A22&gt;=Taches!$H$2:$H$60)*((($A22-Taches!$H$2:$H$60+1)&gt;=Taches!$E$2:$E$60)+(($A22-Taches!$H$2:$H$60+1)&lt;Taches!$E$2:$E$60)*($A22-Taches!$H$2:$H$60+1)/Taches!$E$2:$E$60)*Taches!$G$2:$G$60),0)</f>
        <v>0</v>
      </c>
      <c r="I22" s="0" t="n">
        <f aca="false">ROUND(SUMPRODUCT((Taches!$B$2:$B$60="LOT-08")*($A22&gt;=Taches!$H$2:$H$60)*((($A22-Taches!$H$2:$H$60+1)&gt;=Taches!$E$2:$E$60)+(($A22-Taches!$H$2:$H$60+1)&lt;Taches!$E$2:$E$60)*($A22-Taches!$H$2:$H$60+1)/Taches!$E$2:$E$60)*Taches!$G$2:$G$60),0)</f>
        <v>0</v>
      </c>
      <c r="J22" s="0" t="n">
        <f aca="false">SUM(B22:I22)</f>
        <v>45729333</v>
      </c>
    </row>
    <row r="23" customFormat="false" ht="15" hidden="false" customHeight="false" outlineLevel="0" collapsed="false">
      <c r="A23" s="0" t="n">
        <v>21</v>
      </c>
      <c r="B23" s="0" t="n">
        <f aca="false">ROUND(SUMPRODUCT((Taches!$B$2:$B$60="LOT-01")*($A23&gt;=Taches!$H$2:$H$60)*((($A23-Taches!$H$2:$H$60+1)&gt;=Taches!$E$2:$E$60)+(($A23-Taches!$H$2:$H$60+1)&lt;Taches!$E$2:$E$60)*($A23-Taches!$H$2:$H$60+1)/Taches!$E$2:$E$60)*Taches!$G$2:$G$60),0)</f>
        <v>33500000</v>
      </c>
      <c r="C23" s="0" t="n">
        <f aca="false">ROUND(SUMPRODUCT((Taches!$B$2:$B$60="LOT-02")*($A23&gt;=Taches!$H$2:$H$60)*((($A23-Taches!$H$2:$H$60+1)&gt;=Taches!$E$2:$E$60)+(($A23-Taches!$H$2:$H$60+1)&lt;Taches!$E$2:$E$60)*($A23-Taches!$H$2:$H$60+1)/Taches!$E$2:$E$60)*Taches!$G$2:$G$60),0)</f>
        <v>15282667</v>
      </c>
      <c r="D23" s="0" t="n">
        <f aca="false">ROUND(SUMPRODUCT((Taches!$B$2:$B$60="LOT-03")*($A23&gt;=Taches!$H$2:$H$60)*((($A23-Taches!$H$2:$H$60+1)&gt;=Taches!$E$2:$E$60)+(($A23-Taches!$H$2:$H$60+1)&lt;Taches!$E$2:$E$60)*($A23-Taches!$H$2:$H$60+1)/Taches!$E$2:$E$60)*Taches!$G$2:$G$60),0)</f>
        <v>0</v>
      </c>
      <c r="E23" s="0" t="n">
        <f aca="false">ROUND(SUMPRODUCT((Taches!$B$2:$B$60="LOT-04")*($A23&gt;=Taches!$H$2:$H$60)*((($A23-Taches!$H$2:$H$60+1)&gt;=Taches!$E$2:$E$60)+(($A23-Taches!$H$2:$H$60+1)&lt;Taches!$E$2:$E$60)*($A23-Taches!$H$2:$H$60+1)/Taches!$E$2:$E$60)*Taches!$G$2:$G$60),0)</f>
        <v>0</v>
      </c>
      <c r="F23" s="0" t="n">
        <f aca="false">ROUND(SUMPRODUCT((Taches!$B$2:$B$60="LOT-05")*($A23&gt;=Taches!$H$2:$H$60)*((($A23-Taches!$H$2:$H$60+1)&gt;=Taches!$E$2:$E$60)+(($A23-Taches!$H$2:$H$60+1)&lt;Taches!$E$2:$E$60)*($A23-Taches!$H$2:$H$60+1)/Taches!$E$2:$E$60)*Taches!$G$2:$G$60),0)</f>
        <v>0</v>
      </c>
      <c r="G23" s="0" t="n">
        <f aca="false">ROUND(SUMPRODUCT((Taches!$B$2:$B$60="LOT-06")*($A23&gt;=Taches!$H$2:$H$60)*((($A23-Taches!$H$2:$H$60+1)&gt;=Taches!$E$2:$E$60)+(($A23-Taches!$H$2:$H$60+1)&lt;Taches!$E$2:$E$60)*($A23-Taches!$H$2:$H$60+1)/Taches!$E$2:$E$60)*Taches!$G$2:$G$60),0)</f>
        <v>0</v>
      </c>
      <c r="H23" s="0" t="n">
        <f aca="false">ROUND(SUMPRODUCT((Taches!$B$2:$B$60="LOT-07")*($A23&gt;=Taches!$H$2:$H$60)*((($A23-Taches!$H$2:$H$60+1)&gt;=Taches!$E$2:$E$60)+(($A23-Taches!$H$2:$H$60+1)&lt;Taches!$E$2:$E$60)*($A23-Taches!$H$2:$H$60+1)/Taches!$E$2:$E$60)*Taches!$G$2:$G$60),0)</f>
        <v>0</v>
      </c>
      <c r="I23" s="0" t="n">
        <f aca="false">ROUND(SUMPRODUCT((Taches!$B$2:$B$60="LOT-08")*($A23&gt;=Taches!$H$2:$H$60)*((($A23-Taches!$H$2:$H$60+1)&gt;=Taches!$E$2:$E$60)+(($A23-Taches!$H$2:$H$60+1)&lt;Taches!$E$2:$E$60)*($A23-Taches!$H$2:$H$60+1)/Taches!$E$2:$E$60)*Taches!$G$2:$G$60),0)</f>
        <v>0</v>
      </c>
      <c r="J23" s="0" t="n">
        <f aca="false">SUM(B23:I23)</f>
        <v>48782667</v>
      </c>
    </row>
    <row r="24" customFormat="false" ht="15" hidden="false" customHeight="false" outlineLevel="0" collapsed="false">
      <c r="A24" s="0" t="n">
        <v>22</v>
      </c>
      <c r="B24" s="0" t="n">
        <f aca="false">ROUND(SUMPRODUCT((Taches!$B$2:$B$60="LOT-01")*($A24&gt;=Taches!$H$2:$H$60)*((($A24-Taches!$H$2:$H$60+1)&gt;=Taches!$E$2:$E$60)+(($A24-Taches!$H$2:$H$60+1)&lt;Taches!$E$2:$E$60)*($A24-Taches!$H$2:$H$60+1)/Taches!$E$2:$E$60)*Taches!$G$2:$G$60),0)</f>
        <v>36960833</v>
      </c>
      <c r="C24" s="0" t="n">
        <f aca="false">ROUND(SUMPRODUCT((Taches!$B$2:$B$60="LOT-02")*($A24&gt;=Taches!$H$2:$H$60)*((($A24-Taches!$H$2:$H$60+1)&gt;=Taches!$E$2:$E$60)+(($A24-Taches!$H$2:$H$60+1)&lt;Taches!$E$2:$E$60)*($A24-Taches!$H$2:$H$60+1)/Taches!$E$2:$E$60)*Taches!$G$2:$G$60),0)</f>
        <v>17039333</v>
      </c>
      <c r="D24" s="0" t="n">
        <f aca="false">ROUND(SUMPRODUCT((Taches!$B$2:$B$60="LOT-03")*($A24&gt;=Taches!$H$2:$H$60)*((($A24-Taches!$H$2:$H$60+1)&gt;=Taches!$E$2:$E$60)+(($A24-Taches!$H$2:$H$60+1)&lt;Taches!$E$2:$E$60)*($A24-Taches!$H$2:$H$60+1)/Taches!$E$2:$E$60)*Taches!$G$2:$G$60),0)</f>
        <v>0</v>
      </c>
      <c r="E24" s="0" t="n">
        <f aca="false">ROUND(SUMPRODUCT((Taches!$B$2:$B$60="LOT-04")*($A24&gt;=Taches!$H$2:$H$60)*((($A24-Taches!$H$2:$H$60+1)&gt;=Taches!$E$2:$E$60)+(($A24-Taches!$H$2:$H$60+1)&lt;Taches!$E$2:$E$60)*($A24-Taches!$H$2:$H$60+1)/Taches!$E$2:$E$60)*Taches!$G$2:$G$60),0)</f>
        <v>0</v>
      </c>
      <c r="F24" s="0" t="n">
        <f aca="false">ROUND(SUMPRODUCT((Taches!$B$2:$B$60="LOT-05")*($A24&gt;=Taches!$H$2:$H$60)*((($A24-Taches!$H$2:$H$60+1)&gt;=Taches!$E$2:$E$60)+(($A24-Taches!$H$2:$H$60+1)&lt;Taches!$E$2:$E$60)*($A24-Taches!$H$2:$H$60+1)/Taches!$E$2:$E$60)*Taches!$G$2:$G$60),0)</f>
        <v>0</v>
      </c>
      <c r="G24" s="0" t="n">
        <f aca="false">ROUND(SUMPRODUCT((Taches!$B$2:$B$60="LOT-06")*($A24&gt;=Taches!$H$2:$H$60)*((($A24-Taches!$H$2:$H$60+1)&gt;=Taches!$E$2:$E$60)+(($A24-Taches!$H$2:$H$60+1)&lt;Taches!$E$2:$E$60)*($A24-Taches!$H$2:$H$60+1)/Taches!$E$2:$E$60)*Taches!$G$2:$G$60),0)</f>
        <v>0</v>
      </c>
      <c r="H24" s="0" t="n">
        <f aca="false">ROUND(SUMPRODUCT((Taches!$B$2:$B$60="LOT-07")*($A24&gt;=Taches!$H$2:$H$60)*((($A24-Taches!$H$2:$H$60+1)&gt;=Taches!$E$2:$E$60)+(($A24-Taches!$H$2:$H$60+1)&lt;Taches!$E$2:$E$60)*($A24-Taches!$H$2:$H$60+1)/Taches!$E$2:$E$60)*Taches!$G$2:$G$60),0)</f>
        <v>0</v>
      </c>
      <c r="I24" s="0" t="n">
        <f aca="false">ROUND(SUMPRODUCT((Taches!$B$2:$B$60="LOT-08")*($A24&gt;=Taches!$H$2:$H$60)*((($A24-Taches!$H$2:$H$60+1)&gt;=Taches!$E$2:$E$60)+(($A24-Taches!$H$2:$H$60+1)&lt;Taches!$E$2:$E$60)*($A24-Taches!$H$2:$H$60+1)/Taches!$E$2:$E$60)*Taches!$G$2:$G$60),0)</f>
        <v>0</v>
      </c>
      <c r="J24" s="0" t="n">
        <f aca="false">SUM(B24:I24)</f>
        <v>54000166</v>
      </c>
    </row>
    <row r="25" customFormat="false" ht="15" hidden="false" customHeight="false" outlineLevel="0" collapsed="false">
      <c r="A25" s="0" t="n">
        <v>23</v>
      </c>
      <c r="B25" s="0" t="n">
        <f aca="false">ROUND(SUMPRODUCT((Taches!$B$2:$B$60="LOT-01")*($A25&gt;=Taches!$H$2:$H$60)*((($A25-Taches!$H$2:$H$60+1)&gt;=Taches!$E$2:$E$60)+(($A25-Taches!$H$2:$H$60+1)&lt;Taches!$E$2:$E$60)*($A25-Taches!$H$2:$H$60+1)/Taches!$E$2:$E$60)*Taches!$G$2:$G$60),0)</f>
        <v>40421667</v>
      </c>
      <c r="C25" s="0" t="n">
        <f aca="false">ROUND(SUMPRODUCT((Taches!$B$2:$B$60="LOT-02")*($A25&gt;=Taches!$H$2:$H$60)*((($A25-Taches!$H$2:$H$60+1)&gt;=Taches!$E$2:$E$60)+(($A25-Taches!$H$2:$H$60+1)&lt;Taches!$E$2:$E$60)*($A25-Taches!$H$2:$H$60+1)/Taches!$E$2:$E$60)*Taches!$G$2:$G$60),0)</f>
        <v>18796000</v>
      </c>
      <c r="D25" s="0" t="n">
        <f aca="false">ROUND(SUMPRODUCT((Taches!$B$2:$B$60="LOT-03")*($A25&gt;=Taches!$H$2:$H$60)*((($A25-Taches!$H$2:$H$60+1)&gt;=Taches!$E$2:$E$60)+(($A25-Taches!$H$2:$H$60+1)&lt;Taches!$E$2:$E$60)*($A25-Taches!$H$2:$H$60+1)/Taches!$E$2:$E$60)*Taches!$G$2:$G$60),0)</f>
        <v>0</v>
      </c>
      <c r="E25" s="0" t="n">
        <f aca="false">ROUND(SUMPRODUCT((Taches!$B$2:$B$60="LOT-04")*($A25&gt;=Taches!$H$2:$H$60)*((($A25-Taches!$H$2:$H$60+1)&gt;=Taches!$E$2:$E$60)+(($A25-Taches!$H$2:$H$60+1)&lt;Taches!$E$2:$E$60)*($A25-Taches!$H$2:$H$60+1)/Taches!$E$2:$E$60)*Taches!$G$2:$G$60),0)</f>
        <v>0</v>
      </c>
      <c r="F25" s="0" t="n">
        <f aca="false">ROUND(SUMPRODUCT((Taches!$B$2:$B$60="LOT-05")*($A25&gt;=Taches!$H$2:$H$60)*((($A25-Taches!$H$2:$H$60+1)&gt;=Taches!$E$2:$E$60)+(($A25-Taches!$H$2:$H$60+1)&lt;Taches!$E$2:$E$60)*($A25-Taches!$H$2:$H$60+1)/Taches!$E$2:$E$60)*Taches!$G$2:$G$60),0)</f>
        <v>0</v>
      </c>
      <c r="G25" s="0" t="n">
        <f aca="false">ROUND(SUMPRODUCT((Taches!$B$2:$B$60="LOT-06")*($A25&gt;=Taches!$H$2:$H$60)*((($A25-Taches!$H$2:$H$60+1)&gt;=Taches!$E$2:$E$60)+(($A25-Taches!$H$2:$H$60+1)&lt;Taches!$E$2:$E$60)*($A25-Taches!$H$2:$H$60+1)/Taches!$E$2:$E$60)*Taches!$G$2:$G$60),0)</f>
        <v>0</v>
      </c>
      <c r="H25" s="0" t="n">
        <f aca="false">ROUND(SUMPRODUCT((Taches!$B$2:$B$60="LOT-07")*($A25&gt;=Taches!$H$2:$H$60)*((($A25-Taches!$H$2:$H$60+1)&gt;=Taches!$E$2:$E$60)+(($A25-Taches!$H$2:$H$60+1)&lt;Taches!$E$2:$E$60)*($A25-Taches!$H$2:$H$60+1)/Taches!$E$2:$E$60)*Taches!$G$2:$G$60),0)</f>
        <v>0</v>
      </c>
      <c r="I25" s="0" t="n">
        <f aca="false">ROUND(SUMPRODUCT((Taches!$B$2:$B$60="LOT-08")*($A25&gt;=Taches!$H$2:$H$60)*((($A25-Taches!$H$2:$H$60+1)&gt;=Taches!$E$2:$E$60)+(($A25-Taches!$H$2:$H$60+1)&lt;Taches!$E$2:$E$60)*($A25-Taches!$H$2:$H$60+1)/Taches!$E$2:$E$60)*Taches!$G$2:$G$60),0)</f>
        <v>0</v>
      </c>
      <c r="J25" s="0" t="n">
        <f aca="false">SUM(B25:I25)</f>
        <v>59217667</v>
      </c>
    </row>
    <row r="26" customFormat="false" ht="15" hidden="false" customHeight="false" outlineLevel="0" collapsed="false">
      <c r="A26" s="0" t="n">
        <v>24</v>
      </c>
      <c r="B26" s="0" t="n">
        <f aca="false">ROUND(SUMPRODUCT((Taches!$B$2:$B$60="LOT-01")*($A26&gt;=Taches!$H$2:$H$60)*((($A26-Taches!$H$2:$H$60+1)&gt;=Taches!$E$2:$E$60)+(($A26-Taches!$H$2:$H$60+1)&lt;Taches!$E$2:$E$60)*($A26-Taches!$H$2:$H$60+1)/Taches!$E$2:$E$60)*Taches!$G$2:$G$60),0)</f>
        <v>43882500</v>
      </c>
      <c r="C26" s="0" t="n">
        <f aca="false">ROUND(SUMPRODUCT((Taches!$B$2:$B$60="LOT-02")*($A26&gt;=Taches!$H$2:$H$60)*((($A26-Taches!$H$2:$H$60+1)&gt;=Taches!$E$2:$E$60)+(($A26-Taches!$H$2:$H$60+1)&lt;Taches!$E$2:$E$60)*($A26-Taches!$H$2:$H$60+1)/Taches!$E$2:$E$60)*Taches!$G$2:$G$60),0)</f>
        <v>20552667</v>
      </c>
      <c r="D26" s="0" t="n">
        <f aca="false">ROUND(SUMPRODUCT((Taches!$B$2:$B$60="LOT-03")*($A26&gt;=Taches!$H$2:$H$60)*((($A26-Taches!$H$2:$H$60+1)&gt;=Taches!$E$2:$E$60)+(($A26-Taches!$H$2:$H$60+1)&lt;Taches!$E$2:$E$60)*($A26-Taches!$H$2:$H$60+1)/Taches!$E$2:$E$60)*Taches!$G$2:$G$60),0)</f>
        <v>0</v>
      </c>
      <c r="E26" s="0" t="n">
        <f aca="false">ROUND(SUMPRODUCT((Taches!$B$2:$B$60="LOT-04")*($A26&gt;=Taches!$H$2:$H$60)*((($A26-Taches!$H$2:$H$60+1)&gt;=Taches!$E$2:$E$60)+(($A26-Taches!$H$2:$H$60+1)&lt;Taches!$E$2:$E$60)*($A26-Taches!$H$2:$H$60+1)/Taches!$E$2:$E$60)*Taches!$G$2:$G$60),0)</f>
        <v>0</v>
      </c>
      <c r="F26" s="0" t="n">
        <f aca="false">ROUND(SUMPRODUCT((Taches!$B$2:$B$60="LOT-05")*($A26&gt;=Taches!$H$2:$H$60)*((($A26-Taches!$H$2:$H$60+1)&gt;=Taches!$E$2:$E$60)+(($A26-Taches!$H$2:$H$60+1)&lt;Taches!$E$2:$E$60)*($A26-Taches!$H$2:$H$60+1)/Taches!$E$2:$E$60)*Taches!$G$2:$G$60),0)</f>
        <v>0</v>
      </c>
      <c r="G26" s="0" t="n">
        <f aca="false">ROUND(SUMPRODUCT((Taches!$B$2:$B$60="LOT-06")*($A26&gt;=Taches!$H$2:$H$60)*((($A26-Taches!$H$2:$H$60+1)&gt;=Taches!$E$2:$E$60)+(($A26-Taches!$H$2:$H$60+1)&lt;Taches!$E$2:$E$60)*($A26-Taches!$H$2:$H$60+1)/Taches!$E$2:$E$60)*Taches!$G$2:$G$60),0)</f>
        <v>0</v>
      </c>
      <c r="H26" s="0" t="n">
        <f aca="false">ROUND(SUMPRODUCT((Taches!$B$2:$B$60="LOT-07")*($A26&gt;=Taches!$H$2:$H$60)*((($A26-Taches!$H$2:$H$60+1)&gt;=Taches!$E$2:$E$60)+(($A26-Taches!$H$2:$H$60+1)&lt;Taches!$E$2:$E$60)*($A26-Taches!$H$2:$H$60+1)/Taches!$E$2:$E$60)*Taches!$G$2:$G$60),0)</f>
        <v>0</v>
      </c>
      <c r="I26" s="0" t="n">
        <f aca="false">ROUND(SUMPRODUCT((Taches!$B$2:$B$60="LOT-08")*($A26&gt;=Taches!$H$2:$H$60)*((($A26-Taches!$H$2:$H$60+1)&gt;=Taches!$E$2:$E$60)+(($A26-Taches!$H$2:$H$60+1)&lt;Taches!$E$2:$E$60)*($A26-Taches!$H$2:$H$60+1)/Taches!$E$2:$E$60)*Taches!$G$2:$G$60),0)</f>
        <v>0</v>
      </c>
      <c r="J26" s="0" t="n">
        <f aca="false">SUM(B26:I26)</f>
        <v>64435167</v>
      </c>
    </row>
    <row r="27" customFormat="false" ht="15" hidden="false" customHeight="false" outlineLevel="0" collapsed="false">
      <c r="A27" s="0" t="n">
        <v>25</v>
      </c>
      <c r="B27" s="0" t="n">
        <f aca="false">ROUND(SUMPRODUCT((Taches!$B$2:$B$60="LOT-01")*($A27&gt;=Taches!$H$2:$H$60)*((($A27-Taches!$H$2:$H$60+1)&gt;=Taches!$E$2:$E$60)+(($A27-Taches!$H$2:$H$60+1)&lt;Taches!$E$2:$E$60)*($A27-Taches!$H$2:$H$60+1)/Taches!$E$2:$E$60)*Taches!$G$2:$G$60),0)</f>
        <v>47343333</v>
      </c>
      <c r="C27" s="0" t="n">
        <f aca="false">ROUND(SUMPRODUCT((Taches!$B$2:$B$60="LOT-02")*($A27&gt;=Taches!$H$2:$H$60)*((($A27-Taches!$H$2:$H$60+1)&gt;=Taches!$E$2:$E$60)+(($A27-Taches!$H$2:$H$60+1)&lt;Taches!$E$2:$E$60)*($A27-Taches!$H$2:$H$60+1)/Taches!$E$2:$E$60)*Taches!$G$2:$G$60),0)</f>
        <v>22309333</v>
      </c>
      <c r="D27" s="0" t="n">
        <f aca="false">ROUND(SUMPRODUCT((Taches!$B$2:$B$60="LOT-03")*($A27&gt;=Taches!$H$2:$H$60)*((($A27-Taches!$H$2:$H$60+1)&gt;=Taches!$E$2:$E$60)+(($A27-Taches!$H$2:$H$60+1)&lt;Taches!$E$2:$E$60)*($A27-Taches!$H$2:$H$60+1)/Taches!$E$2:$E$60)*Taches!$G$2:$G$60),0)</f>
        <v>0</v>
      </c>
      <c r="E27" s="0" t="n">
        <f aca="false">ROUND(SUMPRODUCT((Taches!$B$2:$B$60="LOT-04")*($A27&gt;=Taches!$H$2:$H$60)*((($A27-Taches!$H$2:$H$60+1)&gt;=Taches!$E$2:$E$60)+(($A27-Taches!$H$2:$H$60+1)&lt;Taches!$E$2:$E$60)*($A27-Taches!$H$2:$H$60+1)/Taches!$E$2:$E$60)*Taches!$G$2:$G$60),0)</f>
        <v>0</v>
      </c>
      <c r="F27" s="0" t="n">
        <f aca="false">ROUND(SUMPRODUCT((Taches!$B$2:$B$60="LOT-05")*($A27&gt;=Taches!$H$2:$H$60)*((($A27-Taches!$H$2:$H$60+1)&gt;=Taches!$E$2:$E$60)+(($A27-Taches!$H$2:$H$60+1)&lt;Taches!$E$2:$E$60)*($A27-Taches!$H$2:$H$60+1)/Taches!$E$2:$E$60)*Taches!$G$2:$G$60),0)</f>
        <v>0</v>
      </c>
      <c r="G27" s="0" t="n">
        <f aca="false">ROUND(SUMPRODUCT((Taches!$B$2:$B$60="LOT-06")*($A27&gt;=Taches!$H$2:$H$60)*((($A27-Taches!$H$2:$H$60+1)&gt;=Taches!$E$2:$E$60)+(($A27-Taches!$H$2:$H$60+1)&lt;Taches!$E$2:$E$60)*($A27-Taches!$H$2:$H$60+1)/Taches!$E$2:$E$60)*Taches!$G$2:$G$60),0)</f>
        <v>0</v>
      </c>
      <c r="H27" s="0" t="n">
        <f aca="false">ROUND(SUMPRODUCT((Taches!$B$2:$B$60="LOT-07")*($A27&gt;=Taches!$H$2:$H$60)*((($A27-Taches!$H$2:$H$60+1)&gt;=Taches!$E$2:$E$60)+(($A27-Taches!$H$2:$H$60+1)&lt;Taches!$E$2:$E$60)*($A27-Taches!$H$2:$H$60+1)/Taches!$E$2:$E$60)*Taches!$G$2:$G$60),0)</f>
        <v>0</v>
      </c>
      <c r="I27" s="0" t="n">
        <f aca="false">ROUND(SUMPRODUCT((Taches!$B$2:$B$60="LOT-08")*($A27&gt;=Taches!$H$2:$H$60)*((($A27-Taches!$H$2:$H$60+1)&gt;=Taches!$E$2:$E$60)+(($A27-Taches!$H$2:$H$60+1)&lt;Taches!$E$2:$E$60)*($A27-Taches!$H$2:$H$60+1)/Taches!$E$2:$E$60)*Taches!$G$2:$G$60),0)</f>
        <v>0</v>
      </c>
      <c r="J27" s="0" t="n">
        <f aca="false">SUM(B27:I27)</f>
        <v>69652666</v>
      </c>
    </row>
    <row r="28" customFormat="false" ht="15" hidden="false" customHeight="false" outlineLevel="0" collapsed="false">
      <c r="A28" s="0" t="n">
        <v>26</v>
      </c>
      <c r="B28" s="0" t="n">
        <f aca="false">ROUND(SUMPRODUCT((Taches!$B$2:$B$60="LOT-01")*($A28&gt;=Taches!$H$2:$H$60)*((($A28-Taches!$H$2:$H$60+1)&gt;=Taches!$E$2:$E$60)+(($A28-Taches!$H$2:$H$60+1)&lt;Taches!$E$2:$E$60)*($A28-Taches!$H$2:$H$60+1)/Taches!$E$2:$E$60)*Taches!$G$2:$G$60),0)</f>
        <v>50804167</v>
      </c>
      <c r="C28" s="0" t="n">
        <f aca="false">ROUND(SUMPRODUCT((Taches!$B$2:$B$60="LOT-02")*($A28&gt;=Taches!$H$2:$H$60)*((($A28-Taches!$H$2:$H$60+1)&gt;=Taches!$E$2:$E$60)+(($A28-Taches!$H$2:$H$60+1)&lt;Taches!$E$2:$E$60)*($A28-Taches!$H$2:$H$60+1)/Taches!$E$2:$E$60)*Taches!$G$2:$G$60),0)</f>
        <v>24066000</v>
      </c>
      <c r="D28" s="0" t="n">
        <f aca="false">ROUND(SUMPRODUCT((Taches!$B$2:$B$60="LOT-03")*($A28&gt;=Taches!$H$2:$H$60)*((($A28-Taches!$H$2:$H$60+1)&gt;=Taches!$E$2:$E$60)+(($A28-Taches!$H$2:$H$60+1)&lt;Taches!$E$2:$E$60)*($A28-Taches!$H$2:$H$60+1)/Taches!$E$2:$E$60)*Taches!$G$2:$G$60),0)</f>
        <v>0</v>
      </c>
      <c r="E28" s="0" t="n">
        <f aca="false">ROUND(SUMPRODUCT((Taches!$B$2:$B$60="LOT-04")*($A28&gt;=Taches!$H$2:$H$60)*((($A28-Taches!$H$2:$H$60+1)&gt;=Taches!$E$2:$E$60)+(($A28-Taches!$H$2:$H$60+1)&lt;Taches!$E$2:$E$60)*($A28-Taches!$H$2:$H$60+1)/Taches!$E$2:$E$60)*Taches!$G$2:$G$60),0)</f>
        <v>0</v>
      </c>
      <c r="F28" s="0" t="n">
        <f aca="false">ROUND(SUMPRODUCT((Taches!$B$2:$B$60="LOT-05")*($A28&gt;=Taches!$H$2:$H$60)*((($A28-Taches!$H$2:$H$60+1)&gt;=Taches!$E$2:$E$60)+(($A28-Taches!$H$2:$H$60+1)&lt;Taches!$E$2:$E$60)*($A28-Taches!$H$2:$H$60+1)/Taches!$E$2:$E$60)*Taches!$G$2:$G$60),0)</f>
        <v>0</v>
      </c>
      <c r="G28" s="0" t="n">
        <f aca="false">ROUND(SUMPRODUCT((Taches!$B$2:$B$60="LOT-06")*($A28&gt;=Taches!$H$2:$H$60)*((($A28-Taches!$H$2:$H$60+1)&gt;=Taches!$E$2:$E$60)+(($A28-Taches!$H$2:$H$60+1)&lt;Taches!$E$2:$E$60)*($A28-Taches!$H$2:$H$60+1)/Taches!$E$2:$E$60)*Taches!$G$2:$G$60),0)</f>
        <v>0</v>
      </c>
      <c r="H28" s="0" t="n">
        <f aca="false">ROUND(SUMPRODUCT((Taches!$B$2:$B$60="LOT-07")*($A28&gt;=Taches!$H$2:$H$60)*((($A28-Taches!$H$2:$H$60+1)&gt;=Taches!$E$2:$E$60)+(($A28-Taches!$H$2:$H$60+1)&lt;Taches!$E$2:$E$60)*($A28-Taches!$H$2:$H$60+1)/Taches!$E$2:$E$60)*Taches!$G$2:$G$60),0)</f>
        <v>0</v>
      </c>
      <c r="I28" s="0" t="n">
        <f aca="false">ROUND(SUMPRODUCT((Taches!$B$2:$B$60="LOT-08")*($A28&gt;=Taches!$H$2:$H$60)*((($A28-Taches!$H$2:$H$60+1)&gt;=Taches!$E$2:$E$60)+(($A28-Taches!$H$2:$H$60+1)&lt;Taches!$E$2:$E$60)*($A28-Taches!$H$2:$H$60+1)/Taches!$E$2:$E$60)*Taches!$G$2:$G$60),0)</f>
        <v>0</v>
      </c>
      <c r="J28" s="0" t="n">
        <f aca="false">SUM(B28:I28)</f>
        <v>74870167</v>
      </c>
    </row>
    <row r="29" customFormat="false" ht="15" hidden="false" customHeight="false" outlineLevel="0" collapsed="false">
      <c r="A29" s="0" t="n">
        <v>27</v>
      </c>
      <c r="B29" s="0" t="n">
        <f aca="false">ROUND(SUMPRODUCT((Taches!$B$2:$B$60="LOT-01")*($A29&gt;=Taches!$H$2:$H$60)*((($A29-Taches!$H$2:$H$60+1)&gt;=Taches!$E$2:$E$60)+(($A29-Taches!$H$2:$H$60+1)&lt;Taches!$E$2:$E$60)*($A29-Taches!$H$2:$H$60+1)/Taches!$E$2:$E$60)*Taches!$G$2:$G$60),0)</f>
        <v>54265000</v>
      </c>
      <c r="C29" s="0" t="n">
        <f aca="false">ROUND(SUMPRODUCT((Taches!$B$2:$B$60="LOT-02")*($A29&gt;=Taches!$H$2:$H$60)*((($A29-Taches!$H$2:$H$60+1)&gt;=Taches!$E$2:$E$60)+(($A29-Taches!$H$2:$H$60+1)&lt;Taches!$E$2:$E$60)*($A29-Taches!$H$2:$H$60+1)/Taches!$E$2:$E$60)*Taches!$G$2:$G$60),0)</f>
        <v>25822667</v>
      </c>
      <c r="D29" s="0" t="n">
        <f aca="false">ROUND(SUMPRODUCT((Taches!$B$2:$B$60="LOT-03")*($A29&gt;=Taches!$H$2:$H$60)*((($A29-Taches!$H$2:$H$60+1)&gt;=Taches!$E$2:$E$60)+(($A29-Taches!$H$2:$H$60+1)&lt;Taches!$E$2:$E$60)*($A29-Taches!$H$2:$H$60+1)/Taches!$E$2:$E$60)*Taches!$G$2:$G$60),0)</f>
        <v>0</v>
      </c>
      <c r="E29" s="0" t="n">
        <f aca="false">ROUND(SUMPRODUCT((Taches!$B$2:$B$60="LOT-04")*($A29&gt;=Taches!$H$2:$H$60)*((($A29-Taches!$H$2:$H$60+1)&gt;=Taches!$E$2:$E$60)+(($A29-Taches!$H$2:$H$60+1)&lt;Taches!$E$2:$E$60)*($A29-Taches!$H$2:$H$60+1)/Taches!$E$2:$E$60)*Taches!$G$2:$G$60),0)</f>
        <v>0</v>
      </c>
      <c r="F29" s="0" t="n">
        <f aca="false">ROUND(SUMPRODUCT((Taches!$B$2:$B$60="LOT-05")*($A29&gt;=Taches!$H$2:$H$60)*((($A29-Taches!$H$2:$H$60+1)&gt;=Taches!$E$2:$E$60)+(($A29-Taches!$H$2:$H$60+1)&lt;Taches!$E$2:$E$60)*($A29-Taches!$H$2:$H$60+1)/Taches!$E$2:$E$60)*Taches!$G$2:$G$60),0)</f>
        <v>0</v>
      </c>
      <c r="G29" s="0" t="n">
        <f aca="false">ROUND(SUMPRODUCT((Taches!$B$2:$B$60="LOT-06")*($A29&gt;=Taches!$H$2:$H$60)*((($A29-Taches!$H$2:$H$60+1)&gt;=Taches!$E$2:$E$60)+(($A29-Taches!$H$2:$H$60+1)&lt;Taches!$E$2:$E$60)*($A29-Taches!$H$2:$H$60+1)/Taches!$E$2:$E$60)*Taches!$G$2:$G$60),0)</f>
        <v>0</v>
      </c>
      <c r="H29" s="0" t="n">
        <f aca="false">ROUND(SUMPRODUCT((Taches!$B$2:$B$60="LOT-07")*($A29&gt;=Taches!$H$2:$H$60)*((($A29-Taches!$H$2:$H$60+1)&gt;=Taches!$E$2:$E$60)+(($A29-Taches!$H$2:$H$60+1)&lt;Taches!$E$2:$E$60)*($A29-Taches!$H$2:$H$60+1)/Taches!$E$2:$E$60)*Taches!$G$2:$G$60),0)</f>
        <v>0</v>
      </c>
      <c r="I29" s="0" t="n">
        <f aca="false">ROUND(SUMPRODUCT((Taches!$B$2:$B$60="LOT-08")*($A29&gt;=Taches!$H$2:$H$60)*((($A29-Taches!$H$2:$H$60+1)&gt;=Taches!$E$2:$E$60)+(($A29-Taches!$H$2:$H$60+1)&lt;Taches!$E$2:$E$60)*($A29-Taches!$H$2:$H$60+1)/Taches!$E$2:$E$60)*Taches!$G$2:$G$60),0)</f>
        <v>0</v>
      </c>
      <c r="J29" s="0" t="n">
        <f aca="false">SUM(B29:I29)</f>
        <v>80087667</v>
      </c>
    </row>
    <row r="30" customFormat="false" ht="15" hidden="false" customHeight="false" outlineLevel="0" collapsed="false">
      <c r="A30" s="0" t="n">
        <v>28</v>
      </c>
      <c r="B30" s="0" t="n">
        <f aca="false">ROUND(SUMPRODUCT((Taches!$B$2:$B$60="LOT-01")*($A30&gt;=Taches!$H$2:$H$60)*((($A30-Taches!$H$2:$H$60+1)&gt;=Taches!$E$2:$E$60)+(($A30-Taches!$H$2:$H$60+1)&lt;Taches!$E$2:$E$60)*($A30-Taches!$H$2:$H$60+1)/Taches!$E$2:$E$60)*Taches!$G$2:$G$60),0)</f>
        <v>55077500</v>
      </c>
      <c r="C30" s="0" t="n">
        <f aca="false">ROUND(SUMPRODUCT((Taches!$B$2:$B$60="LOT-02")*($A30&gt;=Taches!$H$2:$H$60)*((($A30-Taches!$H$2:$H$60+1)&gt;=Taches!$E$2:$E$60)+(($A30-Taches!$H$2:$H$60+1)&lt;Taches!$E$2:$E$60)*($A30-Taches!$H$2:$H$60+1)/Taches!$E$2:$E$60)*Taches!$G$2:$G$60),0)</f>
        <v>27579333</v>
      </c>
      <c r="D30" s="0" t="n">
        <f aca="false">ROUND(SUMPRODUCT((Taches!$B$2:$B$60="LOT-03")*($A30&gt;=Taches!$H$2:$H$60)*((($A30-Taches!$H$2:$H$60+1)&gt;=Taches!$E$2:$E$60)+(($A30-Taches!$H$2:$H$60+1)&lt;Taches!$E$2:$E$60)*($A30-Taches!$H$2:$H$60+1)/Taches!$E$2:$E$60)*Taches!$G$2:$G$60),0)</f>
        <v>0</v>
      </c>
      <c r="E30" s="0" t="n">
        <f aca="false">ROUND(SUMPRODUCT((Taches!$B$2:$B$60="LOT-04")*($A30&gt;=Taches!$H$2:$H$60)*((($A30-Taches!$H$2:$H$60+1)&gt;=Taches!$E$2:$E$60)+(($A30-Taches!$H$2:$H$60+1)&lt;Taches!$E$2:$E$60)*($A30-Taches!$H$2:$H$60+1)/Taches!$E$2:$E$60)*Taches!$G$2:$G$60),0)</f>
        <v>0</v>
      </c>
      <c r="F30" s="0" t="n">
        <f aca="false">ROUND(SUMPRODUCT((Taches!$B$2:$B$60="LOT-05")*($A30&gt;=Taches!$H$2:$H$60)*((($A30-Taches!$H$2:$H$60+1)&gt;=Taches!$E$2:$E$60)+(($A30-Taches!$H$2:$H$60+1)&lt;Taches!$E$2:$E$60)*($A30-Taches!$H$2:$H$60+1)/Taches!$E$2:$E$60)*Taches!$G$2:$G$60),0)</f>
        <v>0</v>
      </c>
      <c r="G30" s="0" t="n">
        <f aca="false">ROUND(SUMPRODUCT((Taches!$B$2:$B$60="LOT-06")*($A30&gt;=Taches!$H$2:$H$60)*((($A30-Taches!$H$2:$H$60+1)&gt;=Taches!$E$2:$E$60)+(($A30-Taches!$H$2:$H$60+1)&lt;Taches!$E$2:$E$60)*($A30-Taches!$H$2:$H$60+1)/Taches!$E$2:$E$60)*Taches!$G$2:$G$60),0)</f>
        <v>0</v>
      </c>
      <c r="H30" s="0" t="n">
        <f aca="false">ROUND(SUMPRODUCT((Taches!$B$2:$B$60="LOT-07")*($A30&gt;=Taches!$H$2:$H$60)*((($A30-Taches!$H$2:$H$60+1)&gt;=Taches!$E$2:$E$60)+(($A30-Taches!$H$2:$H$60+1)&lt;Taches!$E$2:$E$60)*($A30-Taches!$H$2:$H$60+1)/Taches!$E$2:$E$60)*Taches!$G$2:$G$60),0)</f>
        <v>0</v>
      </c>
      <c r="I30" s="0" t="n">
        <f aca="false">ROUND(SUMPRODUCT((Taches!$B$2:$B$60="LOT-08")*($A30&gt;=Taches!$H$2:$H$60)*((($A30-Taches!$H$2:$H$60+1)&gt;=Taches!$E$2:$E$60)+(($A30-Taches!$H$2:$H$60+1)&lt;Taches!$E$2:$E$60)*($A30-Taches!$H$2:$H$60+1)/Taches!$E$2:$E$60)*Taches!$G$2:$G$60),0)</f>
        <v>0</v>
      </c>
      <c r="J30" s="0" t="n">
        <f aca="false">SUM(B30:I30)</f>
        <v>82656833</v>
      </c>
    </row>
    <row r="31" customFormat="false" ht="15" hidden="false" customHeight="false" outlineLevel="0" collapsed="false">
      <c r="A31" s="0" t="n">
        <v>29</v>
      </c>
      <c r="B31" s="0" t="n">
        <f aca="false">ROUND(SUMPRODUCT((Taches!$B$2:$B$60="LOT-01")*($A31&gt;=Taches!$H$2:$H$60)*((($A31-Taches!$H$2:$H$60+1)&gt;=Taches!$E$2:$E$60)+(($A31-Taches!$H$2:$H$60+1)&lt;Taches!$E$2:$E$60)*($A31-Taches!$H$2:$H$60+1)/Taches!$E$2:$E$60)*Taches!$G$2:$G$60),0)</f>
        <v>55890000</v>
      </c>
      <c r="C31" s="0" t="n">
        <f aca="false">ROUND(SUMPRODUCT((Taches!$B$2:$B$60="LOT-02")*($A31&gt;=Taches!$H$2:$H$60)*((($A31-Taches!$H$2:$H$60+1)&gt;=Taches!$E$2:$E$60)+(($A31-Taches!$H$2:$H$60+1)&lt;Taches!$E$2:$E$60)*($A31-Taches!$H$2:$H$60+1)/Taches!$E$2:$E$60)*Taches!$G$2:$G$60),0)</f>
        <v>29336000</v>
      </c>
      <c r="D31" s="0" t="n">
        <f aca="false">ROUND(SUMPRODUCT((Taches!$B$2:$B$60="LOT-03")*($A31&gt;=Taches!$H$2:$H$60)*((($A31-Taches!$H$2:$H$60+1)&gt;=Taches!$E$2:$E$60)+(($A31-Taches!$H$2:$H$60+1)&lt;Taches!$E$2:$E$60)*($A31-Taches!$H$2:$H$60+1)/Taches!$E$2:$E$60)*Taches!$G$2:$G$60),0)</f>
        <v>0</v>
      </c>
      <c r="E31" s="0" t="n">
        <f aca="false">ROUND(SUMPRODUCT((Taches!$B$2:$B$60="LOT-04")*($A31&gt;=Taches!$H$2:$H$60)*((($A31-Taches!$H$2:$H$60+1)&gt;=Taches!$E$2:$E$60)+(($A31-Taches!$H$2:$H$60+1)&lt;Taches!$E$2:$E$60)*($A31-Taches!$H$2:$H$60+1)/Taches!$E$2:$E$60)*Taches!$G$2:$G$60),0)</f>
        <v>0</v>
      </c>
      <c r="F31" s="0" t="n">
        <f aca="false">ROUND(SUMPRODUCT((Taches!$B$2:$B$60="LOT-05")*($A31&gt;=Taches!$H$2:$H$60)*((($A31-Taches!$H$2:$H$60+1)&gt;=Taches!$E$2:$E$60)+(($A31-Taches!$H$2:$H$60+1)&lt;Taches!$E$2:$E$60)*($A31-Taches!$H$2:$H$60+1)/Taches!$E$2:$E$60)*Taches!$G$2:$G$60),0)</f>
        <v>0</v>
      </c>
      <c r="G31" s="0" t="n">
        <f aca="false">ROUND(SUMPRODUCT((Taches!$B$2:$B$60="LOT-06")*($A31&gt;=Taches!$H$2:$H$60)*((($A31-Taches!$H$2:$H$60+1)&gt;=Taches!$E$2:$E$60)+(($A31-Taches!$H$2:$H$60+1)&lt;Taches!$E$2:$E$60)*($A31-Taches!$H$2:$H$60+1)/Taches!$E$2:$E$60)*Taches!$G$2:$G$60),0)</f>
        <v>0</v>
      </c>
      <c r="H31" s="0" t="n">
        <f aca="false">ROUND(SUMPRODUCT((Taches!$B$2:$B$60="LOT-07")*($A31&gt;=Taches!$H$2:$H$60)*((($A31-Taches!$H$2:$H$60+1)&gt;=Taches!$E$2:$E$60)+(($A31-Taches!$H$2:$H$60+1)&lt;Taches!$E$2:$E$60)*($A31-Taches!$H$2:$H$60+1)/Taches!$E$2:$E$60)*Taches!$G$2:$G$60),0)</f>
        <v>0</v>
      </c>
      <c r="I31" s="0" t="n">
        <f aca="false">ROUND(SUMPRODUCT((Taches!$B$2:$B$60="LOT-08")*($A31&gt;=Taches!$H$2:$H$60)*((($A31-Taches!$H$2:$H$60+1)&gt;=Taches!$E$2:$E$60)+(($A31-Taches!$H$2:$H$60+1)&lt;Taches!$E$2:$E$60)*($A31-Taches!$H$2:$H$60+1)/Taches!$E$2:$E$60)*Taches!$G$2:$G$60),0)</f>
        <v>0</v>
      </c>
      <c r="J31" s="0" t="n">
        <f aca="false">SUM(B31:I31)</f>
        <v>85226000</v>
      </c>
    </row>
    <row r="32" customFormat="false" ht="15" hidden="false" customHeight="false" outlineLevel="0" collapsed="false">
      <c r="A32" s="0" t="n">
        <v>30</v>
      </c>
      <c r="B32" s="0" t="n">
        <f aca="false">ROUND(SUMPRODUCT((Taches!$B$2:$B$60="LOT-01")*($A32&gt;=Taches!$H$2:$H$60)*((($A32-Taches!$H$2:$H$60+1)&gt;=Taches!$E$2:$E$60)+(($A32-Taches!$H$2:$H$60+1)&lt;Taches!$E$2:$E$60)*($A32-Taches!$H$2:$H$60+1)/Taches!$E$2:$E$60)*Taches!$G$2:$G$60),0)</f>
        <v>55890000</v>
      </c>
      <c r="C32" s="0" t="n">
        <f aca="false">ROUND(SUMPRODUCT((Taches!$B$2:$B$60="LOT-02")*($A32&gt;=Taches!$H$2:$H$60)*((($A32-Taches!$H$2:$H$60+1)&gt;=Taches!$E$2:$E$60)+(($A32-Taches!$H$2:$H$60+1)&lt;Taches!$E$2:$E$60)*($A32-Taches!$H$2:$H$60+1)/Taches!$E$2:$E$60)*Taches!$G$2:$G$60),0)</f>
        <v>31092667</v>
      </c>
      <c r="D32" s="0" t="n">
        <f aca="false">ROUND(SUMPRODUCT((Taches!$B$2:$B$60="LOT-03")*($A32&gt;=Taches!$H$2:$H$60)*((($A32-Taches!$H$2:$H$60+1)&gt;=Taches!$E$2:$E$60)+(($A32-Taches!$H$2:$H$60+1)&lt;Taches!$E$2:$E$60)*($A32-Taches!$H$2:$H$60+1)/Taches!$E$2:$E$60)*Taches!$G$2:$G$60),0)</f>
        <v>0</v>
      </c>
      <c r="E32" s="0" t="n">
        <f aca="false">ROUND(SUMPRODUCT((Taches!$B$2:$B$60="LOT-04")*($A32&gt;=Taches!$H$2:$H$60)*((($A32-Taches!$H$2:$H$60+1)&gt;=Taches!$E$2:$E$60)+(($A32-Taches!$H$2:$H$60+1)&lt;Taches!$E$2:$E$60)*($A32-Taches!$H$2:$H$60+1)/Taches!$E$2:$E$60)*Taches!$G$2:$G$60),0)</f>
        <v>0</v>
      </c>
      <c r="F32" s="0" t="n">
        <f aca="false">ROUND(SUMPRODUCT((Taches!$B$2:$B$60="LOT-05")*($A32&gt;=Taches!$H$2:$H$60)*((($A32-Taches!$H$2:$H$60+1)&gt;=Taches!$E$2:$E$60)+(($A32-Taches!$H$2:$H$60+1)&lt;Taches!$E$2:$E$60)*($A32-Taches!$H$2:$H$60+1)/Taches!$E$2:$E$60)*Taches!$G$2:$G$60),0)</f>
        <v>0</v>
      </c>
      <c r="G32" s="0" t="n">
        <f aca="false">ROUND(SUMPRODUCT((Taches!$B$2:$B$60="LOT-06")*($A32&gt;=Taches!$H$2:$H$60)*((($A32-Taches!$H$2:$H$60+1)&gt;=Taches!$E$2:$E$60)+(($A32-Taches!$H$2:$H$60+1)&lt;Taches!$E$2:$E$60)*($A32-Taches!$H$2:$H$60+1)/Taches!$E$2:$E$60)*Taches!$G$2:$G$60),0)</f>
        <v>0</v>
      </c>
      <c r="H32" s="0" t="n">
        <f aca="false">ROUND(SUMPRODUCT((Taches!$B$2:$B$60="LOT-07")*($A32&gt;=Taches!$H$2:$H$60)*((($A32-Taches!$H$2:$H$60+1)&gt;=Taches!$E$2:$E$60)+(($A32-Taches!$H$2:$H$60+1)&lt;Taches!$E$2:$E$60)*($A32-Taches!$H$2:$H$60+1)/Taches!$E$2:$E$60)*Taches!$G$2:$G$60),0)</f>
        <v>0</v>
      </c>
      <c r="I32" s="0" t="n">
        <f aca="false">ROUND(SUMPRODUCT((Taches!$B$2:$B$60="LOT-08")*($A32&gt;=Taches!$H$2:$H$60)*((($A32-Taches!$H$2:$H$60+1)&gt;=Taches!$E$2:$E$60)+(($A32-Taches!$H$2:$H$60+1)&lt;Taches!$E$2:$E$60)*($A32-Taches!$H$2:$H$60+1)/Taches!$E$2:$E$60)*Taches!$G$2:$G$60),0)</f>
        <v>0</v>
      </c>
      <c r="J32" s="0" t="n">
        <f aca="false">SUM(B32:I32)</f>
        <v>86982667</v>
      </c>
    </row>
    <row r="33" customFormat="false" ht="15" hidden="false" customHeight="false" outlineLevel="0" collapsed="false">
      <c r="A33" s="0" t="n">
        <v>31</v>
      </c>
      <c r="B33" s="0" t="n">
        <f aca="false">ROUND(SUMPRODUCT((Taches!$B$2:$B$60="LOT-01")*($A33&gt;=Taches!$H$2:$H$60)*((($A33-Taches!$H$2:$H$60+1)&gt;=Taches!$E$2:$E$60)+(($A33-Taches!$H$2:$H$60+1)&lt;Taches!$E$2:$E$60)*($A33-Taches!$H$2:$H$60+1)/Taches!$E$2:$E$60)*Taches!$G$2:$G$60),0)</f>
        <v>55890000</v>
      </c>
      <c r="C33" s="0" t="n">
        <f aca="false">ROUND(SUMPRODUCT((Taches!$B$2:$B$60="LOT-02")*($A33&gt;=Taches!$H$2:$H$60)*((($A33-Taches!$H$2:$H$60+1)&gt;=Taches!$E$2:$E$60)+(($A33-Taches!$H$2:$H$60+1)&lt;Taches!$E$2:$E$60)*($A33-Taches!$H$2:$H$60+1)/Taches!$E$2:$E$60)*Taches!$G$2:$G$60),0)</f>
        <v>32849333</v>
      </c>
      <c r="D33" s="0" t="n">
        <f aca="false">ROUND(SUMPRODUCT((Taches!$B$2:$B$60="LOT-03")*($A33&gt;=Taches!$H$2:$H$60)*((($A33-Taches!$H$2:$H$60+1)&gt;=Taches!$E$2:$E$60)+(($A33-Taches!$H$2:$H$60+1)&lt;Taches!$E$2:$E$60)*($A33-Taches!$H$2:$H$60+1)/Taches!$E$2:$E$60)*Taches!$G$2:$G$60),0)</f>
        <v>0</v>
      </c>
      <c r="E33" s="0" t="n">
        <f aca="false">ROUND(SUMPRODUCT((Taches!$B$2:$B$60="LOT-04")*($A33&gt;=Taches!$H$2:$H$60)*((($A33-Taches!$H$2:$H$60+1)&gt;=Taches!$E$2:$E$60)+(($A33-Taches!$H$2:$H$60+1)&lt;Taches!$E$2:$E$60)*($A33-Taches!$H$2:$H$60+1)/Taches!$E$2:$E$60)*Taches!$G$2:$G$60),0)</f>
        <v>0</v>
      </c>
      <c r="F33" s="0" t="n">
        <f aca="false">ROUND(SUMPRODUCT((Taches!$B$2:$B$60="LOT-05")*($A33&gt;=Taches!$H$2:$H$60)*((($A33-Taches!$H$2:$H$60+1)&gt;=Taches!$E$2:$E$60)+(($A33-Taches!$H$2:$H$60+1)&lt;Taches!$E$2:$E$60)*($A33-Taches!$H$2:$H$60+1)/Taches!$E$2:$E$60)*Taches!$G$2:$G$60),0)</f>
        <v>0</v>
      </c>
      <c r="G33" s="0" t="n">
        <f aca="false">ROUND(SUMPRODUCT((Taches!$B$2:$B$60="LOT-06")*($A33&gt;=Taches!$H$2:$H$60)*((($A33-Taches!$H$2:$H$60+1)&gt;=Taches!$E$2:$E$60)+(($A33-Taches!$H$2:$H$60+1)&lt;Taches!$E$2:$E$60)*($A33-Taches!$H$2:$H$60+1)/Taches!$E$2:$E$60)*Taches!$G$2:$G$60),0)</f>
        <v>0</v>
      </c>
      <c r="H33" s="0" t="n">
        <f aca="false">ROUND(SUMPRODUCT((Taches!$B$2:$B$60="LOT-07")*($A33&gt;=Taches!$H$2:$H$60)*((($A33-Taches!$H$2:$H$60+1)&gt;=Taches!$E$2:$E$60)+(($A33-Taches!$H$2:$H$60+1)&lt;Taches!$E$2:$E$60)*($A33-Taches!$H$2:$H$60+1)/Taches!$E$2:$E$60)*Taches!$G$2:$G$60),0)</f>
        <v>0</v>
      </c>
      <c r="I33" s="0" t="n">
        <f aca="false">ROUND(SUMPRODUCT((Taches!$B$2:$B$60="LOT-08")*($A33&gt;=Taches!$H$2:$H$60)*((($A33-Taches!$H$2:$H$60+1)&gt;=Taches!$E$2:$E$60)+(($A33-Taches!$H$2:$H$60+1)&lt;Taches!$E$2:$E$60)*($A33-Taches!$H$2:$H$60+1)/Taches!$E$2:$E$60)*Taches!$G$2:$G$60),0)</f>
        <v>0</v>
      </c>
      <c r="J33" s="0" t="n">
        <f aca="false">SUM(B33:I33)</f>
        <v>88739333</v>
      </c>
    </row>
    <row r="34" customFormat="false" ht="15" hidden="false" customHeight="false" outlineLevel="0" collapsed="false">
      <c r="A34" s="0" t="n">
        <v>32</v>
      </c>
      <c r="B34" s="0" t="n">
        <f aca="false">ROUND(SUMPRODUCT((Taches!$B$2:$B$60="LOT-01")*($A34&gt;=Taches!$H$2:$H$60)*((($A34-Taches!$H$2:$H$60+1)&gt;=Taches!$E$2:$E$60)+(($A34-Taches!$H$2:$H$60+1)&lt;Taches!$E$2:$E$60)*($A34-Taches!$H$2:$H$60+1)/Taches!$E$2:$E$60)*Taches!$G$2:$G$60),0)</f>
        <v>55890000</v>
      </c>
      <c r="C34" s="0" t="n">
        <f aca="false">ROUND(SUMPRODUCT((Taches!$B$2:$B$60="LOT-02")*($A34&gt;=Taches!$H$2:$H$60)*((($A34-Taches!$H$2:$H$60+1)&gt;=Taches!$E$2:$E$60)+(($A34-Taches!$H$2:$H$60+1)&lt;Taches!$E$2:$E$60)*($A34-Taches!$H$2:$H$60+1)/Taches!$E$2:$E$60)*Taches!$G$2:$G$60),0)</f>
        <v>34606000</v>
      </c>
      <c r="D34" s="0" t="n">
        <f aca="false">ROUND(SUMPRODUCT((Taches!$B$2:$B$60="LOT-03")*($A34&gt;=Taches!$H$2:$H$60)*((($A34-Taches!$H$2:$H$60+1)&gt;=Taches!$E$2:$E$60)+(($A34-Taches!$H$2:$H$60+1)&lt;Taches!$E$2:$E$60)*($A34-Taches!$H$2:$H$60+1)/Taches!$E$2:$E$60)*Taches!$G$2:$G$60),0)</f>
        <v>0</v>
      </c>
      <c r="E34" s="0" t="n">
        <f aca="false">ROUND(SUMPRODUCT((Taches!$B$2:$B$60="LOT-04")*($A34&gt;=Taches!$H$2:$H$60)*((($A34-Taches!$H$2:$H$60+1)&gt;=Taches!$E$2:$E$60)+(($A34-Taches!$H$2:$H$60+1)&lt;Taches!$E$2:$E$60)*($A34-Taches!$H$2:$H$60+1)/Taches!$E$2:$E$60)*Taches!$G$2:$G$60),0)</f>
        <v>0</v>
      </c>
      <c r="F34" s="0" t="n">
        <f aca="false">ROUND(SUMPRODUCT((Taches!$B$2:$B$60="LOT-05")*($A34&gt;=Taches!$H$2:$H$60)*((($A34-Taches!$H$2:$H$60+1)&gt;=Taches!$E$2:$E$60)+(($A34-Taches!$H$2:$H$60+1)&lt;Taches!$E$2:$E$60)*($A34-Taches!$H$2:$H$60+1)/Taches!$E$2:$E$60)*Taches!$G$2:$G$60),0)</f>
        <v>0</v>
      </c>
      <c r="G34" s="0" t="n">
        <f aca="false">ROUND(SUMPRODUCT((Taches!$B$2:$B$60="LOT-06")*($A34&gt;=Taches!$H$2:$H$60)*((($A34-Taches!$H$2:$H$60+1)&gt;=Taches!$E$2:$E$60)+(($A34-Taches!$H$2:$H$60+1)&lt;Taches!$E$2:$E$60)*($A34-Taches!$H$2:$H$60+1)/Taches!$E$2:$E$60)*Taches!$G$2:$G$60),0)</f>
        <v>0</v>
      </c>
      <c r="H34" s="0" t="n">
        <f aca="false">ROUND(SUMPRODUCT((Taches!$B$2:$B$60="LOT-07")*($A34&gt;=Taches!$H$2:$H$60)*((($A34-Taches!$H$2:$H$60+1)&gt;=Taches!$E$2:$E$60)+(($A34-Taches!$H$2:$H$60+1)&lt;Taches!$E$2:$E$60)*($A34-Taches!$H$2:$H$60+1)/Taches!$E$2:$E$60)*Taches!$G$2:$G$60),0)</f>
        <v>0</v>
      </c>
      <c r="I34" s="0" t="n">
        <f aca="false">ROUND(SUMPRODUCT((Taches!$B$2:$B$60="LOT-08")*($A34&gt;=Taches!$H$2:$H$60)*((($A34-Taches!$H$2:$H$60+1)&gt;=Taches!$E$2:$E$60)+(($A34-Taches!$H$2:$H$60+1)&lt;Taches!$E$2:$E$60)*($A34-Taches!$H$2:$H$60+1)/Taches!$E$2:$E$60)*Taches!$G$2:$G$60),0)</f>
        <v>0</v>
      </c>
      <c r="J34" s="0" t="n">
        <f aca="false">SUM(B34:I34)</f>
        <v>90496000</v>
      </c>
    </row>
    <row r="35" customFormat="false" ht="15" hidden="false" customHeight="false" outlineLevel="0" collapsed="false">
      <c r="A35" s="0" t="n">
        <v>33</v>
      </c>
      <c r="B35" s="0" t="n">
        <f aca="false">ROUND(SUMPRODUCT((Taches!$B$2:$B$60="LOT-01")*($A35&gt;=Taches!$H$2:$H$60)*((($A35-Taches!$H$2:$H$60+1)&gt;=Taches!$E$2:$E$60)+(($A35-Taches!$H$2:$H$60+1)&lt;Taches!$E$2:$E$60)*($A35-Taches!$H$2:$H$60+1)/Taches!$E$2:$E$60)*Taches!$G$2:$G$60),0)</f>
        <v>55890000</v>
      </c>
      <c r="C35" s="0" t="n">
        <f aca="false">ROUND(SUMPRODUCT((Taches!$B$2:$B$60="LOT-02")*($A35&gt;=Taches!$H$2:$H$60)*((($A35-Taches!$H$2:$H$60+1)&gt;=Taches!$E$2:$E$60)+(($A35-Taches!$H$2:$H$60+1)&lt;Taches!$E$2:$E$60)*($A35-Taches!$H$2:$H$60+1)/Taches!$E$2:$E$60)*Taches!$G$2:$G$60),0)</f>
        <v>36362667</v>
      </c>
      <c r="D35" s="0" t="n">
        <f aca="false">ROUND(SUMPRODUCT((Taches!$B$2:$B$60="LOT-03")*($A35&gt;=Taches!$H$2:$H$60)*((($A35-Taches!$H$2:$H$60+1)&gt;=Taches!$E$2:$E$60)+(($A35-Taches!$H$2:$H$60+1)&lt;Taches!$E$2:$E$60)*($A35-Taches!$H$2:$H$60+1)/Taches!$E$2:$E$60)*Taches!$G$2:$G$60),0)</f>
        <v>0</v>
      </c>
      <c r="E35" s="0" t="n">
        <f aca="false">ROUND(SUMPRODUCT((Taches!$B$2:$B$60="LOT-04")*($A35&gt;=Taches!$H$2:$H$60)*((($A35-Taches!$H$2:$H$60+1)&gt;=Taches!$E$2:$E$60)+(($A35-Taches!$H$2:$H$60+1)&lt;Taches!$E$2:$E$60)*($A35-Taches!$H$2:$H$60+1)/Taches!$E$2:$E$60)*Taches!$G$2:$G$60),0)</f>
        <v>0</v>
      </c>
      <c r="F35" s="0" t="n">
        <f aca="false">ROUND(SUMPRODUCT((Taches!$B$2:$B$60="LOT-05")*($A35&gt;=Taches!$H$2:$H$60)*((($A35-Taches!$H$2:$H$60+1)&gt;=Taches!$E$2:$E$60)+(($A35-Taches!$H$2:$H$60+1)&lt;Taches!$E$2:$E$60)*($A35-Taches!$H$2:$H$60+1)/Taches!$E$2:$E$60)*Taches!$G$2:$G$60),0)</f>
        <v>0</v>
      </c>
      <c r="G35" s="0" t="n">
        <f aca="false">ROUND(SUMPRODUCT((Taches!$B$2:$B$60="LOT-06")*($A35&gt;=Taches!$H$2:$H$60)*((($A35-Taches!$H$2:$H$60+1)&gt;=Taches!$E$2:$E$60)+(($A35-Taches!$H$2:$H$60+1)&lt;Taches!$E$2:$E$60)*($A35-Taches!$H$2:$H$60+1)/Taches!$E$2:$E$60)*Taches!$G$2:$G$60),0)</f>
        <v>0</v>
      </c>
      <c r="H35" s="0" t="n">
        <f aca="false">ROUND(SUMPRODUCT((Taches!$B$2:$B$60="LOT-07")*($A35&gt;=Taches!$H$2:$H$60)*((($A35-Taches!$H$2:$H$60+1)&gt;=Taches!$E$2:$E$60)+(($A35-Taches!$H$2:$H$60+1)&lt;Taches!$E$2:$E$60)*($A35-Taches!$H$2:$H$60+1)/Taches!$E$2:$E$60)*Taches!$G$2:$G$60),0)</f>
        <v>0</v>
      </c>
      <c r="I35" s="0" t="n">
        <f aca="false">ROUND(SUMPRODUCT((Taches!$B$2:$B$60="LOT-08")*($A35&gt;=Taches!$H$2:$H$60)*((($A35-Taches!$H$2:$H$60+1)&gt;=Taches!$E$2:$E$60)+(($A35-Taches!$H$2:$H$60+1)&lt;Taches!$E$2:$E$60)*($A35-Taches!$H$2:$H$60+1)/Taches!$E$2:$E$60)*Taches!$G$2:$G$60),0)</f>
        <v>0</v>
      </c>
      <c r="J35" s="0" t="n">
        <f aca="false">SUM(B35:I35)</f>
        <v>92252667</v>
      </c>
    </row>
    <row r="36" customFormat="false" ht="15" hidden="false" customHeight="false" outlineLevel="0" collapsed="false">
      <c r="A36" s="0" t="n">
        <v>34</v>
      </c>
      <c r="B36" s="0" t="n">
        <f aca="false">ROUND(SUMPRODUCT((Taches!$B$2:$B$60="LOT-01")*($A36&gt;=Taches!$H$2:$H$60)*((($A36-Taches!$H$2:$H$60+1)&gt;=Taches!$E$2:$E$60)+(($A36-Taches!$H$2:$H$60+1)&lt;Taches!$E$2:$E$60)*($A36-Taches!$H$2:$H$60+1)/Taches!$E$2:$E$60)*Taches!$G$2:$G$60),0)</f>
        <v>55890000</v>
      </c>
      <c r="C36" s="0" t="n">
        <f aca="false">ROUND(SUMPRODUCT((Taches!$B$2:$B$60="LOT-02")*($A36&gt;=Taches!$H$2:$H$60)*((($A36-Taches!$H$2:$H$60+1)&gt;=Taches!$E$2:$E$60)+(($A36-Taches!$H$2:$H$60+1)&lt;Taches!$E$2:$E$60)*($A36-Taches!$H$2:$H$60+1)/Taches!$E$2:$E$60)*Taches!$G$2:$G$60),0)</f>
        <v>38119333</v>
      </c>
      <c r="D36" s="0" t="n">
        <f aca="false">ROUND(SUMPRODUCT((Taches!$B$2:$B$60="LOT-03")*($A36&gt;=Taches!$H$2:$H$60)*((($A36-Taches!$H$2:$H$60+1)&gt;=Taches!$E$2:$E$60)+(($A36-Taches!$H$2:$H$60+1)&lt;Taches!$E$2:$E$60)*($A36-Taches!$H$2:$H$60+1)/Taches!$E$2:$E$60)*Taches!$G$2:$G$60),0)</f>
        <v>0</v>
      </c>
      <c r="E36" s="0" t="n">
        <f aca="false">ROUND(SUMPRODUCT((Taches!$B$2:$B$60="LOT-04")*($A36&gt;=Taches!$H$2:$H$60)*((($A36-Taches!$H$2:$H$60+1)&gt;=Taches!$E$2:$E$60)+(($A36-Taches!$H$2:$H$60+1)&lt;Taches!$E$2:$E$60)*($A36-Taches!$H$2:$H$60+1)/Taches!$E$2:$E$60)*Taches!$G$2:$G$60),0)</f>
        <v>0</v>
      </c>
      <c r="F36" s="0" t="n">
        <f aca="false">ROUND(SUMPRODUCT((Taches!$B$2:$B$60="LOT-05")*($A36&gt;=Taches!$H$2:$H$60)*((($A36-Taches!$H$2:$H$60+1)&gt;=Taches!$E$2:$E$60)+(($A36-Taches!$H$2:$H$60+1)&lt;Taches!$E$2:$E$60)*($A36-Taches!$H$2:$H$60+1)/Taches!$E$2:$E$60)*Taches!$G$2:$G$60),0)</f>
        <v>0</v>
      </c>
      <c r="G36" s="0" t="n">
        <f aca="false">ROUND(SUMPRODUCT((Taches!$B$2:$B$60="LOT-06")*($A36&gt;=Taches!$H$2:$H$60)*((($A36-Taches!$H$2:$H$60+1)&gt;=Taches!$E$2:$E$60)+(($A36-Taches!$H$2:$H$60+1)&lt;Taches!$E$2:$E$60)*($A36-Taches!$H$2:$H$60+1)/Taches!$E$2:$E$60)*Taches!$G$2:$G$60),0)</f>
        <v>0</v>
      </c>
      <c r="H36" s="0" t="n">
        <f aca="false">ROUND(SUMPRODUCT((Taches!$B$2:$B$60="LOT-07")*($A36&gt;=Taches!$H$2:$H$60)*((($A36-Taches!$H$2:$H$60+1)&gt;=Taches!$E$2:$E$60)+(($A36-Taches!$H$2:$H$60+1)&lt;Taches!$E$2:$E$60)*($A36-Taches!$H$2:$H$60+1)/Taches!$E$2:$E$60)*Taches!$G$2:$G$60),0)</f>
        <v>0</v>
      </c>
      <c r="I36" s="0" t="n">
        <f aca="false">ROUND(SUMPRODUCT((Taches!$B$2:$B$60="LOT-08")*($A36&gt;=Taches!$H$2:$H$60)*((($A36-Taches!$H$2:$H$60+1)&gt;=Taches!$E$2:$E$60)+(($A36-Taches!$H$2:$H$60+1)&lt;Taches!$E$2:$E$60)*($A36-Taches!$H$2:$H$60+1)/Taches!$E$2:$E$60)*Taches!$G$2:$G$60),0)</f>
        <v>0</v>
      </c>
      <c r="J36" s="0" t="n">
        <f aca="false">SUM(B36:I36)</f>
        <v>94009333</v>
      </c>
    </row>
    <row r="37" customFormat="false" ht="15" hidden="false" customHeight="false" outlineLevel="0" collapsed="false">
      <c r="A37" s="0" t="n">
        <v>35</v>
      </c>
      <c r="B37" s="0" t="n">
        <f aca="false">ROUND(SUMPRODUCT((Taches!$B$2:$B$60="LOT-01")*($A37&gt;=Taches!$H$2:$H$60)*((($A37-Taches!$H$2:$H$60+1)&gt;=Taches!$E$2:$E$60)+(($A37-Taches!$H$2:$H$60+1)&lt;Taches!$E$2:$E$60)*($A37-Taches!$H$2:$H$60+1)/Taches!$E$2:$E$60)*Taches!$G$2:$G$60),0)</f>
        <v>55890000</v>
      </c>
      <c r="C37" s="0" t="n">
        <f aca="false">ROUND(SUMPRODUCT((Taches!$B$2:$B$60="LOT-02")*($A37&gt;=Taches!$H$2:$H$60)*((($A37-Taches!$H$2:$H$60+1)&gt;=Taches!$E$2:$E$60)+(($A37-Taches!$H$2:$H$60+1)&lt;Taches!$E$2:$E$60)*($A37-Taches!$H$2:$H$60+1)/Taches!$E$2:$E$60)*Taches!$G$2:$G$60),0)</f>
        <v>39876000</v>
      </c>
      <c r="D37" s="0" t="n">
        <f aca="false">ROUND(SUMPRODUCT((Taches!$B$2:$B$60="LOT-03")*($A37&gt;=Taches!$H$2:$H$60)*((($A37-Taches!$H$2:$H$60+1)&gt;=Taches!$E$2:$E$60)+(($A37-Taches!$H$2:$H$60+1)&lt;Taches!$E$2:$E$60)*($A37-Taches!$H$2:$H$60+1)/Taches!$E$2:$E$60)*Taches!$G$2:$G$60),0)</f>
        <v>0</v>
      </c>
      <c r="E37" s="0" t="n">
        <f aca="false">ROUND(SUMPRODUCT((Taches!$B$2:$B$60="LOT-04")*($A37&gt;=Taches!$H$2:$H$60)*((($A37-Taches!$H$2:$H$60+1)&gt;=Taches!$E$2:$E$60)+(($A37-Taches!$H$2:$H$60+1)&lt;Taches!$E$2:$E$60)*($A37-Taches!$H$2:$H$60+1)/Taches!$E$2:$E$60)*Taches!$G$2:$G$60),0)</f>
        <v>0</v>
      </c>
      <c r="F37" s="0" t="n">
        <f aca="false">ROUND(SUMPRODUCT((Taches!$B$2:$B$60="LOT-05")*($A37&gt;=Taches!$H$2:$H$60)*((($A37-Taches!$H$2:$H$60+1)&gt;=Taches!$E$2:$E$60)+(($A37-Taches!$H$2:$H$60+1)&lt;Taches!$E$2:$E$60)*($A37-Taches!$H$2:$H$60+1)/Taches!$E$2:$E$60)*Taches!$G$2:$G$60),0)</f>
        <v>0</v>
      </c>
      <c r="G37" s="0" t="n">
        <f aca="false">ROUND(SUMPRODUCT((Taches!$B$2:$B$60="LOT-06")*($A37&gt;=Taches!$H$2:$H$60)*((($A37-Taches!$H$2:$H$60+1)&gt;=Taches!$E$2:$E$60)+(($A37-Taches!$H$2:$H$60+1)&lt;Taches!$E$2:$E$60)*($A37-Taches!$H$2:$H$60+1)/Taches!$E$2:$E$60)*Taches!$G$2:$G$60),0)</f>
        <v>0</v>
      </c>
      <c r="H37" s="0" t="n">
        <f aca="false">ROUND(SUMPRODUCT((Taches!$B$2:$B$60="LOT-07")*($A37&gt;=Taches!$H$2:$H$60)*((($A37-Taches!$H$2:$H$60+1)&gt;=Taches!$E$2:$E$60)+(($A37-Taches!$H$2:$H$60+1)&lt;Taches!$E$2:$E$60)*($A37-Taches!$H$2:$H$60+1)/Taches!$E$2:$E$60)*Taches!$G$2:$G$60),0)</f>
        <v>0</v>
      </c>
      <c r="I37" s="0" t="n">
        <f aca="false">ROUND(SUMPRODUCT((Taches!$B$2:$B$60="LOT-08")*($A37&gt;=Taches!$H$2:$H$60)*((($A37-Taches!$H$2:$H$60+1)&gt;=Taches!$E$2:$E$60)+(($A37-Taches!$H$2:$H$60+1)&lt;Taches!$E$2:$E$60)*($A37-Taches!$H$2:$H$60+1)/Taches!$E$2:$E$60)*Taches!$G$2:$G$60),0)</f>
        <v>0</v>
      </c>
      <c r="J37" s="0" t="n">
        <f aca="false">SUM(B37:I37)</f>
        <v>95766000</v>
      </c>
    </row>
    <row r="38" customFormat="false" ht="15" hidden="false" customHeight="false" outlineLevel="0" collapsed="false">
      <c r="A38" s="0" t="n">
        <v>36</v>
      </c>
      <c r="B38" s="0" t="n">
        <f aca="false">ROUND(SUMPRODUCT((Taches!$B$2:$B$60="LOT-01")*($A38&gt;=Taches!$H$2:$H$60)*((($A38-Taches!$H$2:$H$60+1)&gt;=Taches!$E$2:$E$60)+(($A38-Taches!$H$2:$H$60+1)&lt;Taches!$E$2:$E$60)*($A38-Taches!$H$2:$H$60+1)/Taches!$E$2:$E$60)*Taches!$G$2:$G$60),0)</f>
        <v>55890000</v>
      </c>
      <c r="C38" s="0" t="n">
        <f aca="false">ROUND(SUMPRODUCT((Taches!$B$2:$B$60="LOT-02")*($A38&gt;=Taches!$H$2:$H$60)*((($A38-Taches!$H$2:$H$60+1)&gt;=Taches!$E$2:$E$60)+(($A38-Taches!$H$2:$H$60+1)&lt;Taches!$E$2:$E$60)*($A38-Taches!$H$2:$H$60+1)/Taches!$E$2:$E$60)*Taches!$G$2:$G$60),0)</f>
        <v>40205100</v>
      </c>
      <c r="D38" s="0" t="n">
        <f aca="false">ROUND(SUMPRODUCT((Taches!$B$2:$B$60="LOT-03")*($A38&gt;=Taches!$H$2:$H$60)*((($A38-Taches!$H$2:$H$60+1)&gt;=Taches!$E$2:$E$60)+(($A38-Taches!$H$2:$H$60+1)&lt;Taches!$E$2:$E$60)*($A38-Taches!$H$2:$H$60+1)/Taches!$E$2:$E$60)*Taches!$G$2:$G$60),0)</f>
        <v>0</v>
      </c>
      <c r="E38" s="0" t="n">
        <f aca="false">ROUND(SUMPRODUCT((Taches!$B$2:$B$60="LOT-04")*($A38&gt;=Taches!$H$2:$H$60)*((($A38-Taches!$H$2:$H$60+1)&gt;=Taches!$E$2:$E$60)+(($A38-Taches!$H$2:$H$60+1)&lt;Taches!$E$2:$E$60)*($A38-Taches!$H$2:$H$60+1)/Taches!$E$2:$E$60)*Taches!$G$2:$G$60),0)</f>
        <v>0</v>
      </c>
      <c r="F38" s="0" t="n">
        <f aca="false">ROUND(SUMPRODUCT((Taches!$B$2:$B$60="LOT-05")*($A38&gt;=Taches!$H$2:$H$60)*((($A38-Taches!$H$2:$H$60+1)&gt;=Taches!$E$2:$E$60)+(($A38-Taches!$H$2:$H$60+1)&lt;Taches!$E$2:$E$60)*($A38-Taches!$H$2:$H$60+1)/Taches!$E$2:$E$60)*Taches!$G$2:$G$60),0)</f>
        <v>0</v>
      </c>
      <c r="G38" s="0" t="n">
        <f aca="false">ROUND(SUMPRODUCT((Taches!$B$2:$B$60="LOT-06")*($A38&gt;=Taches!$H$2:$H$60)*((($A38-Taches!$H$2:$H$60+1)&gt;=Taches!$E$2:$E$60)+(($A38-Taches!$H$2:$H$60+1)&lt;Taches!$E$2:$E$60)*($A38-Taches!$H$2:$H$60+1)/Taches!$E$2:$E$60)*Taches!$G$2:$G$60),0)</f>
        <v>0</v>
      </c>
      <c r="H38" s="0" t="n">
        <f aca="false">ROUND(SUMPRODUCT((Taches!$B$2:$B$60="LOT-07")*($A38&gt;=Taches!$H$2:$H$60)*((($A38-Taches!$H$2:$H$60+1)&gt;=Taches!$E$2:$E$60)+(($A38-Taches!$H$2:$H$60+1)&lt;Taches!$E$2:$E$60)*($A38-Taches!$H$2:$H$60+1)/Taches!$E$2:$E$60)*Taches!$G$2:$G$60),0)</f>
        <v>0</v>
      </c>
      <c r="I38" s="0" t="n">
        <f aca="false">ROUND(SUMPRODUCT((Taches!$B$2:$B$60="LOT-08")*($A38&gt;=Taches!$H$2:$H$60)*((($A38-Taches!$H$2:$H$60+1)&gt;=Taches!$E$2:$E$60)+(($A38-Taches!$H$2:$H$60+1)&lt;Taches!$E$2:$E$60)*($A38-Taches!$H$2:$H$60+1)/Taches!$E$2:$E$60)*Taches!$G$2:$G$60),0)</f>
        <v>0</v>
      </c>
      <c r="J38" s="0" t="n">
        <f aca="false">SUM(B38:I38)</f>
        <v>96095100</v>
      </c>
    </row>
    <row r="39" customFormat="false" ht="15" hidden="false" customHeight="false" outlineLevel="0" collapsed="false">
      <c r="A39" s="0" t="n">
        <v>37</v>
      </c>
      <c r="B39" s="0" t="n">
        <f aca="false">ROUND(SUMPRODUCT((Taches!$B$2:$B$60="LOT-01")*($A39&gt;=Taches!$H$2:$H$60)*((($A39-Taches!$H$2:$H$60+1)&gt;=Taches!$E$2:$E$60)+(($A39-Taches!$H$2:$H$60+1)&lt;Taches!$E$2:$E$60)*($A39-Taches!$H$2:$H$60+1)/Taches!$E$2:$E$60)*Taches!$G$2:$G$60),0)</f>
        <v>55890000</v>
      </c>
      <c r="C39" s="0" t="n">
        <f aca="false">ROUND(SUMPRODUCT((Taches!$B$2:$B$60="LOT-02")*($A39&gt;=Taches!$H$2:$H$60)*((($A39-Taches!$H$2:$H$60+1)&gt;=Taches!$E$2:$E$60)+(($A39-Taches!$H$2:$H$60+1)&lt;Taches!$E$2:$E$60)*($A39-Taches!$H$2:$H$60+1)/Taches!$E$2:$E$60)*Taches!$G$2:$G$60),0)</f>
        <v>40534200</v>
      </c>
      <c r="D39" s="0" t="n">
        <f aca="false">ROUND(SUMPRODUCT((Taches!$B$2:$B$60="LOT-03")*($A39&gt;=Taches!$H$2:$H$60)*((($A39-Taches!$H$2:$H$60+1)&gt;=Taches!$E$2:$E$60)+(($A39-Taches!$H$2:$H$60+1)&lt;Taches!$E$2:$E$60)*($A39-Taches!$H$2:$H$60+1)/Taches!$E$2:$E$60)*Taches!$G$2:$G$60),0)</f>
        <v>0</v>
      </c>
      <c r="E39" s="0" t="n">
        <f aca="false">ROUND(SUMPRODUCT((Taches!$B$2:$B$60="LOT-04")*($A39&gt;=Taches!$H$2:$H$60)*((($A39-Taches!$H$2:$H$60+1)&gt;=Taches!$E$2:$E$60)+(($A39-Taches!$H$2:$H$60+1)&lt;Taches!$E$2:$E$60)*($A39-Taches!$H$2:$H$60+1)/Taches!$E$2:$E$60)*Taches!$G$2:$G$60),0)</f>
        <v>0</v>
      </c>
      <c r="F39" s="0" t="n">
        <f aca="false">ROUND(SUMPRODUCT((Taches!$B$2:$B$60="LOT-05")*($A39&gt;=Taches!$H$2:$H$60)*((($A39-Taches!$H$2:$H$60+1)&gt;=Taches!$E$2:$E$60)+(($A39-Taches!$H$2:$H$60+1)&lt;Taches!$E$2:$E$60)*($A39-Taches!$H$2:$H$60+1)/Taches!$E$2:$E$60)*Taches!$G$2:$G$60),0)</f>
        <v>0</v>
      </c>
      <c r="G39" s="0" t="n">
        <f aca="false">ROUND(SUMPRODUCT((Taches!$B$2:$B$60="LOT-06")*($A39&gt;=Taches!$H$2:$H$60)*((($A39-Taches!$H$2:$H$60+1)&gt;=Taches!$E$2:$E$60)+(($A39-Taches!$H$2:$H$60+1)&lt;Taches!$E$2:$E$60)*($A39-Taches!$H$2:$H$60+1)/Taches!$E$2:$E$60)*Taches!$G$2:$G$60),0)</f>
        <v>0</v>
      </c>
      <c r="H39" s="0" t="n">
        <f aca="false">ROUND(SUMPRODUCT((Taches!$B$2:$B$60="LOT-07")*($A39&gt;=Taches!$H$2:$H$60)*((($A39-Taches!$H$2:$H$60+1)&gt;=Taches!$E$2:$E$60)+(($A39-Taches!$H$2:$H$60+1)&lt;Taches!$E$2:$E$60)*($A39-Taches!$H$2:$H$60+1)/Taches!$E$2:$E$60)*Taches!$G$2:$G$60),0)</f>
        <v>0</v>
      </c>
      <c r="I39" s="0" t="n">
        <f aca="false">ROUND(SUMPRODUCT((Taches!$B$2:$B$60="LOT-08")*($A39&gt;=Taches!$H$2:$H$60)*((($A39-Taches!$H$2:$H$60+1)&gt;=Taches!$E$2:$E$60)+(($A39-Taches!$H$2:$H$60+1)&lt;Taches!$E$2:$E$60)*($A39-Taches!$H$2:$H$60+1)/Taches!$E$2:$E$60)*Taches!$G$2:$G$60),0)</f>
        <v>0</v>
      </c>
      <c r="J39" s="0" t="n">
        <f aca="false">SUM(B39:I39)</f>
        <v>96424200</v>
      </c>
    </row>
    <row r="40" customFormat="false" ht="15" hidden="false" customHeight="false" outlineLevel="0" collapsed="false">
      <c r="A40" s="0" t="n">
        <v>38</v>
      </c>
      <c r="B40" s="0" t="n">
        <f aca="false">ROUND(SUMPRODUCT((Taches!$B$2:$B$60="LOT-01")*($A40&gt;=Taches!$H$2:$H$60)*((($A40-Taches!$H$2:$H$60+1)&gt;=Taches!$E$2:$E$60)+(($A40-Taches!$H$2:$H$60+1)&lt;Taches!$E$2:$E$60)*($A40-Taches!$H$2:$H$60+1)/Taches!$E$2:$E$60)*Taches!$G$2:$G$60),0)</f>
        <v>55890000</v>
      </c>
      <c r="C40" s="0" t="n">
        <f aca="false">ROUND(SUMPRODUCT((Taches!$B$2:$B$60="LOT-02")*($A40&gt;=Taches!$H$2:$H$60)*((($A40-Taches!$H$2:$H$60+1)&gt;=Taches!$E$2:$E$60)+(($A40-Taches!$H$2:$H$60+1)&lt;Taches!$E$2:$E$60)*($A40-Taches!$H$2:$H$60+1)/Taches!$E$2:$E$60)*Taches!$G$2:$G$60),0)</f>
        <v>40863300</v>
      </c>
      <c r="D40" s="0" t="n">
        <f aca="false">ROUND(SUMPRODUCT((Taches!$B$2:$B$60="LOT-03")*($A40&gt;=Taches!$H$2:$H$60)*((($A40-Taches!$H$2:$H$60+1)&gt;=Taches!$E$2:$E$60)+(($A40-Taches!$H$2:$H$60+1)&lt;Taches!$E$2:$E$60)*($A40-Taches!$H$2:$H$60+1)/Taches!$E$2:$E$60)*Taches!$G$2:$G$60),0)</f>
        <v>0</v>
      </c>
      <c r="E40" s="0" t="n">
        <f aca="false">ROUND(SUMPRODUCT((Taches!$B$2:$B$60="LOT-04")*($A40&gt;=Taches!$H$2:$H$60)*((($A40-Taches!$H$2:$H$60+1)&gt;=Taches!$E$2:$E$60)+(($A40-Taches!$H$2:$H$60+1)&lt;Taches!$E$2:$E$60)*($A40-Taches!$H$2:$H$60+1)/Taches!$E$2:$E$60)*Taches!$G$2:$G$60),0)</f>
        <v>0</v>
      </c>
      <c r="F40" s="0" t="n">
        <f aca="false">ROUND(SUMPRODUCT((Taches!$B$2:$B$60="LOT-05")*($A40&gt;=Taches!$H$2:$H$60)*((($A40-Taches!$H$2:$H$60+1)&gt;=Taches!$E$2:$E$60)+(($A40-Taches!$H$2:$H$60+1)&lt;Taches!$E$2:$E$60)*($A40-Taches!$H$2:$H$60+1)/Taches!$E$2:$E$60)*Taches!$G$2:$G$60),0)</f>
        <v>0</v>
      </c>
      <c r="G40" s="0" t="n">
        <f aca="false">ROUND(SUMPRODUCT((Taches!$B$2:$B$60="LOT-06")*($A40&gt;=Taches!$H$2:$H$60)*((($A40-Taches!$H$2:$H$60+1)&gt;=Taches!$E$2:$E$60)+(($A40-Taches!$H$2:$H$60+1)&lt;Taches!$E$2:$E$60)*($A40-Taches!$H$2:$H$60+1)/Taches!$E$2:$E$60)*Taches!$G$2:$G$60),0)</f>
        <v>0</v>
      </c>
      <c r="H40" s="0" t="n">
        <f aca="false">ROUND(SUMPRODUCT((Taches!$B$2:$B$60="LOT-07")*($A40&gt;=Taches!$H$2:$H$60)*((($A40-Taches!$H$2:$H$60+1)&gt;=Taches!$E$2:$E$60)+(($A40-Taches!$H$2:$H$60+1)&lt;Taches!$E$2:$E$60)*($A40-Taches!$H$2:$H$60+1)/Taches!$E$2:$E$60)*Taches!$G$2:$G$60),0)</f>
        <v>0</v>
      </c>
      <c r="I40" s="0" t="n">
        <f aca="false">ROUND(SUMPRODUCT((Taches!$B$2:$B$60="LOT-08")*($A40&gt;=Taches!$H$2:$H$60)*((($A40-Taches!$H$2:$H$60+1)&gt;=Taches!$E$2:$E$60)+(($A40-Taches!$H$2:$H$60+1)&lt;Taches!$E$2:$E$60)*($A40-Taches!$H$2:$H$60+1)/Taches!$E$2:$E$60)*Taches!$G$2:$G$60),0)</f>
        <v>0</v>
      </c>
      <c r="J40" s="0" t="n">
        <f aca="false">SUM(B40:I40)</f>
        <v>96753300</v>
      </c>
    </row>
    <row r="41" customFormat="false" ht="15" hidden="false" customHeight="false" outlineLevel="0" collapsed="false">
      <c r="A41" s="0" t="n">
        <v>39</v>
      </c>
      <c r="B41" s="0" t="n">
        <f aca="false">ROUND(SUMPRODUCT((Taches!$B$2:$B$60="LOT-01")*($A41&gt;=Taches!$H$2:$H$60)*((($A41-Taches!$H$2:$H$60+1)&gt;=Taches!$E$2:$E$60)+(($A41-Taches!$H$2:$H$60+1)&lt;Taches!$E$2:$E$60)*($A41-Taches!$H$2:$H$60+1)/Taches!$E$2:$E$60)*Taches!$G$2:$G$60),0)</f>
        <v>55890000</v>
      </c>
      <c r="C41" s="0" t="n">
        <f aca="false">ROUND(SUMPRODUCT((Taches!$B$2:$B$60="LOT-02")*($A41&gt;=Taches!$H$2:$H$60)*((($A41-Taches!$H$2:$H$60+1)&gt;=Taches!$E$2:$E$60)+(($A41-Taches!$H$2:$H$60+1)&lt;Taches!$E$2:$E$60)*($A41-Taches!$H$2:$H$60+1)/Taches!$E$2:$E$60)*Taches!$G$2:$G$60),0)</f>
        <v>41192400</v>
      </c>
      <c r="D41" s="0" t="n">
        <f aca="false">ROUND(SUMPRODUCT((Taches!$B$2:$B$60="LOT-03")*($A41&gt;=Taches!$H$2:$H$60)*((($A41-Taches!$H$2:$H$60+1)&gt;=Taches!$E$2:$E$60)+(($A41-Taches!$H$2:$H$60+1)&lt;Taches!$E$2:$E$60)*($A41-Taches!$H$2:$H$60+1)/Taches!$E$2:$E$60)*Taches!$G$2:$G$60),0)</f>
        <v>0</v>
      </c>
      <c r="E41" s="0" t="n">
        <f aca="false">ROUND(SUMPRODUCT((Taches!$B$2:$B$60="LOT-04")*($A41&gt;=Taches!$H$2:$H$60)*((($A41-Taches!$H$2:$H$60+1)&gt;=Taches!$E$2:$E$60)+(($A41-Taches!$H$2:$H$60+1)&lt;Taches!$E$2:$E$60)*($A41-Taches!$H$2:$H$60+1)/Taches!$E$2:$E$60)*Taches!$G$2:$G$60),0)</f>
        <v>0</v>
      </c>
      <c r="F41" s="0" t="n">
        <f aca="false">ROUND(SUMPRODUCT((Taches!$B$2:$B$60="LOT-05")*($A41&gt;=Taches!$H$2:$H$60)*((($A41-Taches!$H$2:$H$60+1)&gt;=Taches!$E$2:$E$60)+(($A41-Taches!$H$2:$H$60+1)&lt;Taches!$E$2:$E$60)*($A41-Taches!$H$2:$H$60+1)/Taches!$E$2:$E$60)*Taches!$G$2:$G$60),0)</f>
        <v>0</v>
      </c>
      <c r="G41" s="0" t="n">
        <f aca="false">ROUND(SUMPRODUCT((Taches!$B$2:$B$60="LOT-06")*($A41&gt;=Taches!$H$2:$H$60)*((($A41-Taches!$H$2:$H$60+1)&gt;=Taches!$E$2:$E$60)+(($A41-Taches!$H$2:$H$60+1)&lt;Taches!$E$2:$E$60)*($A41-Taches!$H$2:$H$60+1)/Taches!$E$2:$E$60)*Taches!$G$2:$G$60),0)</f>
        <v>0</v>
      </c>
      <c r="H41" s="0" t="n">
        <f aca="false">ROUND(SUMPRODUCT((Taches!$B$2:$B$60="LOT-07")*($A41&gt;=Taches!$H$2:$H$60)*((($A41-Taches!$H$2:$H$60+1)&gt;=Taches!$E$2:$E$60)+(($A41-Taches!$H$2:$H$60+1)&lt;Taches!$E$2:$E$60)*($A41-Taches!$H$2:$H$60+1)/Taches!$E$2:$E$60)*Taches!$G$2:$G$60),0)</f>
        <v>0</v>
      </c>
      <c r="I41" s="0" t="n">
        <f aca="false">ROUND(SUMPRODUCT((Taches!$B$2:$B$60="LOT-08")*($A41&gt;=Taches!$H$2:$H$60)*((($A41-Taches!$H$2:$H$60+1)&gt;=Taches!$E$2:$E$60)+(($A41-Taches!$H$2:$H$60+1)&lt;Taches!$E$2:$E$60)*($A41-Taches!$H$2:$H$60+1)/Taches!$E$2:$E$60)*Taches!$G$2:$G$60),0)</f>
        <v>0</v>
      </c>
      <c r="J41" s="0" t="n">
        <f aca="false">SUM(B41:I41)</f>
        <v>97082400</v>
      </c>
    </row>
    <row r="42" customFormat="false" ht="15" hidden="false" customHeight="false" outlineLevel="0" collapsed="false">
      <c r="A42" s="0" t="n">
        <v>40</v>
      </c>
      <c r="B42" s="0" t="n">
        <f aca="false">ROUND(SUMPRODUCT((Taches!$B$2:$B$60="LOT-01")*($A42&gt;=Taches!$H$2:$H$60)*((($A42-Taches!$H$2:$H$60+1)&gt;=Taches!$E$2:$E$60)+(($A42-Taches!$H$2:$H$60+1)&lt;Taches!$E$2:$E$60)*($A42-Taches!$H$2:$H$60+1)/Taches!$E$2:$E$60)*Taches!$G$2:$G$60),0)</f>
        <v>55890000</v>
      </c>
      <c r="C42" s="0" t="n">
        <f aca="false">ROUND(SUMPRODUCT((Taches!$B$2:$B$60="LOT-02")*($A42&gt;=Taches!$H$2:$H$60)*((($A42-Taches!$H$2:$H$60+1)&gt;=Taches!$E$2:$E$60)+(($A42-Taches!$H$2:$H$60+1)&lt;Taches!$E$2:$E$60)*($A42-Taches!$H$2:$H$60+1)/Taches!$E$2:$E$60)*Taches!$G$2:$G$60),0)</f>
        <v>41521500</v>
      </c>
      <c r="D42" s="0" t="n">
        <f aca="false">ROUND(SUMPRODUCT((Taches!$B$2:$B$60="LOT-03")*($A42&gt;=Taches!$H$2:$H$60)*((($A42-Taches!$H$2:$H$60+1)&gt;=Taches!$E$2:$E$60)+(($A42-Taches!$H$2:$H$60+1)&lt;Taches!$E$2:$E$60)*($A42-Taches!$H$2:$H$60+1)/Taches!$E$2:$E$60)*Taches!$G$2:$G$60),0)</f>
        <v>0</v>
      </c>
      <c r="E42" s="0" t="n">
        <f aca="false">ROUND(SUMPRODUCT((Taches!$B$2:$B$60="LOT-04")*($A42&gt;=Taches!$H$2:$H$60)*((($A42-Taches!$H$2:$H$60+1)&gt;=Taches!$E$2:$E$60)+(($A42-Taches!$H$2:$H$60+1)&lt;Taches!$E$2:$E$60)*($A42-Taches!$H$2:$H$60+1)/Taches!$E$2:$E$60)*Taches!$G$2:$G$60),0)</f>
        <v>0</v>
      </c>
      <c r="F42" s="0" t="n">
        <f aca="false">ROUND(SUMPRODUCT((Taches!$B$2:$B$60="LOT-05")*($A42&gt;=Taches!$H$2:$H$60)*((($A42-Taches!$H$2:$H$60+1)&gt;=Taches!$E$2:$E$60)+(($A42-Taches!$H$2:$H$60+1)&lt;Taches!$E$2:$E$60)*($A42-Taches!$H$2:$H$60+1)/Taches!$E$2:$E$60)*Taches!$G$2:$G$60),0)</f>
        <v>0</v>
      </c>
      <c r="G42" s="0" t="n">
        <f aca="false">ROUND(SUMPRODUCT((Taches!$B$2:$B$60="LOT-06")*($A42&gt;=Taches!$H$2:$H$60)*((($A42-Taches!$H$2:$H$60+1)&gt;=Taches!$E$2:$E$60)+(($A42-Taches!$H$2:$H$60+1)&lt;Taches!$E$2:$E$60)*($A42-Taches!$H$2:$H$60+1)/Taches!$E$2:$E$60)*Taches!$G$2:$G$60),0)</f>
        <v>0</v>
      </c>
      <c r="H42" s="0" t="n">
        <f aca="false">ROUND(SUMPRODUCT((Taches!$B$2:$B$60="LOT-07")*($A42&gt;=Taches!$H$2:$H$60)*((($A42-Taches!$H$2:$H$60+1)&gt;=Taches!$E$2:$E$60)+(($A42-Taches!$H$2:$H$60+1)&lt;Taches!$E$2:$E$60)*($A42-Taches!$H$2:$H$60+1)/Taches!$E$2:$E$60)*Taches!$G$2:$G$60),0)</f>
        <v>0</v>
      </c>
      <c r="I42" s="0" t="n">
        <f aca="false">ROUND(SUMPRODUCT((Taches!$B$2:$B$60="LOT-08")*($A42&gt;=Taches!$H$2:$H$60)*((($A42-Taches!$H$2:$H$60+1)&gt;=Taches!$E$2:$E$60)+(($A42-Taches!$H$2:$H$60+1)&lt;Taches!$E$2:$E$60)*($A42-Taches!$H$2:$H$60+1)/Taches!$E$2:$E$60)*Taches!$G$2:$G$60),0)</f>
        <v>0</v>
      </c>
      <c r="J42" s="0" t="n">
        <f aca="false">SUM(B42:I42)</f>
        <v>97411500</v>
      </c>
    </row>
    <row r="43" customFormat="false" ht="15" hidden="false" customHeight="false" outlineLevel="0" collapsed="false">
      <c r="A43" s="0" t="n">
        <v>41</v>
      </c>
      <c r="B43" s="0" t="n">
        <f aca="false">ROUND(SUMPRODUCT((Taches!$B$2:$B$60="LOT-01")*($A43&gt;=Taches!$H$2:$H$60)*((($A43-Taches!$H$2:$H$60+1)&gt;=Taches!$E$2:$E$60)+(($A43-Taches!$H$2:$H$60+1)&lt;Taches!$E$2:$E$60)*($A43-Taches!$H$2:$H$60+1)/Taches!$E$2:$E$60)*Taches!$G$2:$G$60),0)</f>
        <v>55890000</v>
      </c>
      <c r="C43" s="0" t="n">
        <f aca="false">ROUND(SUMPRODUCT((Taches!$B$2:$B$60="LOT-02")*($A43&gt;=Taches!$H$2:$H$60)*((($A43-Taches!$H$2:$H$60+1)&gt;=Taches!$E$2:$E$60)+(($A43-Taches!$H$2:$H$60+1)&lt;Taches!$E$2:$E$60)*($A43-Taches!$H$2:$H$60+1)/Taches!$E$2:$E$60)*Taches!$G$2:$G$60),0)</f>
        <v>41850600</v>
      </c>
      <c r="D43" s="0" t="n">
        <f aca="false">ROUND(SUMPRODUCT((Taches!$B$2:$B$60="LOT-03")*($A43&gt;=Taches!$H$2:$H$60)*((($A43-Taches!$H$2:$H$60+1)&gt;=Taches!$E$2:$E$60)+(($A43-Taches!$H$2:$H$60+1)&lt;Taches!$E$2:$E$60)*($A43-Taches!$H$2:$H$60+1)/Taches!$E$2:$E$60)*Taches!$G$2:$G$60),0)</f>
        <v>0</v>
      </c>
      <c r="E43" s="0" t="n">
        <f aca="false">ROUND(SUMPRODUCT((Taches!$B$2:$B$60="LOT-04")*($A43&gt;=Taches!$H$2:$H$60)*((($A43-Taches!$H$2:$H$60+1)&gt;=Taches!$E$2:$E$60)+(($A43-Taches!$H$2:$H$60+1)&lt;Taches!$E$2:$E$60)*($A43-Taches!$H$2:$H$60+1)/Taches!$E$2:$E$60)*Taches!$G$2:$G$60),0)</f>
        <v>0</v>
      </c>
      <c r="F43" s="0" t="n">
        <f aca="false">ROUND(SUMPRODUCT((Taches!$B$2:$B$60="LOT-05")*($A43&gt;=Taches!$H$2:$H$60)*((($A43-Taches!$H$2:$H$60+1)&gt;=Taches!$E$2:$E$60)+(($A43-Taches!$H$2:$H$60+1)&lt;Taches!$E$2:$E$60)*($A43-Taches!$H$2:$H$60+1)/Taches!$E$2:$E$60)*Taches!$G$2:$G$60),0)</f>
        <v>0</v>
      </c>
      <c r="G43" s="0" t="n">
        <f aca="false">ROUND(SUMPRODUCT((Taches!$B$2:$B$60="LOT-06")*($A43&gt;=Taches!$H$2:$H$60)*((($A43-Taches!$H$2:$H$60+1)&gt;=Taches!$E$2:$E$60)+(($A43-Taches!$H$2:$H$60+1)&lt;Taches!$E$2:$E$60)*($A43-Taches!$H$2:$H$60+1)/Taches!$E$2:$E$60)*Taches!$G$2:$G$60),0)</f>
        <v>0</v>
      </c>
      <c r="H43" s="0" t="n">
        <f aca="false">ROUND(SUMPRODUCT((Taches!$B$2:$B$60="LOT-07")*($A43&gt;=Taches!$H$2:$H$60)*((($A43-Taches!$H$2:$H$60+1)&gt;=Taches!$E$2:$E$60)+(($A43-Taches!$H$2:$H$60+1)&lt;Taches!$E$2:$E$60)*($A43-Taches!$H$2:$H$60+1)/Taches!$E$2:$E$60)*Taches!$G$2:$G$60),0)</f>
        <v>0</v>
      </c>
      <c r="I43" s="0" t="n">
        <f aca="false">ROUND(SUMPRODUCT((Taches!$B$2:$B$60="LOT-08")*($A43&gt;=Taches!$H$2:$H$60)*((($A43-Taches!$H$2:$H$60+1)&gt;=Taches!$E$2:$E$60)+(($A43-Taches!$H$2:$H$60+1)&lt;Taches!$E$2:$E$60)*($A43-Taches!$H$2:$H$60+1)/Taches!$E$2:$E$60)*Taches!$G$2:$G$60),0)</f>
        <v>0</v>
      </c>
      <c r="J43" s="0" t="n">
        <f aca="false">SUM(B43:I43)</f>
        <v>97740600</v>
      </c>
    </row>
    <row r="44" customFormat="false" ht="15" hidden="false" customHeight="false" outlineLevel="0" collapsed="false">
      <c r="A44" s="0" t="n">
        <v>42</v>
      </c>
      <c r="B44" s="0" t="n">
        <f aca="false">ROUND(SUMPRODUCT((Taches!$B$2:$B$60="LOT-01")*($A44&gt;=Taches!$H$2:$H$60)*((($A44-Taches!$H$2:$H$60+1)&gt;=Taches!$E$2:$E$60)+(($A44-Taches!$H$2:$H$60+1)&lt;Taches!$E$2:$E$60)*($A44-Taches!$H$2:$H$60+1)/Taches!$E$2:$E$60)*Taches!$G$2:$G$60),0)</f>
        <v>55890000</v>
      </c>
      <c r="C44" s="0" t="n">
        <f aca="false">ROUND(SUMPRODUCT((Taches!$B$2:$B$60="LOT-02")*($A44&gt;=Taches!$H$2:$H$60)*((($A44-Taches!$H$2:$H$60+1)&gt;=Taches!$E$2:$E$60)+(($A44-Taches!$H$2:$H$60+1)&lt;Taches!$E$2:$E$60)*($A44-Taches!$H$2:$H$60+1)/Taches!$E$2:$E$60)*Taches!$G$2:$G$60),0)</f>
        <v>42179700</v>
      </c>
      <c r="D44" s="0" t="n">
        <f aca="false">ROUND(SUMPRODUCT((Taches!$B$2:$B$60="LOT-03")*($A44&gt;=Taches!$H$2:$H$60)*((($A44-Taches!$H$2:$H$60+1)&gt;=Taches!$E$2:$E$60)+(($A44-Taches!$H$2:$H$60+1)&lt;Taches!$E$2:$E$60)*($A44-Taches!$H$2:$H$60+1)/Taches!$E$2:$E$60)*Taches!$G$2:$G$60),0)</f>
        <v>0</v>
      </c>
      <c r="E44" s="0" t="n">
        <f aca="false">ROUND(SUMPRODUCT((Taches!$B$2:$B$60="LOT-04")*($A44&gt;=Taches!$H$2:$H$60)*((($A44-Taches!$H$2:$H$60+1)&gt;=Taches!$E$2:$E$60)+(($A44-Taches!$H$2:$H$60+1)&lt;Taches!$E$2:$E$60)*($A44-Taches!$H$2:$H$60+1)/Taches!$E$2:$E$60)*Taches!$G$2:$G$60),0)</f>
        <v>0</v>
      </c>
      <c r="F44" s="0" t="n">
        <f aca="false">ROUND(SUMPRODUCT((Taches!$B$2:$B$60="LOT-05")*($A44&gt;=Taches!$H$2:$H$60)*((($A44-Taches!$H$2:$H$60+1)&gt;=Taches!$E$2:$E$60)+(($A44-Taches!$H$2:$H$60+1)&lt;Taches!$E$2:$E$60)*($A44-Taches!$H$2:$H$60+1)/Taches!$E$2:$E$60)*Taches!$G$2:$G$60),0)</f>
        <v>0</v>
      </c>
      <c r="G44" s="0" t="n">
        <f aca="false">ROUND(SUMPRODUCT((Taches!$B$2:$B$60="LOT-06")*($A44&gt;=Taches!$H$2:$H$60)*((($A44-Taches!$H$2:$H$60+1)&gt;=Taches!$E$2:$E$60)+(($A44-Taches!$H$2:$H$60+1)&lt;Taches!$E$2:$E$60)*($A44-Taches!$H$2:$H$60+1)/Taches!$E$2:$E$60)*Taches!$G$2:$G$60),0)</f>
        <v>0</v>
      </c>
      <c r="H44" s="0" t="n">
        <f aca="false">ROUND(SUMPRODUCT((Taches!$B$2:$B$60="LOT-07")*($A44&gt;=Taches!$H$2:$H$60)*((($A44-Taches!$H$2:$H$60+1)&gt;=Taches!$E$2:$E$60)+(($A44-Taches!$H$2:$H$60+1)&lt;Taches!$E$2:$E$60)*($A44-Taches!$H$2:$H$60+1)/Taches!$E$2:$E$60)*Taches!$G$2:$G$60),0)</f>
        <v>0</v>
      </c>
      <c r="I44" s="0" t="n">
        <f aca="false">ROUND(SUMPRODUCT((Taches!$B$2:$B$60="LOT-08")*($A44&gt;=Taches!$H$2:$H$60)*((($A44-Taches!$H$2:$H$60+1)&gt;=Taches!$E$2:$E$60)+(($A44-Taches!$H$2:$H$60+1)&lt;Taches!$E$2:$E$60)*($A44-Taches!$H$2:$H$60+1)/Taches!$E$2:$E$60)*Taches!$G$2:$G$60),0)</f>
        <v>0</v>
      </c>
      <c r="J44" s="0" t="n">
        <f aca="false">SUM(B44:I44)</f>
        <v>98069700</v>
      </c>
    </row>
    <row r="45" customFormat="false" ht="15" hidden="false" customHeight="false" outlineLevel="0" collapsed="false">
      <c r="A45" s="0" t="n">
        <v>43</v>
      </c>
      <c r="B45" s="0" t="n">
        <f aca="false">ROUND(SUMPRODUCT((Taches!$B$2:$B$60="LOT-01")*($A45&gt;=Taches!$H$2:$H$60)*((($A45-Taches!$H$2:$H$60+1)&gt;=Taches!$E$2:$E$60)+(($A45-Taches!$H$2:$H$60+1)&lt;Taches!$E$2:$E$60)*($A45-Taches!$H$2:$H$60+1)/Taches!$E$2:$E$60)*Taches!$G$2:$G$60),0)</f>
        <v>55890000</v>
      </c>
      <c r="C45" s="0" t="n">
        <f aca="false">ROUND(SUMPRODUCT((Taches!$B$2:$B$60="LOT-02")*($A45&gt;=Taches!$H$2:$H$60)*((($A45-Taches!$H$2:$H$60+1)&gt;=Taches!$E$2:$E$60)+(($A45-Taches!$H$2:$H$60+1)&lt;Taches!$E$2:$E$60)*($A45-Taches!$H$2:$H$60+1)/Taches!$E$2:$E$60)*Taches!$G$2:$G$60),0)</f>
        <v>42508800</v>
      </c>
      <c r="D45" s="0" t="n">
        <f aca="false">ROUND(SUMPRODUCT((Taches!$B$2:$B$60="LOT-03")*($A45&gt;=Taches!$H$2:$H$60)*((($A45-Taches!$H$2:$H$60+1)&gt;=Taches!$E$2:$E$60)+(($A45-Taches!$H$2:$H$60+1)&lt;Taches!$E$2:$E$60)*($A45-Taches!$H$2:$H$60+1)/Taches!$E$2:$E$60)*Taches!$G$2:$G$60),0)</f>
        <v>0</v>
      </c>
      <c r="E45" s="0" t="n">
        <f aca="false">ROUND(SUMPRODUCT((Taches!$B$2:$B$60="LOT-04")*($A45&gt;=Taches!$H$2:$H$60)*((($A45-Taches!$H$2:$H$60+1)&gt;=Taches!$E$2:$E$60)+(($A45-Taches!$H$2:$H$60+1)&lt;Taches!$E$2:$E$60)*($A45-Taches!$H$2:$H$60+1)/Taches!$E$2:$E$60)*Taches!$G$2:$G$60),0)</f>
        <v>0</v>
      </c>
      <c r="F45" s="0" t="n">
        <f aca="false">ROUND(SUMPRODUCT((Taches!$B$2:$B$60="LOT-05")*($A45&gt;=Taches!$H$2:$H$60)*((($A45-Taches!$H$2:$H$60+1)&gt;=Taches!$E$2:$E$60)+(($A45-Taches!$H$2:$H$60+1)&lt;Taches!$E$2:$E$60)*($A45-Taches!$H$2:$H$60+1)/Taches!$E$2:$E$60)*Taches!$G$2:$G$60),0)</f>
        <v>0</v>
      </c>
      <c r="G45" s="0" t="n">
        <f aca="false">ROUND(SUMPRODUCT((Taches!$B$2:$B$60="LOT-06")*($A45&gt;=Taches!$H$2:$H$60)*((($A45-Taches!$H$2:$H$60+1)&gt;=Taches!$E$2:$E$60)+(($A45-Taches!$H$2:$H$60+1)&lt;Taches!$E$2:$E$60)*($A45-Taches!$H$2:$H$60+1)/Taches!$E$2:$E$60)*Taches!$G$2:$G$60),0)</f>
        <v>0</v>
      </c>
      <c r="H45" s="0" t="n">
        <f aca="false">ROUND(SUMPRODUCT((Taches!$B$2:$B$60="LOT-07")*($A45&gt;=Taches!$H$2:$H$60)*((($A45-Taches!$H$2:$H$60+1)&gt;=Taches!$E$2:$E$60)+(($A45-Taches!$H$2:$H$60+1)&lt;Taches!$E$2:$E$60)*($A45-Taches!$H$2:$H$60+1)/Taches!$E$2:$E$60)*Taches!$G$2:$G$60),0)</f>
        <v>0</v>
      </c>
      <c r="I45" s="0" t="n">
        <f aca="false">ROUND(SUMPRODUCT((Taches!$B$2:$B$60="LOT-08")*($A45&gt;=Taches!$H$2:$H$60)*((($A45-Taches!$H$2:$H$60+1)&gt;=Taches!$E$2:$E$60)+(($A45-Taches!$H$2:$H$60+1)&lt;Taches!$E$2:$E$60)*($A45-Taches!$H$2:$H$60+1)/Taches!$E$2:$E$60)*Taches!$G$2:$G$60),0)</f>
        <v>0</v>
      </c>
      <c r="J45" s="0" t="n">
        <f aca="false">SUM(B45:I45)</f>
        <v>98398800</v>
      </c>
    </row>
    <row r="46" customFormat="false" ht="15" hidden="false" customHeight="false" outlineLevel="0" collapsed="false">
      <c r="A46" s="0" t="n">
        <v>44</v>
      </c>
      <c r="B46" s="0" t="n">
        <f aca="false">ROUND(SUMPRODUCT((Taches!$B$2:$B$60="LOT-01")*($A46&gt;=Taches!$H$2:$H$60)*((($A46-Taches!$H$2:$H$60+1)&gt;=Taches!$E$2:$E$60)+(($A46-Taches!$H$2:$H$60+1)&lt;Taches!$E$2:$E$60)*($A46-Taches!$H$2:$H$60+1)/Taches!$E$2:$E$60)*Taches!$G$2:$G$60),0)</f>
        <v>55890000</v>
      </c>
      <c r="C46" s="0" t="n">
        <f aca="false">ROUND(SUMPRODUCT((Taches!$B$2:$B$60="LOT-02")*($A46&gt;=Taches!$H$2:$H$60)*((($A46-Taches!$H$2:$H$60+1)&gt;=Taches!$E$2:$E$60)+(($A46-Taches!$H$2:$H$60+1)&lt;Taches!$E$2:$E$60)*($A46-Taches!$H$2:$H$60+1)/Taches!$E$2:$E$60)*Taches!$G$2:$G$60),0)</f>
        <v>42837900</v>
      </c>
      <c r="D46" s="0" t="n">
        <f aca="false">ROUND(SUMPRODUCT((Taches!$B$2:$B$60="LOT-03")*($A46&gt;=Taches!$H$2:$H$60)*((($A46-Taches!$H$2:$H$60+1)&gt;=Taches!$E$2:$E$60)+(($A46-Taches!$H$2:$H$60+1)&lt;Taches!$E$2:$E$60)*($A46-Taches!$H$2:$H$60+1)/Taches!$E$2:$E$60)*Taches!$G$2:$G$60),0)</f>
        <v>0</v>
      </c>
      <c r="E46" s="0" t="n">
        <f aca="false">ROUND(SUMPRODUCT((Taches!$B$2:$B$60="LOT-04")*($A46&gt;=Taches!$H$2:$H$60)*((($A46-Taches!$H$2:$H$60+1)&gt;=Taches!$E$2:$E$60)+(($A46-Taches!$H$2:$H$60+1)&lt;Taches!$E$2:$E$60)*($A46-Taches!$H$2:$H$60+1)/Taches!$E$2:$E$60)*Taches!$G$2:$G$60),0)</f>
        <v>0</v>
      </c>
      <c r="F46" s="0" t="n">
        <f aca="false">ROUND(SUMPRODUCT((Taches!$B$2:$B$60="LOT-05")*($A46&gt;=Taches!$H$2:$H$60)*((($A46-Taches!$H$2:$H$60+1)&gt;=Taches!$E$2:$E$60)+(($A46-Taches!$H$2:$H$60+1)&lt;Taches!$E$2:$E$60)*($A46-Taches!$H$2:$H$60+1)/Taches!$E$2:$E$60)*Taches!$G$2:$G$60),0)</f>
        <v>0</v>
      </c>
      <c r="G46" s="0" t="n">
        <f aca="false">ROUND(SUMPRODUCT((Taches!$B$2:$B$60="LOT-06")*($A46&gt;=Taches!$H$2:$H$60)*((($A46-Taches!$H$2:$H$60+1)&gt;=Taches!$E$2:$E$60)+(($A46-Taches!$H$2:$H$60+1)&lt;Taches!$E$2:$E$60)*($A46-Taches!$H$2:$H$60+1)/Taches!$E$2:$E$60)*Taches!$G$2:$G$60),0)</f>
        <v>0</v>
      </c>
      <c r="H46" s="0" t="n">
        <f aca="false">ROUND(SUMPRODUCT((Taches!$B$2:$B$60="LOT-07")*($A46&gt;=Taches!$H$2:$H$60)*((($A46-Taches!$H$2:$H$60+1)&gt;=Taches!$E$2:$E$60)+(($A46-Taches!$H$2:$H$60+1)&lt;Taches!$E$2:$E$60)*($A46-Taches!$H$2:$H$60+1)/Taches!$E$2:$E$60)*Taches!$G$2:$G$60),0)</f>
        <v>0</v>
      </c>
      <c r="I46" s="0" t="n">
        <f aca="false">ROUND(SUMPRODUCT((Taches!$B$2:$B$60="LOT-08")*($A46&gt;=Taches!$H$2:$H$60)*((($A46-Taches!$H$2:$H$60+1)&gt;=Taches!$E$2:$E$60)+(($A46-Taches!$H$2:$H$60+1)&lt;Taches!$E$2:$E$60)*($A46-Taches!$H$2:$H$60+1)/Taches!$E$2:$E$60)*Taches!$G$2:$G$60),0)</f>
        <v>0</v>
      </c>
      <c r="J46" s="0" t="n">
        <f aca="false">SUM(B46:I46)</f>
        <v>98727900</v>
      </c>
    </row>
    <row r="47" customFormat="false" ht="15" hidden="false" customHeight="false" outlineLevel="0" collapsed="false">
      <c r="A47" s="0" t="n">
        <v>45</v>
      </c>
      <c r="B47" s="0" t="n">
        <f aca="false">ROUND(SUMPRODUCT((Taches!$B$2:$B$60="LOT-01")*($A47&gt;=Taches!$H$2:$H$60)*((($A47-Taches!$H$2:$H$60+1)&gt;=Taches!$E$2:$E$60)+(($A47-Taches!$H$2:$H$60+1)&lt;Taches!$E$2:$E$60)*($A47-Taches!$H$2:$H$60+1)/Taches!$E$2:$E$60)*Taches!$G$2:$G$60),0)</f>
        <v>55890000</v>
      </c>
      <c r="C47" s="0" t="n">
        <f aca="false">ROUND(SUMPRODUCT((Taches!$B$2:$B$60="LOT-02")*($A47&gt;=Taches!$H$2:$H$60)*((($A47-Taches!$H$2:$H$60+1)&gt;=Taches!$E$2:$E$60)+(($A47-Taches!$H$2:$H$60+1)&lt;Taches!$E$2:$E$60)*($A47-Taches!$H$2:$H$60+1)/Taches!$E$2:$E$60)*Taches!$G$2:$G$60),0)</f>
        <v>43167000</v>
      </c>
      <c r="D47" s="0" t="n">
        <f aca="false">ROUND(SUMPRODUCT((Taches!$B$2:$B$60="LOT-03")*($A47&gt;=Taches!$H$2:$H$60)*((($A47-Taches!$H$2:$H$60+1)&gt;=Taches!$E$2:$E$60)+(($A47-Taches!$H$2:$H$60+1)&lt;Taches!$E$2:$E$60)*($A47-Taches!$H$2:$H$60+1)/Taches!$E$2:$E$60)*Taches!$G$2:$G$60),0)</f>
        <v>0</v>
      </c>
      <c r="E47" s="0" t="n">
        <f aca="false">ROUND(SUMPRODUCT((Taches!$B$2:$B$60="LOT-04")*($A47&gt;=Taches!$H$2:$H$60)*((($A47-Taches!$H$2:$H$60+1)&gt;=Taches!$E$2:$E$60)+(($A47-Taches!$H$2:$H$60+1)&lt;Taches!$E$2:$E$60)*($A47-Taches!$H$2:$H$60+1)/Taches!$E$2:$E$60)*Taches!$G$2:$G$60),0)</f>
        <v>0</v>
      </c>
      <c r="F47" s="0" t="n">
        <f aca="false">ROUND(SUMPRODUCT((Taches!$B$2:$B$60="LOT-05")*($A47&gt;=Taches!$H$2:$H$60)*((($A47-Taches!$H$2:$H$60+1)&gt;=Taches!$E$2:$E$60)+(($A47-Taches!$H$2:$H$60+1)&lt;Taches!$E$2:$E$60)*($A47-Taches!$H$2:$H$60+1)/Taches!$E$2:$E$60)*Taches!$G$2:$G$60),0)</f>
        <v>0</v>
      </c>
      <c r="G47" s="0" t="n">
        <f aca="false">ROUND(SUMPRODUCT((Taches!$B$2:$B$60="LOT-06")*($A47&gt;=Taches!$H$2:$H$60)*((($A47-Taches!$H$2:$H$60+1)&gt;=Taches!$E$2:$E$60)+(($A47-Taches!$H$2:$H$60+1)&lt;Taches!$E$2:$E$60)*($A47-Taches!$H$2:$H$60+1)/Taches!$E$2:$E$60)*Taches!$G$2:$G$60),0)</f>
        <v>0</v>
      </c>
      <c r="H47" s="0" t="n">
        <f aca="false">ROUND(SUMPRODUCT((Taches!$B$2:$B$60="LOT-07")*($A47&gt;=Taches!$H$2:$H$60)*((($A47-Taches!$H$2:$H$60+1)&gt;=Taches!$E$2:$E$60)+(($A47-Taches!$H$2:$H$60+1)&lt;Taches!$E$2:$E$60)*($A47-Taches!$H$2:$H$60+1)/Taches!$E$2:$E$60)*Taches!$G$2:$G$60),0)</f>
        <v>0</v>
      </c>
      <c r="I47" s="0" t="n">
        <f aca="false">ROUND(SUMPRODUCT((Taches!$B$2:$B$60="LOT-08")*($A47&gt;=Taches!$H$2:$H$60)*((($A47-Taches!$H$2:$H$60+1)&gt;=Taches!$E$2:$E$60)+(($A47-Taches!$H$2:$H$60+1)&lt;Taches!$E$2:$E$60)*($A47-Taches!$H$2:$H$60+1)/Taches!$E$2:$E$60)*Taches!$G$2:$G$60),0)</f>
        <v>0</v>
      </c>
      <c r="J47" s="0" t="n">
        <f aca="false">SUM(B47:I47)</f>
        <v>99057000</v>
      </c>
    </row>
    <row r="48" customFormat="false" ht="15" hidden="false" customHeight="false" outlineLevel="0" collapsed="false">
      <c r="A48" s="0" t="n">
        <v>46</v>
      </c>
      <c r="B48" s="0" t="n">
        <f aca="false">ROUND(SUMPRODUCT((Taches!$B$2:$B$60="LOT-01")*($A48&gt;=Taches!$H$2:$H$60)*((($A48-Taches!$H$2:$H$60+1)&gt;=Taches!$E$2:$E$60)+(($A48-Taches!$H$2:$H$60+1)&lt;Taches!$E$2:$E$60)*($A48-Taches!$H$2:$H$60+1)/Taches!$E$2:$E$60)*Taches!$G$2:$G$60),0)</f>
        <v>55890000</v>
      </c>
      <c r="C48" s="0" t="n">
        <f aca="false">ROUND(SUMPRODUCT((Taches!$B$2:$B$60="LOT-02")*($A48&gt;=Taches!$H$2:$H$60)*((($A48-Taches!$H$2:$H$60+1)&gt;=Taches!$E$2:$E$60)+(($A48-Taches!$H$2:$H$60+1)&lt;Taches!$E$2:$E$60)*($A48-Taches!$H$2:$H$60+1)/Taches!$E$2:$E$60)*Taches!$G$2:$G$60),0)</f>
        <v>43496100</v>
      </c>
      <c r="D48" s="0" t="n">
        <f aca="false">ROUND(SUMPRODUCT((Taches!$B$2:$B$60="LOT-03")*($A48&gt;=Taches!$H$2:$H$60)*((($A48-Taches!$H$2:$H$60+1)&gt;=Taches!$E$2:$E$60)+(($A48-Taches!$H$2:$H$60+1)&lt;Taches!$E$2:$E$60)*($A48-Taches!$H$2:$H$60+1)/Taches!$E$2:$E$60)*Taches!$G$2:$G$60),0)</f>
        <v>0</v>
      </c>
      <c r="E48" s="0" t="n">
        <f aca="false">ROUND(SUMPRODUCT((Taches!$B$2:$B$60="LOT-04")*($A48&gt;=Taches!$H$2:$H$60)*((($A48-Taches!$H$2:$H$60+1)&gt;=Taches!$E$2:$E$60)+(($A48-Taches!$H$2:$H$60+1)&lt;Taches!$E$2:$E$60)*($A48-Taches!$H$2:$H$60+1)/Taches!$E$2:$E$60)*Taches!$G$2:$G$60),0)</f>
        <v>0</v>
      </c>
      <c r="F48" s="0" t="n">
        <f aca="false">ROUND(SUMPRODUCT((Taches!$B$2:$B$60="LOT-05")*($A48&gt;=Taches!$H$2:$H$60)*((($A48-Taches!$H$2:$H$60+1)&gt;=Taches!$E$2:$E$60)+(($A48-Taches!$H$2:$H$60+1)&lt;Taches!$E$2:$E$60)*($A48-Taches!$H$2:$H$60+1)/Taches!$E$2:$E$60)*Taches!$G$2:$G$60),0)</f>
        <v>0</v>
      </c>
      <c r="G48" s="0" t="n">
        <f aca="false">ROUND(SUMPRODUCT((Taches!$B$2:$B$60="LOT-06")*($A48&gt;=Taches!$H$2:$H$60)*((($A48-Taches!$H$2:$H$60+1)&gt;=Taches!$E$2:$E$60)+(($A48-Taches!$H$2:$H$60+1)&lt;Taches!$E$2:$E$60)*($A48-Taches!$H$2:$H$60+1)/Taches!$E$2:$E$60)*Taches!$G$2:$G$60),0)</f>
        <v>0</v>
      </c>
      <c r="H48" s="0" t="n">
        <f aca="false">ROUND(SUMPRODUCT((Taches!$B$2:$B$60="LOT-07")*($A48&gt;=Taches!$H$2:$H$60)*((($A48-Taches!$H$2:$H$60+1)&gt;=Taches!$E$2:$E$60)+(($A48-Taches!$H$2:$H$60+1)&lt;Taches!$E$2:$E$60)*($A48-Taches!$H$2:$H$60+1)/Taches!$E$2:$E$60)*Taches!$G$2:$G$60),0)</f>
        <v>0</v>
      </c>
      <c r="I48" s="0" t="n">
        <f aca="false">ROUND(SUMPRODUCT((Taches!$B$2:$B$60="LOT-08")*($A48&gt;=Taches!$H$2:$H$60)*((($A48-Taches!$H$2:$H$60+1)&gt;=Taches!$E$2:$E$60)+(($A48-Taches!$H$2:$H$60+1)&lt;Taches!$E$2:$E$60)*($A48-Taches!$H$2:$H$60+1)/Taches!$E$2:$E$60)*Taches!$G$2:$G$60),0)</f>
        <v>0</v>
      </c>
      <c r="J48" s="0" t="n">
        <f aca="false">SUM(B48:I48)</f>
        <v>99386100</v>
      </c>
    </row>
    <row r="49" customFormat="false" ht="15" hidden="false" customHeight="false" outlineLevel="0" collapsed="false">
      <c r="A49" s="0" t="n">
        <v>47</v>
      </c>
      <c r="B49" s="0" t="n">
        <f aca="false">ROUND(SUMPRODUCT((Taches!$B$2:$B$60="LOT-01")*($A49&gt;=Taches!$H$2:$H$60)*((($A49-Taches!$H$2:$H$60+1)&gt;=Taches!$E$2:$E$60)+(($A49-Taches!$H$2:$H$60+1)&lt;Taches!$E$2:$E$60)*($A49-Taches!$H$2:$H$60+1)/Taches!$E$2:$E$60)*Taches!$G$2:$G$60),0)</f>
        <v>55890000</v>
      </c>
      <c r="C49" s="0" t="n">
        <f aca="false">ROUND(SUMPRODUCT((Taches!$B$2:$B$60="LOT-02")*($A49&gt;=Taches!$H$2:$H$60)*((($A49-Taches!$H$2:$H$60+1)&gt;=Taches!$E$2:$E$60)+(($A49-Taches!$H$2:$H$60+1)&lt;Taches!$E$2:$E$60)*($A49-Taches!$H$2:$H$60+1)/Taches!$E$2:$E$60)*Taches!$G$2:$G$60),0)</f>
        <v>43825200</v>
      </c>
      <c r="D49" s="0" t="n">
        <f aca="false">ROUND(SUMPRODUCT((Taches!$B$2:$B$60="LOT-03")*($A49&gt;=Taches!$H$2:$H$60)*((($A49-Taches!$H$2:$H$60+1)&gt;=Taches!$E$2:$E$60)+(($A49-Taches!$H$2:$H$60+1)&lt;Taches!$E$2:$E$60)*($A49-Taches!$H$2:$H$60+1)/Taches!$E$2:$E$60)*Taches!$G$2:$G$60),0)</f>
        <v>0</v>
      </c>
      <c r="E49" s="0" t="n">
        <f aca="false">ROUND(SUMPRODUCT((Taches!$B$2:$B$60="LOT-04")*($A49&gt;=Taches!$H$2:$H$60)*((($A49-Taches!$H$2:$H$60+1)&gt;=Taches!$E$2:$E$60)+(($A49-Taches!$H$2:$H$60+1)&lt;Taches!$E$2:$E$60)*($A49-Taches!$H$2:$H$60+1)/Taches!$E$2:$E$60)*Taches!$G$2:$G$60),0)</f>
        <v>0</v>
      </c>
      <c r="F49" s="0" t="n">
        <f aca="false">ROUND(SUMPRODUCT((Taches!$B$2:$B$60="LOT-05")*($A49&gt;=Taches!$H$2:$H$60)*((($A49-Taches!$H$2:$H$60+1)&gt;=Taches!$E$2:$E$60)+(($A49-Taches!$H$2:$H$60+1)&lt;Taches!$E$2:$E$60)*($A49-Taches!$H$2:$H$60+1)/Taches!$E$2:$E$60)*Taches!$G$2:$G$60),0)</f>
        <v>0</v>
      </c>
      <c r="G49" s="0" t="n">
        <f aca="false">ROUND(SUMPRODUCT((Taches!$B$2:$B$60="LOT-06")*($A49&gt;=Taches!$H$2:$H$60)*((($A49-Taches!$H$2:$H$60+1)&gt;=Taches!$E$2:$E$60)+(($A49-Taches!$H$2:$H$60+1)&lt;Taches!$E$2:$E$60)*($A49-Taches!$H$2:$H$60+1)/Taches!$E$2:$E$60)*Taches!$G$2:$G$60),0)</f>
        <v>0</v>
      </c>
      <c r="H49" s="0" t="n">
        <f aca="false">ROUND(SUMPRODUCT((Taches!$B$2:$B$60="LOT-07")*($A49&gt;=Taches!$H$2:$H$60)*((($A49-Taches!$H$2:$H$60+1)&gt;=Taches!$E$2:$E$60)+(($A49-Taches!$H$2:$H$60+1)&lt;Taches!$E$2:$E$60)*($A49-Taches!$H$2:$H$60+1)/Taches!$E$2:$E$60)*Taches!$G$2:$G$60),0)</f>
        <v>0</v>
      </c>
      <c r="I49" s="0" t="n">
        <f aca="false">ROUND(SUMPRODUCT((Taches!$B$2:$B$60="LOT-08")*($A49&gt;=Taches!$H$2:$H$60)*((($A49-Taches!$H$2:$H$60+1)&gt;=Taches!$E$2:$E$60)+(($A49-Taches!$H$2:$H$60+1)&lt;Taches!$E$2:$E$60)*($A49-Taches!$H$2:$H$60+1)/Taches!$E$2:$E$60)*Taches!$G$2:$G$60),0)</f>
        <v>0</v>
      </c>
      <c r="J49" s="0" t="n">
        <f aca="false">SUM(B49:I49)</f>
        <v>99715200</v>
      </c>
    </row>
    <row r="50" customFormat="false" ht="15" hidden="false" customHeight="false" outlineLevel="0" collapsed="false">
      <c r="A50" s="0" t="n">
        <v>48</v>
      </c>
      <c r="B50" s="0" t="n">
        <f aca="false">ROUND(SUMPRODUCT((Taches!$B$2:$B$60="LOT-01")*($A50&gt;=Taches!$H$2:$H$60)*((($A50-Taches!$H$2:$H$60+1)&gt;=Taches!$E$2:$E$60)+(($A50-Taches!$H$2:$H$60+1)&lt;Taches!$E$2:$E$60)*($A50-Taches!$H$2:$H$60+1)/Taches!$E$2:$E$60)*Taches!$G$2:$G$60),0)</f>
        <v>55890000</v>
      </c>
      <c r="C50" s="0" t="n">
        <f aca="false">ROUND(SUMPRODUCT((Taches!$B$2:$B$60="LOT-02")*($A50&gt;=Taches!$H$2:$H$60)*((($A50-Taches!$H$2:$H$60+1)&gt;=Taches!$E$2:$E$60)+(($A50-Taches!$H$2:$H$60+1)&lt;Taches!$E$2:$E$60)*($A50-Taches!$H$2:$H$60+1)/Taches!$E$2:$E$60)*Taches!$G$2:$G$60),0)</f>
        <v>44154300</v>
      </c>
      <c r="D50" s="0" t="n">
        <f aca="false">ROUND(SUMPRODUCT((Taches!$B$2:$B$60="LOT-03")*($A50&gt;=Taches!$H$2:$H$60)*((($A50-Taches!$H$2:$H$60+1)&gt;=Taches!$E$2:$E$60)+(($A50-Taches!$H$2:$H$60+1)&lt;Taches!$E$2:$E$60)*($A50-Taches!$H$2:$H$60+1)/Taches!$E$2:$E$60)*Taches!$G$2:$G$60),0)</f>
        <v>0</v>
      </c>
      <c r="E50" s="0" t="n">
        <f aca="false">ROUND(SUMPRODUCT((Taches!$B$2:$B$60="LOT-04")*($A50&gt;=Taches!$H$2:$H$60)*((($A50-Taches!$H$2:$H$60+1)&gt;=Taches!$E$2:$E$60)+(($A50-Taches!$H$2:$H$60+1)&lt;Taches!$E$2:$E$60)*($A50-Taches!$H$2:$H$60+1)/Taches!$E$2:$E$60)*Taches!$G$2:$G$60),0)</f>
        <v>0</v>
      </c>
      <c r="F50" s="0" t="n">
        <f aca="false">ROUND(SUMPRODUCT((Taches!$B$2:$B$60="LOT-05")*($A50&gt;=Taches!$H$2:$H$60)*((($A50-Taches!$H$2:$H$60+1)&gt;=Taches!$E$2:$E$60)+(($A50-Taches!$H$2:$H$60+1)&lt;Taches!$E$2:$E$60)*($A50-Taches!$H$2:$H$60+1)/Taches!$E$2:$E$60)*Taches!$G$2:$G$60),0)</f>
        <v>0</v>
      </c>
      <c r="G50" s="0" t="n">
        <f aca="false">ROUND(SUMPRODUCT((Taches!$B$2:$B$60="LOT-06")*($A50&gt;=Taches!$H$2:$H$60)*((($A50-Taches!$H$2:$H$60+1)&gt;=Taches!$E$2:$E$60)+(($A50-Taches!$H$2:$H$60+1)&lt;Taches!$E$2:$E$60)*($A50-Taches!$H$2:$H$60+1)/Taches!$E$2:$E$60)*Taches!$G$2:$G$60),0)</f>
        <v>0</v>
      </c>
      <c r="H50" s="0" t="n">
        <f aca="false">ROUND(SUMPRODUCT((Taches!$B$2:$B$60="LOT-07")*($A50&gt;=Taches!$H$2:$H$60)*((($A50-Taches!$H$2:$H$60+1)&gt;=Taches!$E$2:$E$60)+(($A50-Taches!$H$2:$H$60+1)&lt;Taches!$E$2:$E$60)*($A50-Taches!$H$2:$H$60+1)/Taches!$E$2:$E$60)*Taches!$G$2:$G$60),0)</f>
        <v>0</v>
      </c>
      <c r="I50" s="0" t="n">
        <f aca="false">ROUND(SUMPRODUCT((Taches!$B$2:$B$60="LOT-08")*($A50&gt;=Taches!$H$2:$H$60)*((($A50-Taches!$H$2:$H$60+1)&gt;=Taches!$E$2:$E$60)+(($A50-Taches!$H$2:$H$60+1)&lt;Taches!$E$2:$E$60)*($A50-Taches!$H$2:$H$60+1)/Taches!$E$2:$E$60)*Taches!$G$2:$G$60),0)</f>
        <v>0</v>
      </c>
      <c r="J50" s="0" t="n">
        <f aca="false">SUM(B50:I50)</f>
        <v>100044300</v>
      </c>
    </row>
    <row r="51" customFormat="false" ht="15" hidden="false" customHeight="false" outlineLevel="0" collapsed="false">
      <c r="A51" s="0" t="n">
        <v>49</v>
      </c>
      <c r="B51" s="0" t="n">
        <f aca="false">ROUND(SUMPRODUCT((Taches!$B$2:$B$60="LOT-01")*($A51&gt;=Taches!$H$2:$H$60)*((($A51-Taches!$H$2:$H$60+1)&gt;=Taches!$E$2:$E$60)+(($A51-Taches!$H$2:$H$60+1)&lt;Taches!$E$2:$E$60)*($A51-Taches!$H$2:$H$60+1)/Taches!$E$2:$E$60)*Taches!$G$2:$G$60),0)</f>
        <v>55890000</v>
      </c>
      <c r="C51" s="0" t="n">
        <f aca="false">ROUND(SUMPRODUCT((Taches!$B$2:$B$60="LOT-02")*($A51&gt;=Taches!$H$2:$H$60)*((($A51-Taches!$H$2:$H$60+1)&gt;=Taches!$E$2:$E$60)+(($A51-Taches!$H$2:$H$60+1)&lt;Taches!$E$2:$E$60)*($A51-Taches!$H$2:$H$60+1)/Taches!$E$2:$E$60)*Taches!$G$2:$G$60),0)</f>
        <v>44483400</v>
      </c>
      <c r="D51" s="0" t="n">
        <f aca="false">ROUND(SUMPRODUCT((Taches!$B$2:$B$60="LOT-03")*($A51&gt;=Taches!$H$2:$H$60)*((($A51-Taches!$H$2:$H$60+1)&gt;=Taches!$E$2:$E$60)+(($A51-Taches!$H$2:$H$60+1)&lt;Taches!$E$2:$E$60)*($A51-Taches!$H$2:$H$60+1)/Taches!$E$2:$E$60)*Taches!$G$2:$G$60),0)</f>
        <v>0</v>
      </c>
      <c r="E51" s="0" t="n">
        <f aca="false">ROUND(SUMPRODUCT((Taches!$B$2:$B$60="LOT-04")*($A51&gt;=Taches!$H$2:$H$60)*((($A51-Taches!$H$2:$H$60+1)&gt;=Taches!$E$2:$E$60)+(($A51-Taches!$H$2:$H$60+1)&lt;Taches!$E$2:$E$60)*($A51-Taches!$H$2:$H$60+1)/Taches!$E$2:$E$60)*Taches!$G$2:$G$60),0)</f>
        <v>0</v>
      </c>
      <c r="F51" s="0" t="n">
        <f aca="false">ROUND(SUMPRODUCT((Taches!$B$2:$B$60="LOT-05")*($A51&gt;=Taches!$H$2:$H$60)*((($A51-Taches!$H$2:$H$60+1)&gt;=Taches!$E$2:$E$60)+(($A51-Taches!$H$2:$H$60+1)&lt;Taches!$E$2:$E$60)*($A51-Taches!$H$2:$H$60+1)/Taches!$E$2:$E$60)*Taches!$G$2:$G$60),0)</f>
        <v>0</v>
      </c>
      <c r="G51" s="0" t="n">
        <f aca="false">ROUND(SUMPRODUCT((Taches!$B$2:$B$60="LOT-06")*($A51&gt;=Taches!$H$2:$H$60)*((($A51-Taches!$H$2:$H$60+1)&gt;=Taches!$E$2:$E$60)+(($A51-Taches!$H$2:$H$60+1)&lt;Taches!$E$2:$E$60)*($A51-Taches!$H$2:$H$60+1)/Taches!$E$2:$E$60)*Taches!$G$2:$G$60),0)</f>
        <v>0</v>
      </c>
      <c r="H51" s="0" t="n">
        <f aca="false">ROUND(SUMPRODUCT((Taches!$B$2:$B$60="LOT-07")*($A51&gt;=Taches!$H$2:$H$60)*((($A51-Taches!$H$2:$H$60+1)&gt;=Taches!$E$2:$E$60)+(($A51-Taches!$H$2:$H$60+1)&lt;Taches!$E$2:$E$60)*($A51-Taches!$H$2:$H$60+1)/Taches!$E$2:$E$60)*Taches!$G$2:$G$60),0)</f>
        <v>0</v>
      </c>
      <c r="I51" s="0" t="n">
        <f aca="false">ROUND(SUMPRODUCT((Taches!$B$2:$B$60="LOT-08")*($A51&gt;=Taches!$H$2:$H$60)*((($A51-Taches!$H$2:$H$60+1)&gt;=Taches!$E$2:$E$60)+(($A51-Taches!$H$2:$H$60+1)&lt;Taches!$E$2:$E$60)*($A51-Taches!$H$2:$H$60+1)/Taches!$E$2:$E$60)*Taches!$G$2:$G$60),0)</f>
        <v>0</v>
      </c>
      <c r="J51" s="0" t="n">
        <f aca="false">SUM(B51:I51)</f>
        <v>100373400</v>
      </c>
    </row>
    <row r="52" customFormat="false" ht="15" hidden="false" customHeight="false" outlineLevel="0" collapsed="false">
      <c r="A52" s="0" t="n">
        <v>50</v>
      </c>
      <c r="B52" s="0" t="n">
        <f aca="false">ROUND(SUMPRODUCT((Taches!$B$2:$B$60="LOT-01")*($A52&gt;=Taches!$H$2:$H$60)*((($A52-Taches!$H$2:$H$60+1)&gt;=Taches!$E$2:$E$60)+(($A52-Taches!$H$2:$H$60+1)&lt;Taches!$E$2:$E$60)*($A52-Taches!$H$2:$H$60+1)/Taches!$E$2:$E$60)*Taches!$G$2:$G$60),0)</f>
        <v>55890000</v>
      </c>
      <c r="C52" s="0" t="n">
        <f aca="false">ROUND(SUMPRODUCT((Taches!$B$2:$B$60="LOT-02")*($A52&gt;=Taches!$H$2:$H$60)*((($A52-Taches!$H$2:$H$60+1)&gt;=Taches!$E$2:$E$60)+(($A52-Taches!$H$2:$H$60+1)&lt;Taches!$E$2:$E$60)*($A52-Taches!$H$2:$H$60+1)/Taches!$E$2:$E$60)*Taches!$G$2:$G$60),0)</f>
        <v>44483400</v>
      </c>
      <c r="D52" s="0" t="n">
        <f aca="false">ROUND(SUMPRODUCT((Taches!$B$2:$B$60="LOT-03")*($A52&gt;=Taches!$H$2:$H$60)*((($A52-Taches!$H$2:$H$60+1)&gt;=Taches!$E$2:$E$60)+(($A52-Taches!$H$2:$H$60+1)&lt;Taches!$E$2:$E$60)*($A52-Taches!$H$2:$H$60+1)/Taches!$E$2:$E$60)*Taches!$G$2:$G$60),0)</f>
        <v>725000</v>
      </c>
      <c r="E52" s="0" t="n">
        <f aca="false">ROUND(SUMPRODUCT((Taches!$B$2:$B$60="LOT-04")*($A52&gt;=Taches!$H$2:$H$60)*((($A52-Taches!$H$2:$H$60+1)&gt;=Taches!$E$2:$E$60)+(($A52-Taches!$H$2:$H$60+1)&lt;Taches!$E$2:$E$60)*($A52-Taches!$H$2:$H$60+1)/Taches!$E$2:$E$60)*Taches!$G$2:$G$60),0)</f>
        <v>0</v>
      </c>
      <c r="F52" s="0" t="n">
        <f aca="false">ROUND(SUMPRODUCT((Taches!$B$2:$B$60="LOT-05")*($A52&gt;=Taches!$H$2:$H$60)*((($A52-Taches!$H$2:$H$60+1)&gt;=Taches!$E$2:$E$60)+(($A52-Taches!$H$2:$H$60+1)&lt;Taches!$E$2:$E$60)*($A52-Taches!$H$2:$H$60+1)/Taches!$E$2:$E$60)*Taches!$G$2:$G$60),0)</f>
        <v>0</v>
      </c>
      <c r="G52" s="0" t="n">
        <f aca="false">ROUND(SUMPRODUCT((Taches!$B$2:$B$60="LOT-06")*($A52&gt;=Taches!$H$2:$H$60)*((($A52-Taches!$H$2:$H$60+1)&gt;=Taches!$E$2:$E$60)+(($A52-Taches!$H$2:$H$60+1)&lt;Taches!$E$2:$E$60)*($A52-Taches!$H$2:$H$60+1)/Taches!$E$2:$E$60)*Taches!$G$2:$G$60),0)</f>
        <v>0</v>
      </c>
      <c r="H52" s="0" t="n">
        <f aca="false">ROUND(SUMPRODUCT((Taches!$B$2:$B$60="LOT-07")*($A52&gt;=Taches!$H$2:$H$60)*((($A52-Taches!$H$2:$H$60+1)&gt;=Taches!$E$2:$E$60)+(($A52-Taches!$H$2:$H$60+1)&lt;Taches!$E$2:$E$60)*($A52-Taches!$H$2:$H$60+1)/Taches!$E$2:$E$60)*Taches!$G$2:$G$60),0)</f>
        <v>0</v>
      </c>
      <c r="I52" s="0" t="n">
        <f aca="false">ROUND(SUMPRODUCT((Taches!$B$2:$B$60="LOT-08")*($A52&gt;=Taches!$H$2:$H$60)*((($A52-Taches!$H$2:$H$60+1)&gt;=Taches!$E$2:$E$60)+(($A52-Taches!$H$2:$H$60+1)&lt;Taches!$E$2:$E$60)*($A52-Taches!$H$2:$H$60+1)/Taches!$E$2:$E$60)*Taches!$G$2:$G$60),0)</f>
        <v>0</v>
      </c>
      <c r="J52" s="0" t="n">
        <f aca="false">SUM(B52:I52)</f>
        <v>101098400</v>
      </c>
    </row>
    <row r="53" customFormat="false" ht="15" hidden="false" customHeight="false" outlineLevel="0" collapsed="false">
      <c r="A53" s="0" t="n">
        <v>51</v>
      </c>
      <c r="B53" s="0" t="n">
        <f aca="false">ROUND(SUMPRODUCT((Taches!$B$2:$B$60="LOT-01")*($A53&gt;=Taches!$H$2:$H$60)*((($A53-Taches!$H$2:$H$60+1)&gt;=Taches!$E$2:$E$60)+(($A53-Taches!$H$2:$H$60+1)&lt;Taches!$E$2:$E$60)*($A53-Taches!$H$2:$H$60+1)/Taches!$E$2:$E$60)*Taches!$G$2:$G$60),0)</f>
        <v>55890000</v>
      </c>
      <c r="C53" s="0" t="n">
        <f aca="false">ROUND(SUMPRODUCT((Taches!$B$2:$B$60="LOT-02")*($A53&gt;=Taches!$H$2:$H$60)*((($A53-Taches!$H$2:$H$60+1)&gt;=Taches!$E$2:$E$60)+(($A53-Taches!$H$2:$H$60+1)&lt;Taches!$E$2:$E$60)*($A53-Taches!$H$2:$H$60+1)/Taches!$E$2:$E$60)*Taches!$G$2:$G$60),0)</f>
        <v>44483400</v>
      </c>
      <c r="D53" s="0" t="n">
        <f aca="false">ROUND(SUMPRODUCT((Taches!$B$2:$B$60="LOT-03")*($A53&gt;=Taches!$H$2:$H$60)*((($A53-Taches!$H$2:$H$60+1)&gt;=Taches!$E$2:$E$60)+(($A53-Taches!$H$2:$H$60+1)&lt;Taches!$E$2:$E$60)*($A53-Taches!$H$2:$H$60+1)/Taches!$E$2:$E$60)*Taches!$G$2:$G$60),0)</f>
        <v>1450000</v>
      </c>
      <c r="E53" s="0" t="n">
        <f aca="false">ROUND(SUMPRODUCT((Taches!$B$2:$B$60="LOT-04")*($A53&gt;=Taches!$H$2:$H$60)*((($A53-Taches!$H$2:$H$60+1)&gt;=Taches!$E$2:$E$60)+(($A53-Taches!$H$2:$H$60+1)&lt;Taches!$E$2:$E$60)*($A53-Taches!$H$2:$H$60+1)/Taches!$E$2:$E$60)*Taches!$G$2:$G$60),0)</f>
        <v>0</v>
      </c>
      <c r="F53" s="0" t="n">
        <f aca="false">ROUND(SUMPRODUCT((Taches!$B$2:$B$60="LOT-05")*($A53&gt;=Taches!$H$2:$H$60)*((($A53-Taches!$H$2:$H$60+1)&gt;=Taches!$E$2:$E$60)+(($A53-Taches!$H$2:$H$60+1)&lt;Taches!$E$2:$E$60)*($A53-Taches!$H$2:$H$60+1)/Taches!$E$2:$E$60)*Taches!$G$2:$G$60),0)</f>
        <v>0</v>
      </c>
      <c r="G53" s="0" t="n">
        <f aca="false">ROUND(SUMPRODUCT((Taches!$B$2:$B$60="LOT-06")*($A53&gt;=Taches!$H$2:$H$60)*((($A53-Taches!$H$2:$H$60+1)&gt;=Taches!$E$2:$E$60)+(($A53-Taches!$H$2:$H$60+1)&lt;Taches!$E$2:$E$60)*($A53-Taches!$H$2:$H$60+1)/Taches!$E$2:$E$60)*Taches!$G$2:$G$60),0)</f>
        <v>0</v>
      </c>
      <c r="H53" s="0" t="n">
        <f aca="false">ROUND(SUMPRODUCT((Taches!$B$2:$B$60="LOT-07")*($A53&gt;=Taches!$H$2:$H$60)*((($A53-Taches!$H$2:$H$60+1)&gt;=Taches!$E$2:$E$60)+(($A53-Taches!$H$2:$H$60+1)&lt;Taches!$E$2:$E$60)*($A53-Taches!$H$2:$H$60+1)/Taches!$E$2:$E$60)*Taches!$G$2:$G$60),0)</f>
        <v>0</v>
      </c>
      <c r="I53" s="0" t="n">
        <f aca="false">ROUND(SUMPRODUCT((Taches!$B$2:$B$60="LOT-08")*($A53&gt;=Taches!$H$2:$H$60)*((($A53-Taches!$H$2:$H$60+1)&gt;=Taches!$E$2:$E$60)+(($A53-Taches!$H$2:$H$60+1)&lt;Taches!$E$2:$E$60)*($A53-Taches!$H$2:$H$60+1)/Taches!$E$2:$E$60)*Taches!$G$2:$G$60),0)</f>
        <v>0</v>
      </c>
      <c r="J53" s="0" t="n">
        <f aca="false">SUM(B53:I53)</f>
        <v>101823400</v>
      </c>
    </row>
    <row r="54" customFormat="false" ht="15" hidden="false" customHeight="false" outlineLevel="0" collapsed="false">
      <c r="A54" s="0" t="n">
        <v>52</v>
      </c>
      <c r="B54" s="0" t="n">
        <f aca="false">ROUND(SUMPRODUCT((Taches!$B$2:$B$60="LOT-01")*($A54&gt;=Taches!$H$2:$H$60)*((($A54-Taches!$H$2:$H$60+1)&gt;=Taches!$E$2:$E$60)+(($A54-Taches!$H$2:$H$60+1)&lt;Taches!$E$2:$E$60)*($A54-Taches!$H$2:$H$60+1)/Taches!$E$2:$E$60)*Taches!$G$2:$G$60),0)</f>
        <v>55890000</v>
      </c>
      <c r="C54" s="0" t="n">
        <f aca="false">ROUND(SUMPRODUCT((Taches!$B$2:$B$60="LOT-02")*($A54&gt;=Taches!$H$2:$H$60)*((($A54-Taches!$H$2:$H$60+1)&gt;=Taches!$E$2:$E$60)+(($A54-Taches!$H$2:$H$60+1)&lt;Taches!$E$2:$E$60)*($A54-Taches!$H$2:$H$60+1)/Taches!$E$2:$E$60)*Taches!$G$2:$G$60),0)</f>
        <v>44483400</v>
      </c>
      <c r="D54" s="0" t="n">
        <f aca="false">ROUND(SUMPRODUCT((Taches!$B$2:$B$60="LOT-03")*($A54&gt;=Taches!$H$2:$H$60)*((($A54-Taches!$H$2:$H$60+1)&gt;=Taches!$E$2:$E$60)+(($A54-Taches!$H$2:$H$60+1)&lt;Taches!$E$2:$E$60)*($A54-Taches!$H$2:$H$60+1)/Taches!$E$2:$E$60)*Taches!$G$2:$G$60),0)</f>
        <v>2175000</v>
      </c>
      <c r="E54" s="0" t="n">
        <f aca="false">ROUND(SUMPRODUCT((Taches!$B$2:$B$60="LOT-04")*($A54&gt;=Taches!$H$2:$H$60)*((($A54-Taches!$H$2:$H$60+1)&gt;=Taches!$E$2:$E$60)+(($A54-Taches!$H$2:$H$60+1)&lt;Taches!$E$2:$E$60)*($A54-Taches!$H$2:$H$60+1)/Taches!$E$2:$E$60)*Taches!$G$2:$G$60),0)</f>
        <v>0</v>
      </c>
      <c r="F54" s="0" t="n">
        <f aca="false">ROUND(SUMPRODUCT((Taches!$B$2:$B$60="LOT-05")*($A54&gt;=Taches!$H$2:$H$60)*((($A54-Taches!$H$2:$H$60+1)&gt;=Taches!$E$2:$E$60)+(($A54-Taches!$H$2:$H$60+1)&lt;Taches!$E$2:$E$60)*($A54-Taches!$H$2:$H$60+1)/Taches!$E$2:$E$60)*Taches!$G$2:$G$60),0)</f>
        <v>0</v>
      </c>
      <c r="G54" s="0" t="n">
        <f aca="false">ROUND(SUMPRODUCT((Taches!$B$2:$B$60="LOT-06")*($A54&gt;=Taches!$H$2:$H$60)*((($A54-Taches!$H$2:$H$60+1)&gt;=Taches!$E$2:$E$60)+(($A54-Taches!$H$2:$H$60+1)&lt;Taches!$E$2:$E$60)*($A54-Taches!$H$2:$H$60+1)/Taches!$E$2:$E$60)*Taches!$G$2:$G$60),0)</f>
        <v>0</v>
      </c>
      <c r="H54" s="0" t="n">
        <f aca="false">ROUND(SUMPRODUCT((Taches!$B$2:$B$60="LOT-07")*($A54&gt;=Taches!$H$2:$H$60)*((($A54-Taches!$H$2:$H$60+1)&gt;=Taches!$E$2:$E$60)+(($A54-Taches!$H$2:$H$60+1)&lt;Taches!$E$2:$E$60)*($A54-Taches!$H$2:$H$60+1)/Taches!$E$2:$E$60)*Taches!$G$2:$G$60),0)</f>
        <v>0</v>
      </c>
      <c r="I54" s="0" t="n">
        <f aca="false">ROUND(SUMPRODUCT((Taches!$B$2:$B$60="LOT-08")*($A54&gt;=Taches!$H$2:$H$60)*((($A54-Taches!$H$2:$H$60+1)&gt;=Taches!$E$2:$E$60)+(($A54-Taches!$H$2:$H$60+1)&lt;Taches!$E$2:$E$60)*($A54-Taches!$H$2:$H$60+1)/Taches!$E$2:$E$60)*Taches!$G$2:$G$60),0)</f>
        <v>0</v>
      </c>
      <c r="J54" s="0" t="n">
        <f aca="false">SUM(B54:I54)</f>
        <v>102548400</v>
      </c>
    </row>
    <row r="55" customFormat="false" ht="15" hidden="false" customHeight="false" outlineLevel="0" collapsed="false">
      <c r="A55" s="0" t="n">
        <v>53</v>
      </c>
      <c r="B55" s="0" t="n">
        <f aca="false">ROUND(SUMPRODUCT((Taches!$B$2:$B$60="LOT-01")*($A55&gt;=Taches!$H$2:$H$60)*((($A55-Taches!$H$2:$H$60+1)&gt;=Taches!$E$2:$E$60)+(($A55-Taches!$H$2:$H$60+1)&lt;Taches!$E$2:$E$60)*($A55-Taches!$H$2:$H$60+1)/Taches!$E$2:$E$60)*Taches!$G$2:$G$60),0)</f>
        <v>55890000</v>
      </c>
      <c r="C55" s="0" t="n">
        <f aca="false">ROUND(SUMPRODUCT((Taches!$B$2:$B$60="LOT-02")*($A55&gt;=Taches!$H$2:$H$60)*((($A55-Taches!$H$2:$H$60+1)&gt;=Taches!$E$2:$E$60)+(($A55-Taches!$H$2:$H$60+1)&lt;Taches!$E$2:$E$60)*($A55-Taches!$H$2:$H$60+1)/Taches!$E$2:$E$60)*Taches!$G$2:$G$60),0)</f>
        <v>44483400</v>
      </c>
      <c r="D55" s="0" t="n">
        <f aca="false">ROUND(SUMPRODUCT((Taches!$B$2:$B$60="LOT-03")*($A55&gt;=Taches!$H$2:$H$60)*((($A55-Taches!$H$2:$H$60+1)&gt;=Taches!$E$2:$E$60)+(($A55-Taches!$H$2:$H$60+1)&lt;Taches!$E$2:$E$60)*($A55-Taches!$H$2:$H$60+1)/Taches!$E$2:$E$60)*Taches!$G$2:$G$60),0)</f>
        <v>2900000</v>
      </c>
      <c r="E55" s="0" t="n">
        <f aca="false">ROUND(SUMPRODUCT((Taches!$B$2:$B$60="LOT-04")*($A55&gt;=Taches!$H$2:$H$60)*((($A55-Taches!$H$2:$H$60+1)&gt;=Taches!$E$2:$E$60)+(($A55-Taches!$H$2:$H$60+1)&lt;Taches!$E$2:$E$60)*($A55-Taches!$H$2:$H$60+1)/Taches!$E$2:$E$60)*Taches!$G$2:$G$60),0)</f>
        <v>0</v>
      </c>
      <c r="F55" s="0" t="n">
        <f aca="false">ROUND(SUMPRODUCT((Taches!$B$2:$B$60="LOT-05")*($A55&gt;=Taches!$H$2:$H$60)*((($A55-Taches!$H$2:$H$60+1)&gt;=Taches!$E$2:$E$60)+(($A55-Taches!$H$2:$H$60+1)&lt;Taches!$E$2:$E$60)*($A55-Taches!$H$2:$H$60+1)/Taches!$E$2:$E$60)*Taches!$G$2:$G$60),0)</f>
        <v>0</v>
      </c>
      <c r="G55" s="0" t="n">
        <f aca="false">ROUND(SUMPRODUCT((Taches!$B$2:$B$60="LOT-06")*($A55&gt;=Taches!$H$2:$H$60)*((($A55-Taches!$H$2:$H$60+1)&gt;=Taches!$E$2:$E$60)+(($A55-Taches!$H$2:$H$60+1)&lt;Taches!$E$2:$E$60)*($A55-Taches!$H$2:$H$60+1)/Taches!$E$2:$E$60)*Taches!$G$2:$G$60),0)</f>
        <v>0</v>
      </c>
      <c r="H55" s="0" t="n">
        <f aca="false">ROUND(SUMPRODUCT((Taches!$B$2:$B$60="LOT-07")*($A55&gt;=Taches!$H$2:$H$60)*((($A55-Taches!$H$2:$H$60+1)&gt;=Taches!$E$2:$E$60)+(($A55-Taches!$H$2:$H$60+1)&lt;Taches!$E$2:$E$60)*($A55-Taches!$H$2:$H$60+1)/Taches!$E$2:$E$60)*Taches!$G$2:$G$60),0)</f>
        <v>0</v>
      </c>
      <c r="I55" s="0" t="n">
        <f aca="false">ROUND(SUMPRODUCT((Taches!$B$2:$B$60="LOT-08")*($A55&gt;=Taches!$H$2:$H$60)*((($A55-Taches!$H$2:$H$60+1)&gt;=Taches!$E$2:$E$60)+(($A55-Taches!$H$2:$H$60+1)&lt;Taches!$E$2:$E$60)*($A55-Taches!$H$2:$H$60+1)/Taches!$E$2:$E$60)*Taches!$G$2:$G$60),0)</f>
        <v>0</v>
      </c>
      <c r="J55" s="0" t="n">
        <f aca="false">SUM(B55:I55)</f>
        <v>103273400</v>
      </c>
    </row>
    <row r="56" customFormat="false" ht="15" hidden="false" customHeight="false" outlineLevel="0" collapsed="false">
      <c r="A56" s="0" t="n">
        <v>54</v>
      </c>
      <c r="B56" s="0" t="n">
        <f aca="false">ROUND(SUMPRODUCT((Taches!$B$2:$B$60="LOT-01")*($A56&gt;=Taches!$H$2:$H$60)*((($A56-Taches!$H$2:$H$60+1)&gt;=Taches!$E$2:$E$60)+(($A56-Taches!$H$2:$H$60+1)&lt;Taches!$E$2:$E$60)*($A56-Taches!$H$2:$H$60+1)/Taches!$E$2:$E$60)*Taches!$G$2:$G$60),0)</f>
        <v>55890000</v>
      </c>
      <c r="C56" s="0" t="n">
        <f aca="false">ROUND(SUMPRODUCT((Taches!$B$2:$B$60="LOT-02")*($A56&gt;=Taches!$H$2:$H$60)*((($A56-Taches!$H$2:$H$60+1)&gt;=Taches!$E$2:$E$60)+(($A56-Taches!$H$2:$H$60+1)&lt;Taches!$E$2:$E$60)*($A56-Taches!$H$2:$H$60+1)/Taches!$E$2:$E$60)*Taches!$G$2:$G$60),0)</f>
        <v>44483400</v>
      </c>
      <c r="D56" s="0" t="n">
        <f aca="false">ROUND(SUMPRODUCT((Taches!$B$2:$B$60="LOT-03")*($A56&gt;=Taches!$H$2:$H$60)*((($A56-Taches!$H$2:$H$60+1)&gt;=Taches!$E$2:$E$60)+(($A56-Taches!$H$2:$H$60+1)&lt;Taches!$E$2:$E$60)*($A56-Taches!$H$2:$H$60+1)/Taches!$E$2:$E$60)*Taches!$G$2:$G$60),0)</f>
        <v>3625000</v>
      </c>
      <c r="E56" s="0" t="n">
        <f aca="false">ROUND(SUMPRODUCT((Taches!$B$2:$B$60="LOT-04")*($A56&gt;=Taches!$H$2:$H$60)*((($A56-Taches!$H$2:$H$60+1)&gt;=Taches!$E$2:$E$60)+(($A56-Taches!$H$2:$H$60+1)&lt;Taches!$E$2:$E$60)*($A56-Taches!$H$2:$H$60+1)/Taches!$E$2:$E$60)*Taches!$G$2:$G$60),0)</f>
        <v>0</v>
      </c>
      <c r="F56" s="0" t="n">
        <f aca="false">ROUND(SUMPRODUCT((Taches!$B$2:$B$60="LOT-05")*($A56&gt;=Taches!$H$2:$H$60)*((($A56-Taches!$H$2:$H$60+1)&gt;=Taches!$E$2:$E$60)+(($A56-Taches!$H$2:$H$60+1)&lt;Taches!$E$2:$E$60)*($A56-Taches!$H$2:$H$60+1)/Taches!$E$2:$E$60)*Taches!$G$2:$G$60),0)</f>
        <v>0</v>
      </c>
      <c r="G56" s="0" t="n">
        <f aca="false">ROUND(SUMPRODUCT((Taches!$B$2:$B$60="LOT-06")*($A56&gt;=Taches!$H$2:$H$60)*((($A56-Taches!$H$2:$H$60+1)&gt;=Taches!$E$2:$E$60)+(($A56-Taches!$H$2:$H$60+1)&lt;Taches!$E$2:$E$60)*($A56-Taches!$H$2:$H$60+1)/Taches!$E$2:$E$60)*Taches!$G$2:$G$60),0)</f>
        <v>0</v>
      </c>
      <c r="H56" s="0" t="n">
        <f aca="false">ROUND(SUMPRODUCT((Taches!$B$2:$B$60="LOT-07")*($A56&gt;=Taches!$H$2:$H$60)*((($A56-Taches!$H$2:$H$60+1)&gt;=Taches!$E$2:$E$60)+(($A56-Taches!$H$2:$H$60+1)&lt;Taches!$E$2:$E$60)*($A56-Taches!$H$2:$H$60+1)/Taches!$E$2:$E$60)*Taches!$G$2:$G$60),0)</f>
        <v>0</v>
      </c>
      <c r="I56" s="0" t="n">
        <f aca="false">ROUND(SUMPRODUCT((Taches!$B$2:$B$60="LOT-08")*($A56&gt;=Taches!$H$2:$H$60)*((($A56-Taches!$H$2:$H$60+1)&gt;=Taches!$E$2:$E$60)+(($A56-Taches!$H$2:$H$60+1)&lt;Taches!$E$2:$E$60)*($A56-Taches!$H$2:$H$60+1)/Taches!$E$2:$E$60)*Taches!$G$2:$G$60),0)</f>
        <v>0</v>
      </c>
      <c r="J56" s="0" t="n">
        <f aca="false">SUM(B56:I56)</f>
        <v>103998400</v>
      </c>
    </row>
    <row r="57" customFormat="false" ht="15" hidden="false" customHeight="false" outlineLevel="0" collapsed="false">
      <c r="A57" s="0" t="n">
        <v>55</v>
      </c>
      <c r="B57" s="0" t="n">
        <f aca="false">ROUND(SUMPRODUCT((Taches!$B$2:$B$60="LOT-01")*($A57&gt;=Taches!$H$2:$H$60)*((($A57-Taches!$H$2:$H$60+1)&gt;=Taches!$E$2:$E$60)+(($A57-Taches!$H$2:$H$60+1)&lt;Taches!$E$2:$E$60)*($A57-Taches!$H$2:$H$60+1)/Taches!$E$2:$E$60)*Taches!$G$2:$G$60),0)</f>
        <v>55890000</v>
      </c>
      <c r="C57" s="0" t="n">
        <f aca="false">ROUND(SUMPRODUCT((Taches!$B$2:$B$60="LOT-02")*($A57&gt;=Taches!$H$2:$H$60)*((($A57-Taches!$H$2:$H$60+1)&gt;=Taches!$E$2:$E$60)+(($A57-Taches!$H$2:$H$60+1)&lt;Taches!$E$2:$E$60)*($A57-Taches!$H$2:$H$60+1)/Taches!$E$2:$E$60)*Taches!$G$2:$G$60),0)</f>
        <v>44483400</v>
      </c>
      <c r="D57" s="0" t="n">
        <f aca="false">ROUND(SUMPRODUCT((Taches!$B$2:$B$60="LOT-03")*($A57&gt;=Taches!$H$2:$H$60)*((($A57-Taches!$H$2:$H$60+1)&gt;=Taches!$E$2:$E$60)+(($A57-Taches!$H$2:$H$60+1)&lt;Taches!$E$2:$E$60)*($A57-Taches!$H$2:$H$60+1)/Taches!$E$2:$E$60)*Taches!$G$2:$G$60),0)</f>
        <v>4350000</v>
      </c>
      <c r="E57" s="0" t="n">
        <f aca="false">ROUND(SUMPRODUCT((Taches!$B$2:$B$60="LOT-04")*($A57&gt;=Taches!$H$2:$H$60)*((($A57-Taches!$H$2:$H$60+1)&gt;=Taches!$E$2:$E$60)+(($A57-Taches!$H$2:$H$60+1)&lt;Taches!$E$2:$E$60)*($A57-Taches!$H$2:$H$60+1)/Taches!$E$2:$E$60)*Taches!$G$2:$G$60),0)</f>
        <v>0</v>
      </c>
      <c r="F57" s="0" t="n">
        <f aca="false">ROUND(SUMPRODUCT((Taches!$B$2:$B$60="LOT-05")*($A57&gt;=Taches!$H$2:$H$60)*((($A57-Taches!$H$2:$H$60+1)&gt;=Taches!$E$2:$E$60)+(($A57-Taches!$H$2:$H$60+1)&lt;Taches!$E$2:$E$60)*($A57-Taches!$H$2:$H$60+1)/Taches!$E$2:$E$60)*Taches!$G$2:$G$60),0)</f>
        <v>0</v>
      </c>
      <c r="G57" s="0" t="n">
        <f aca="false">ROUND(SUMPRODUCT((Taches!$B$2:$B$60="LOT-06")*($A57&gt;=Taches!$H$2:$H$60)*((($A57-Taches!$H$2:$H$60+1)&gt;=Taches!$E$2:$E$60)+(($A57-Taches!$H$2:$H$60+1)&lt;Taches!$E$2:$E$60)*($A57-Taches!$H$2:$H$60+1)/Taches!$E$2:$E$60)*Taches!$G$2:$G$60),0)</f>
        <v>0</v>
      </c>
      <c r="H57" s="0" t="n">
        <f aca="false">ROUND(SUMPRODUCT((Taches!$B$2:$B$60="LOT-07")*($A57&gt;=Taches!$H$2:$H$60)*((($A57-Taches!$H$2:$H$60+1)&gt;=Taches!$E$2:$E$60)+(($A57-Taches!$H$2:$H$60+1)&lt;Taches!$E$2:$E$60)*($A57-Taches!$H$2:$H$60+1)/Taches!$E$2:$E$60)*Taches!$G$2:$G$60),0)</f>
        <v>0</v>
      </c>
      <c r="I57" s="0" t="n">
        <f aca="false">ROUND(SUMPRODUCT((Taches!$B$2:$B$60="LOT-08")*($A57&gt;=Taches!$H$2:$H$60)*((($A57-Taches!$H$2:$H$60+1)&gt;=Taches!$E$2:$E$60)+(($A57-Taches!$H$2:$H$60+1)&lt;Taches!$E$2:$E$60)*($A57-Taches!$H$2:$H$60+1)/Taches!$E$2:$E$60)*Taches!$G$2:$G$60),0)</f>
        <v>0</v>
      </c>
      <c r="J57" s="0" t="n">
        <f aca="false">SUM(B57:I57)</f>
        <v>104723400</v>
      </c>
    </row>
    <row r="58" customFormat="false" ht="15" hidden="false" customHeight="false" outlineLevel="0" collapsed="false">
      <c r="A58" s="0" t="n">
        <v>56</v>
      </c>
      <c r="B58" s="0" t="n">
        <f aca="false">ROUND(SUMPRODUCT((Taches!$B$2:$B$60="LOT-01")*($A58&gt;=Taches!$H$2:$H$60)*((($A58-Taches!$H$2:$H$60+1)&gt;=Taches!$E$2:$E$60)+(($A58-Taches!$H$2:$H$60+1)&lt;Taches!$E$2:$E$60)*($A58-Taches!$H$2:$H$60+1)/Taches!$E$2:$E$60)*Taches!$G$2:$G$60),0)</f>
        <v>55890000</v>
      </c>
      <c r="C58" s="0" t="n">
        <f aca="false">ROUND(SUMPRODUCT((Taches!$B$2:$B$60="LOT-02")*($A58&gt;=Taches!$H$2:$H$60)*((($A58-Taches!$H$2:$H$60+1)&gt;=Taches!$E$2:$E$60)+(($A58-Taches!$H$2:$H$60+1)&lt;Taches!$E$2:$E$60)*($A58-Taches!$H$2:$H$60+1)/Taches!$E$2:$E$60)*Taches!$G$2:$G$60),0)</f>
        <v>44483400</v>
      </c>
      <c r="D58" s="0" t="n">
        <f aca="false">ROUND(SUMPRODUCT((Taches!$B$2:$B$60="LOT-03")*($A58&gt;=Taches!$H$2:$H$60)*((($A58-Taches!$H$2:$H$60+1)&gt;=Taches!$E$2:$E$60)+(($A58-Taches!$H$2:$H$60+1)&lt;Taches!$E$2:$E$60)*($A58-Taches!$H$2:$H$60+1)/Taches!$E$2:$E$60)*Taches!$G$2:$G$60),0)</f>
        <v>6094800</v>
      </c>
      <c r="E58" s="0" t="n">
        <f aca="false">ROUND(SUMPRODUCT((Taches!$B$2:$B$60="LOT-04")*($A58&gt;=Taches!$H$2:$H$60)*((($A58-Taches!$H$2:$H$60+1)&gt;=Taches!$E$2:$E$60)+(($A58-Taches!$H$2:$H$60+1)&lt;Taches!$E$2:$E$60)*($A58-Taches!$H$2:$H$60+1)/Taches!$E$2:$E$60)*Taches!$G$2:$G$60),0)</f>
        <v>0</v>
      </c>
      <c r="F58" s="0" t="n">
        <f aca="false">ROUND(SUMPRODUCT((Taches!$B$2:$B$60="LOT-05")*($A58&gt;=Taches!$H$2:$H$60)*((($A58-Taches!$H$2:$H$60+1)&gt;=Taches!$E$2:$E$60)+(($A58-Taches!$H$2:$H$60+1)&lt;Taches!$E$2:$E$60)*($A58-Taches!$H$2:$H$60+1)/Taches!$E$2:$E$60)*Taches!$G$2:$G$60),0)</f>
        <v>0</v>
      </c>
      <c r="G58" s="0" t="n">
        <f aca="false">ROUND(SUMPRODUCT((Taches!$B$2:$B$60="LOT-06")*($A58&gt;=Taches!$H$2:$H$60)*((($A58-Taches!$H$2:$H$60+1)&gt;=Taches!$E$2:$E$60)+(($A58-Taches!$H$2:$H$60+1)&lt;Taches!$E$2:$E$60)*($A58-Taches!$H$2:$H$60+1)/Taches!$E$2:$E$60)*Taches!$G$2:$G$60),0)</f>
        <v>0</v>
      </c>
      <c r="H58" s="0" t="n">
        <f aca="false">ROUND(SUMPRODUCT((Taches!$B$2:$B$60="LOT-07")*($A58&gt;=Taches!$H$2:$H$60)*((($A58-Taches!$H$2:$H$60+1)&gt;=Taches!$E$2:$E$60)+(($A58-Taches!$H$2:$H$60+1)&lt;Taches!$E$2:$E$60)*($A58-Taches!$H$2:$H$60+1)/Taches!$E$2:$E$60)*Taches!$G$2:$G$60),0)</f>
        <v>0</v>
      </c>
      <c r="I58" s="0" t="n">
        <f aca="false">ROUND(SUMPRODUCT((Taches!$B$2:$B$60="LOT-08")*($A58&gt;=Taches!$H$2:$H$60)*((($A58-Taches!$H$2:$H$60+1)&gt;=Taches!$E$2:$E$60)+(($A58-Taches!$H$2:$H$60+1)&lt;Taches!$E$2:$E$60)*($A58-Taches!$H$2:$H$60+1)/Taches!$E$2:$E$60)*Taches!$G$2:$G$60),0)</f>
        <v>0</v>
      </c>
      <c r="J58" s="0" t="n">
        <f aca="false">SUM(B58:I58)</f>
        <v>106468200</v>
      </c>
    </row>
    <row r="59" customFormat="false" ht="15" hidden="false" customHeight="false" outlineLevel="0" collapsed="false">
      <c r="A59" s="0" t="n">
        <v>57</v>
      </c>
      <c r="B59" s="0" t="n">
        <f aca="false">ROUND(SUMPRODUCT((Taches!$B$2:$B$60="LOT-01")*($A59&gt;=Taches!$H$2:$H$60)*((($A59-Taches!$H$2:$H$60+1)&gt;=Taches!$E$2:$E$60)+(($A59-Taches!$H$2:$H$60+1)&lt;Taches!$E$2:$E$60)*($A59-Taches!$H$2:$H$60+1)/Taches!$E$2:$E$60)*Taches!$G$2:$G$60),0)</f>
        <v>55890000</v>
      </c>
      <c r="C59" s="0" t="n">
        <f aca="false">ROUND(SUMPRODUCT((Taches!$B$2:$B$60="LOT-02")*($A59&gt;=Taches!$H$2:$H$60)*((($A59-Taches!$H$2:$H$60+1)&gt;=Taches!$E$2:$E$60)+(($A59-Taches!$H$2:$H$60+1)&lt;Taches!$E$2:$E$60)*($A59-Taches!$H$2:$H$60+1)/Taches!$E$2:$E$60)*Taches!$G$2:$G$60),0)</f>
        <v>44483400</v>
      </c>
      <c r="D59" s="0" t="n">
        <f aca="false">ROUND(SUMPRODUCT((Taches!$B$2:$B$60="LOT-03")*($A59&gt;=Taches!$H$2:$H$60)*((($A59-Taches!$H$2:$H$60+1)&gt;=Taches!$E$2:$E$60)+(($A59-Taches!$H$2:$H$60+1)&lt;Taches!$E$2:$E$60)*($A59-Taches!$H$2:$H$60+1)/Taches!$E$2:$E$60)*Taches!$G$2:$G$60),0)</f>
        <v>7839600</v>
      </c>
      <c r="E59" s="0" t="n">
        <f aca="false">ROUND(SUMPRODUCT((Taches!$B$2:$B$60="LOT-04")*($A59&gt;=Taches!$H$2:$H$60)*((($A59-Taches!$H$2:$H$60+1)&gt;=Taches!$E$2:$E$60)+(($A59-Taches!$H$2:$H$60+1)&lt;Taches!$E$2:$E$60)*($A59-Taches!$H$2:$H$60+1)/Taches!$E$2:$E$60)*Taches!$G$2:$G$60),0)</f>
        <v>0</v>
      </c>
      <c r="F59" s="0" t="n">
        <f aca="false">ROUND(SUMPRODUCT((Taches!$B$2:$B$60="LOT-05")*($A59&gt;=Taches!$H$2:$H$60)*((($A59-Taches!$H$2:$H$60+1)&gt;=Taches!$E$2:$E$60)+(($A59-Taches!$H$2:$H$60+1)&lt;Taches!$E$2:$E$60)*($A59-Taches!$H$2:$H$60+1)/Taches!$E$2:$E$60)*Taches!$G$2:$G$60),0)</f>
        <v>0</v>
      </c>
      <c r="G59" s="0" t="n">
        <f aca="false">ROUND(SUMPRODUCT((Taches!$B$2:$B$60="LOT-06")*($A59&gt;=Taches!$H$2:$H$60)*((($A59-Taches!$H$2:$H$60+1)&gt;=Taches!$E$2:$E$60)+(($A59-Taches!$H$2:$H$60+1)&lt;Taches!$E$2:$E$60)*($A59-Taches!$H$2:$H$60+1)/Taches!$E$2:$E$60)*Taches!$G$2:$G$60),0)</f>
        <v>0</v>
      </c>
      <c r="H59" s="0" t="n">
        <f aca="false">ROUND(SUMPRODUCT((Taches!$B$2:$B$60="LOT-07")*($A59&gt;=Taches!$H$2:$H$60)*((($A59-Taches!$H$2:$H$60+1)&gt;=Taches!$E$2:$E$60)+(($A59-Taches!$H$2:$H$60+1)&lt;Taches!$E$2:$E$60)*($A59-Taches!$H$2:$H$60+1)/Taches!$E$2:$E$60)*Taches!$G$2:$G$60),0)</f>
        <v>0</v>
      </c>
      <c r="I59" s="0" t="n">
        <f aca="false">ROUND(SUMPRODUCT((Taches!$B$2:$B$60="LOT-08")*($A59&gt;=Taches!$H$2:$H$60)*((($A59-Taches!$H$2:$H$60+1)&gt;=Taches!$E$2:$E$60)+(($A59-Taches!$H$2:$H$60+1)&lt;Taches!$E$2:$E$60)*($A59-Taches!$H$2:$H$60+1)/Taches!$E$2:$E$60)*Taches!$G$2:$G$60),0)</f>
        <v>0</v>
      </c>
      <c r="J59" s="0" t="n">
        <f aca="false">SUM(B59:I59)</f>
        <v>108213000</v>
      </c>
    </row>
    <row r="60" customFormat="false" ht="15" hidden="false" customHeight="false" outlineLevel="0" collapsed="false">
      <c r="A60" s="0" t="n">
        <v>58</v>
      </c>
      <c r="B60" s="0" t="n">
        <f aca="false">ROUND(SUMPRODUCT((Taches!$B$2:$B$60="LOT-01")*($A60&gt;=Taches!$H$2:$H$60)*((($A60-Taches!$H$2:$H$60+1)&gt;=Taches!$E$2:$E$60)+(($A60-Taches!$H$2:$H$60+1)&lt;Taches!$E$2:$E$60)*($A60-Taches!$H$2:$H$60+1)/Taches!$E$2:$E$60)*Taches!$G$2:$G$60),0)</f>
        <v>55890000</v>
      </c>
      <c r="C60" s="0" t="n">
        <f aca="false">ROUND(SUMPRODUCT((Taches!$B$2:$B$60="LOT-02")*($A60&gt;=Taches!$H$2:$H$60)*((($A60-Taches!$H$2:$H$60+1)&gt;=Taches!$E$2:$E$60)+(($A60-Taches!$H$2:$H$60+1)&lt;Taches!$E$2:$E$60)*($A60-Taches!$H$2:$H$60+1)/Taches!$E$2:$E$60)*Taches!$G$2:$G$60),0)</f>
        <v>44483400</v>
      </c>
      <c r="D60" s="0" t="n">
        <f aca="false">ROUND(SUMPRODUCT((Taches!$B$2:$B$60="LOT-03")*($A60&gt;=Taches!$H$2:$H$60)*((($A60-Taches!$H$2:$H$60+1)&gt;=Taches!$E$2:$E$60)+(($A60-Taches!$H$2:$H$60+1)&lt;Taches!$E$2:$E$60)*($A60-Taches!$H$2:$H$60+1)/Taches!$E$2:$E$60)*Taches!$G$2:$G$60),0)</f>
        <v>9584400</v>
      </c>
      <c r="E60" s="0" t="n">
        <f aca="false">ROUND(SUMPRODUCT((Taches!$B$2:$B$60="LOT-04")*($A60&gt;=Taches!$H$2:$H$60)*((($A60-Taches!$H$2:$H$60+1)&gt;=Taches!$E$2:$E$60)+(($A60-Taches!$H$2:$H$60+1)&lt;Taches!$E$2:$E$60)*($A60-Taches!$H$2:$H$60+1)/Taches!$E$2:$E$60)*Taches!$G$2:$G$60),0)</f>
        <v>0</v>
      </c>
      <c r="F60" s="0" t="n">
        <f aca="false">ROUND(SUMPRODUCT((Taches!$B$2:$B$60="LOT-05")*($A60&gt;=Taches!$H$2:$H$60)*((($A60-Taches!$H$2:$H$60+1)&gt;=Taches!$E$2:$E$60)+(($A60-Taches!$H$2:$H$60+1)&lt;Taches!$E$2:$E$60)*($A60-Taches!$H$2:$H$60+1)/Taches!$E$2:$E$60)*Taches!$G$2:$G$60),0)</f>
        <v>0</v>
      </c>
      <c r="G60" s="0" t="n">
        <f aca="false">ROUND(SUMPRODUCT((Taches!$B$2:$B$60="LOT-06")*($A60&gt;=Taches!$H$2:$H$60)*((($A60-Taches!$H$2:$H$60+1)&gt;=Taches!$E$2:$E$60)+(($A60-Taches!$H$2:$H$60+1)&lt;Taches!$E$2:$E$60)*($A60-Taches!$H$2:$H$60+1)/Taches!$E$2:$E$60)*Taches!$G$2:$G$60),0)</f>
        <v>0</v>
      </c>
      <c r="H60" s="0" t="n">
        <f aca="false">ROUND(SUMPRODUCT((Taches!$B$2:$B$60="LOT-07")*($A60&gt;=Taches!$H$2:$H$60)*((($A60-Taches!$H$2:$H$60+1)&gt;=Taches!$E$2:$E$60)+(($A60-Taches!$H$2:$H$60+1)&lt;Taches!$E$2:$E$60)*($A60-Taches!$H$2:$H$60+1)/Taches!$E$2:$E$60)*Taches!$G$2:$G$60),0)</f>
        <v>0</v>
      </c>
      <c r="I60" s="0" t="n">
        <f aca="false">ROUND(SUMPRODUCT((Taches!$B$2:$B$60="LOT-08")*($A60&gt;=Taches!$H$2:$H$60)*((($A60-Taches!$H$2:$H$60+1)&gt;=Taches!$E$2:$E$60)+(($A60-Taches!$H$2:$H$60+1)&lt;Taches!$E$2:$E$60)*($A60-Taches!$H$2:$H$60+1)/Taches!$E$2:$E$60)*Taches!$G$2:$G$60),0)</f>
        <v>0</v>
      </c>
      <c r="J60" s="0" t="n">
        <f aca="false">SUM(B60:I60)</f>
        <v>109957800</v>
      </c>
    </row>
    <row r="61" customFormat="false" ht="15" hidden="false" customHeight="false" outlineLevel="0" collapsed="false">
      <c r="A61" s="0" t="n">
        <v>59</v>
      </c>
      <c r="B61" s="0" t="n">
        <f aca="false">ROUND(SUMPRODUCT((Taches!$B$2:$B$60="LOT-01")*($A61&gt;=Taches!$H$2:$H$60)*((($A61-Taches!$H$2:$H$60+1)&gt;=Taches!$E$2:$E$60)+(($A61-Taches!$H$2:$H$60+1)&lt;Taches!$E$2:$E$60)*($A61-Taches!$H$2:$H$60+1)/Taches!$E$2:$E$60)*Taches!$G$2:$G$60),0)</f>
        <v>55890000</v>
      </c>
      <c r="C61" s="0" t="n">
        <f aca="false">ROUND(SUMPRODUCT((Taches!$B$2:$B$60="LOT-02")*($A61&gt;=Taches!$H$2:$H$60)*((($A61-Taches!$H$2:$H$60+1)&gt;=Taches!$E$2:$E$60)+(($A61-Taches!$H$2:$H$60+1)&lt;Taches!$E$2:$E$60)*($A61-Taches!$H$2:$H$60+1)/Taches!$E$2:$E$60)*Taches!$G$2:$G$60),0)</f>
        <v>44483400</v>
      </c>
      <c r="D61" s="0" t="n">
        <f aca="false">ROUND(SUMPRODUCT((Taches!$B$2:$B$60="LOT-03")*($A61&gt;=Taches!$H$2:$H$60)*((($A61-Taches!$H$2:$H$60+1)&gt;=Taches!$E$2:$E$60)+(($A61-Taches!$H$2:$H$60+1)&lt;Taches!$E$2:$E$60)*($A61-Taches!$H$2:$H$60+1)/Taches!$E$2:$E$60)*Taches!$G$2:$G$60),0)</f>
        <v>11329200</v>
      </c>
      <c r="E61" s="0" t="n">
        <f aca="false">ROUND(SUMPRODUCT((Taches!$B$2:$B$60="LOT-04")*($A61&gt;=Taches!$H$2:$H$60)*((($A61-Taches!$H$2:$H$60+1)&gt;=Taches!$E$2:$E$60)+(($A61-Taches!$H$2:$H$60+1)&lt;Taches!$E$2:$E$60)*($A61-Taches!$H$2:$H$60+1)/Taches!$E$2:$E$60)*Taches!$G$2:$G$60),0)</f>
        <v>0</v>
      </c>
      <c r="F61" s="0" t="n">
        <f aca="false">ROUND(SUMPRODUCT((Taches!$B$2:$B$60="LOT-05")*($A61&gt;=Taches!$H$2:$H$60)*((($A61-Taches!$H$2:$H$60+1)&gt;=Taches!$E$2:$E$60)+(($A61-Taches!$H$2:$H$60+1)&lt;Taches!$E$2:$E$60)*($A61-Taches!$H$2:$H$60+1)/Taches!$E$2:$E$60)*Taches!$G$2:$G$60),0)</f>
        <v>0</v>
      </c>
      <c r="G61" s="0" t="n">
        <f aca="false">ROUND(SUMPRODUCT((Taches!$B$2:$B$60="LOT-06")*($A61&gt;=Taches!$H$2:$H$60)*((($A61-Taches!$H$2:$H$60+1)&gt;=Taches!$E$2:$E$60)+(($A61-Taches!$H$2:$H$60+1)&lt;Taches!$E$2:$E$60)*($A61-Taches!$H$2:$H$60+1)/Taches!$E$2:$E$60)*Taches!$G$2:$G$60),0)</f>
        <v>0</v>
      </c>
      <c r="H61" s="0" t="n">
        <f aca="false">ROUND(SUMPRODUCT((Taches!$B$2:$B$60="LOT-07")*($A61&gt;=Taches!$H$2:$H$60)*((($A61-Taches!$H$2:$H$60+1)&gt;=Taches!$E$2:$E$60)+(($A61-Taches!$H$2:$H$60+1)&lt;Taches!$E$2:$E$60)*($A61-Taches!$H$2:$H$60+1)/Taches!$E$2:$E$60)*Taches!$G$2:$G$60),0)</f>
        <v>0</v>
      </c>
      <c r="I61" s="0" t="n">
        <f aca="false">ROUND(SUMPRODUCT((Taches!$B$2:$B$60="LOT-08")*($A61&gt;=Taches!$H$2:$H$60)*((($A61-Taches!$H$2:$H$60+1)&gt;=Taches!$E$2:$E$60)+(($A61-Taches!$H$2:$H$60+1)&lt;Taches!$E$2:$E$60)*($A61-Taches!$H$2:$H$60+1)/Taches!$E$2:$E$60)*Taches!$G$2:$G$60),0)</f>
        <v>0</v>
      </c>
      <c r="J61" s="0" t="n">
        <f aca="false">SUM(B61:I61)</f>
        <v>111702600</v>
      </c>
    </row>
    <row r="62" customFormat="false" ht="15" hidden="false" customHeight="false" outlineLevel="0" collapsed="false">
      <c r="A62" s="0" t="n">
        <v>60</v>
      </c>
      <c r="B62" s="0" t="n">
        <f aca="false">ROUND(SUMPRODUCT((Taches!$B$2:$B$60="LOT-01")*($A62&gt;=Taches!$H$2:$H$60)*((($A62-Taches!$H$2:$H$60+1)&gt;=Taches!$E$2:$E$60)+(($A62-Taches!$H$2:$H$60+1)&lt;Taches!$E$2:$E$60)*($A62-Taches!$H$2:$H$60+1)/Taches!$E$2:$E$60)*Taches!$G$2:$G$60),0)</f>
        <v>55890000</v>
      </c>
      <c r="C62" s="0" t="n">
        <f aca="false">ROUND(SUMPRODUCT((Taches!$B$2:$B$60="LOT-02")*($A62&gt;=Taches!$H$2:$H$60)*((($A62-Taches!$H$2:$H$60+1)&gt;=Taches!$E$2:$E$60)+(($A62-Taches!$H$2:$H$60+1)&lt;Taches!$E$2:$E$60)*($A62-Taches!$H$2:$H$60+1)/Taches!$E$2:$E$60)*Taches!$G$2:$G$60),0)</f>
        <v>44483400</v>
      </c>
      <c r="D62" s="0" t="n">
        <f aca="false">ROUND(SUMPRODUCT((Taches!$B$2:$B$60="LOT-03")*($A62&gt;=Taches!$H$2:$H$60)*((($A62-Taches!$H$2:$H$60+1)&gt;=Taches!$E$2:$E$60)+(($A62-Taches!$H$2:$H$60+1)&lt;Taches!$E$2:$E$60)*($A62-Taches!$H$2:$H$60+1)/Taches!$E$2:$E$60)*Taches!$G$2:$G$60),0)</f>
        <v>13074000</v>
      </c>
      <c r="E62" s="0" t="n">
        <f aca="false">ROUND(SUMPRODUCT((Taches!$B$2:$B$60="LOT-04")*($A62&gt;=Taches!$H$2:$H$60)*((($A62-Taches!$H$2:$H$60+1)&gt;=Taches!$E$2:$E$60)+(($A62-Taches!$H$2:$H$60+1)&lt;Taches!$E$2:$E$60)*($A62-Taches!$H$2:$H$60+1)/Taches!$E$2:$E$60)*Taches!$G$2:$G$60),0)</f>
        <v>0</v>
      </c>
      <c r="F62" s="0" t="n">
        <f aca="false">ROUND(SUMPRODUCT((Taches!$B$2:$B$60="LOT-05")*($A62&gt;=Taches!$H$2:$H$60)*((($A62-Taches!$H$2:$H$60+1)&gt;=Taches!$E$2:$E$60)+(($A62-Taches!$H$2:$H$60+1)&lt;Taches!$E$2:$E$60)*($A62-Taches!$H$2:$H$60+1)/Taches!$E$2:$E$60)*Taches!$G$2:$G$60),0)</f>
        <v>0</v>
      </c>
      <c r="G62" s="0" t="n">
        <f aca="false">ROUND(SUMPRODUCT((Taches!$B$2:$B$60="LOT-06")*($A62&gt;=Taches!$H$2:$H$60)*((($A62-Taches!$H$2:$H$60+1)&gt;=Taches!$E$2:$E$60)+(($A62-Taches!$H$2:$H$60+1)&lt;Taches!$E$2:$E$60)*($A62-Taches!$H$2:$H$60+1)/Taches!$E$2:$E$60)*Taches!$G$2:$G$60),0)</f>
        <v>0</v>
      </c>
      <c r="H62" s="0" t="n">
        <f aca="false">ROUND(SUMPRODUCT((Taches!$B$2:$B$60="LOT-07")*($A62&gt;=Taches!$H$2:$H$60)*((($A62-Taches!$H$2:$H$60+1)&gt;=Taches!$E$2:$E$60)+(($A62-Taches!$H$2:$H$60+1)&lt;Taches!$E$2:$E$60)*($A62-Taches!$H$2:$H$60+1)/Taches!$E$2:$E$60)*Taches!$G$2:$G$60),0)</f>
        <v>0</v>
      </c>
      <c r="I62" s="0" t="n">
        <f aca="false">ROUND(SUMPRODUCT((Taches!$B$2:$B$60="LOT-08")*($A62&gt;=Taches!$H$2:$H$60)*((($A62-Taches!$H$2:$H$60+1)&gt;=Taches!$E$2:$E$60)+(($A62-Taches!$H$2:$H$60+1)&lt;Taches!$E$2:$E$60)*($A62-Taches!$H$2:$H$60+1)/Taches!$E$2:$E$60)*Taches!$G$2:$G$60),0)</f>
        <v>0</v>
      </c>
      <c r="J62" s="0" t="n">
        <f aca="false">SUM(B62:I62)</f>
        <v>113447400</v>
      </c>
    </row>
    <row r="63" customFormat="false" ht="15" hidden="false" customHeight="false" outlineLevel="0" collapsed="false">
      <c r="A63" s="0" t="n">
        <v>61</v>
      </c>
      <c r="B63" s="0" t="n">
        <f aca="false">ROUND(SUMPRODUCT((Taches!$B$2:$B$60="LOT-01")*($A63&gt;=Taches!$H$2:$H$60)*((($A63-Taches!$H$2:$H$60+1)&gt;=Taches!$E$2:$E$60)+(($A63-Taches!$H$2:$H$60+1)&lt;Taches!$E$2:$E$60)*($A63-Taches!$H$2:$H$60+1)/Taches!$E$2:$E$60)*Taches!$G$2:$G$60),0)</f>
        <v>55890000</v>
      </c>
      <c r="C63" s="0" t="n">
        <f aca="false">ROUND(SUMPRODUCT((Taches!$B$2:$B$60="LOT-02")*($A63&gt;=Taches!$H$2:$H$60)*((($A63-Taches!$H$2:$H$60+1)&gt;=Taches!$E$2:$E$60)+(($A63-Taches!$H$2:$H$60+1)&lt;Taches!$E$2:$E$60)*($A63-Taches!$H$2:$H$60+1)/Taches!$E$2:$E$60)*Taches!$G$2:$G$60),0)</f>
        <v>44483400</v>
      </c>
      <c r="D63" s="0" t="n">
        <f aca="false">ROUND(SUMPRODUCT((Taches!$B$2:$B$60="LOT-03")*($A63&gt;=Taches!$H$2:$H$60)*((($A63-Taches!$H$2:$H$60+1)&gt;=Taches!$E$2:$E$60)+(($A63-Taches!$H$2:$H$60+1)&lt;Taches!$E$2:$E$60)*($A63-Taches!$H$2:$H$60+1)/Taches!$E$2:$E$60)*Taches!$G$2:$G$60),0)</f>
        <v>14818800</v>
      </c>
      <c r="E63" s="0" t="n">
        <f aca="false">ROUND(SUMPRODUCT((Taches!$B$2:$B$60="LOT-04")*($A63&gt;=Taches!$H$2:$H$60)*((($A63-Taches!$H$2:$H$60+1)&gt;=Taches!$E$2:$E$60)+(($A63-Taches!$H$2:$H$60+1)&lt;Taches!$E$2:$E$60)*($A63-Taches!$H$2:$H$60+1)/Taches!$E$2:$E$60)*Taches!$G$2:$G$60),0)</f>
        <v>0</v>
      </c>
      <c r="F63" s="0" t="n">
        <f aca="false">ROUND(SUMPRODUCT((Taches!$B$2:$B$60="LOT-05")*($A63&gt;=Taches!$H$2:$H$60)*((($A63-Taches!$H$2:$H$60+1)&gt;=Taches!$E$2:$E$60)+(($A63-Taches!$H$2:$H$60+1)&lt;Taches!$E$2:$E$60)*($A63-Taches!$H$2:$H$60+1)/Taches!$E$2:$E$60)*Taches!$G$2:$G$60),0)</f>
        <v>0</v>
      </c>
      <c r="G63" s="0" t="n">
        <f aca="false">ROUND(SUMPRODUCT((Taches!$B$2:$B$60="LOT-06")*($A63&gt;=Taches!$H$2:$H$60)*((($A63-Taches!$H$2:$H$60+1)&gt;=Taches!$E$2:$E$60)+(($A63-Taches!$H$2:$H$60+1)&lt;Taches!$E$2:$E$60)*($A63-Taches!$H$2:$H$60+1)/Taches!$E$2:$E$60)*Taches!$G$2:$G$60),0)</f>
        <v>0</v>
      </c>
      <c r="H63" s="0" t="n">
        <f aca="false">ROUND(SUMPRODUCT((Taches!$B$2:$B$60="LOT-07")*($A63&gt;=Taches!$H$2:$H$60)*((($A63-Taches!$H$2:$H$60+1)&gt;=Taches!$E$2:$E$60)+(($A63-Taches!$H$2:$H$60+1)&lt;Taches!$E$2:$E$60)*($A63-Taches!$H$2:$H$60+1)/Taches!$E$2:$E$60)*Taches!$G$2:$G$60),0)</f>
        <v>0</v>
      </c>
      <c r="I63" s="0" t="n">
        <f aca="false">ROUND(SUMPRODUCT((Taches!$B$2:$B$60="LOT-08")*($A63&gt;=Taches!$H$2:$H$60)*((($A63-Taches!$H$2:$H$60+1)&gt;=Taches!$E$2:$E$60)+(($A63-Taches!$H$2:$H$60+1)&lt;Taches!$E$2:$E$60)*($A63-Taches!$H$2:$H$60+1)/Taches!$E$2:$E$60)*Taches!$G$2:$G$60),0)</f>
        <v>0</v>
      </c>
      <c r="J63" s="0" t="n">
        <f aca="false">SUM(B63:I63)</f>
        <v>115192200</v>
      </c>
    </row>
    <row r="64" customFormat="false" ht="15" hidden="false" customHeight="false" outlineLevel="0" collapsed="false">
      <c r="A64" s="0" t="n">
        <v>62</v>
      </c>
      <c r="B64" s="0" t="n">
        <f aca="false">ROUND(SUMPRODUCT((Taches!$B$2:$B$60="LOT-01")*($A64&gt;=Taches!$H$2:$H$60)*((($A64-Taches!$H$2:$H$60+1)&gt;=Taches!$E$2:$E$60)+(($A64-Taches!$H$2:$H$60+1)&lt;Taches!$E$2:$E$60)*($A64-Taches!$H$2:$H$60+1)/Taches!$E$2:$E$60)*Taches!$G$2:$G$60),0)</f>
        <v>55890000</v>
      </c>
      <c r="C64" s="0" t="n">
        <f aca="false">ROUND(SUMPRODUCT((Taches!$B$2:$B$60="LOT-02")*($A64&gt;=Taches!$H$2:$H$60)*((($A64-Taches!$H$2:$H$60+1)&gt;=Taches!$E$2:$E$60)+(($A64-Taches!$H$2:$H$60+1)&lt;Taches!$E$2:$E$60)*($A64-Taches!$H$2:$H$60+1)/Taches!$E$2:$E$60)*Taches!$G$2:$G$60),0)</f>
        <v>44483400</v>
      </c>
      <c r="D64" s="0" t="n">
        <f aca="false">ROUND(SUMPRODUCT((Taches!$B$2:$B$60="LOT-03")*($A64&gt;=Taches!$H$2:$H$60)*((($A64-Taches!$H$2:$H$60+1)&gt;=Taches!$E$2:$E$60)+(($A64-Taches!$H$2:$H$60+1)&lt;Taches!$E$2:$E$60)*($A64-Taches!$H$2:$H$60+1)/Taches!$E$2:$E$60)*Taches!$G$2:$G$60),0)</f>
        <v>16563600</v>
      </c>
      <c r="E64" s="0" t="n">
        <f aca="false">ROUND(SUMPRODUCT((Taches!$B$2:$B$60="LOT-04")*($A64&gt;=Taches!$H$2:$H$60)*((($A64-Taches!$H$2:$H$60+1)&gt;=Taches!$E$2:$E$60)+(($A64-Taches!$H$2:$H$60+1)&lt;Taches!$E$2:$E$60)*($A64-Taches!$H$2:$H$60+1)/Taches!$E$2:$E$60)*Taches!$G$2:$G$60),0)</f>
        <v>0</v>
      </c>
      <c r="F64" s="0" t="n">
        <f aca="false">ROUND(SUMPRODUCT((Taches!$B$2:$B$60="LOT-05")*($A64&gt;=Taches!$H$2:$H$60)*((($A64-Taches!$H$2:$H$60+1)&gt;=Taches!$E$2:$E$60)+(($A64-Taches!$H$2:$H$60+1)&lt;Taches!$E$2:$E$60)*($A64-Taches!$H$2:$H$60+1)/Taches!$E$2:$E$60)*Taches!$G$2:$G$60),0)</f>
        <v>0</v>
      </c>
      <c r="G64" s="0" t="n">
        <f aca="false">ROUND(SUMPRODUCT((Taches!$B$2:$B$60="LOT-06")*($A64&gt;=Taches!$H$2:$H$60)*((($A64-Taches!$H$2:$H$60+1)&gt;=Taches!$E$2:$E$60)+(($A64-Taches!$H$2:$H$60+1)&lt;Taches!$E$2:$E$60)*($A64-Taches!$H$2:$H$60+1)/Taches!$E$2:$E$60)*Taches!$G$2:$G$60),0)</f>
        <v>0</v>
      </c>
      <c r="H64" s="0" t="n">
        <f aca="false">ROUND(SUMPRODUCT((Taches!$B$2:$B$60="LOT-07")*($A64&gt;=Taches!$H$2:$H$60)*((($A64-Taches!$H$2:$H$60+1)&gt;=Taches!$E$2:$E$60)+(($A64-Taches!$H$2:$H$60+1)&lt;Taches!$E$2:$E$60)*($A64-Taches!$H$2:$H$60+1)/Taches!$E$2:$E$60)*Taches!$G$2:$G$60),0)</f>
        <v>0</v>
      </c>
      <c r="I64" s="0" t="n">
        <f aca="false">ROUND(SUMPRODUCT((Taches!$B$2:$B$60="LOT-08")*($A64&gt;=Taches!$H$2:$H$60)*((($A64-Taches!$H$2:$H$60+1)&gt;=Taches!$E$2:$E$60)+(($A64-Taches!$H$2:$H$60+1)&lt;Taches!$E$2:$E$60)*($A64-Taches!$H$2:$H$60+1)/Taches!$E$2:$E$60)*Taches!$G$2:$G$60),0)</f>
        <v>0</v>
      </c>
      <c r="J64" s="0" t="n">
        <f aca="false">SUM(B64:I64)</f>
        <v>116937000</v>
      </c>
    </row>
    <row r="65" customFormat="false" ht="15" hidden="false" customHeight="false" outlineLevel="0" collapsed="false">
      <c r="A65" s="0" t="n">
        <v>63</v>
      </c>
      <c r="B65" s="0" t="n">
        <f aca="false">ROUND(SUMPRODUCT((Taches!$B$2:$B$60="LOT-01")*($A65&gt;=Taches!$H$2:$H$60)*((($A65-Taches!$H$2:$H$60+1)&gt;=Taches!$E$2:$E$60)+(($A65-Taches!$H$2:$H$60+1)&lt;Taches!$E$2:$E$60)*($A65-Taches!$H$2:$H$60+1)/Taches!$E$2:$E$60)*Taches!$G$2:$G$60),0)</f>
        <v>55890000</v>
      </c>
      <c r="C65" s="0" t="n">
        <f aca="false">ROUND(SUMPRODUCT((Taches!$B$2:$B$60="LOT-02")*($A65&gt;=Taches!$H$2:$H$60)*((($A65-Taches!$H$2:$H$60+1)&gt;=Taches!$E$2:$E$60)+(($A65-Taches!$H$2:$H$60+1)&lt;Taches!$E$2:$E$60)*($A65-Taches!$H$2:$H$60+1)/Taches!$E$2:$E$60)*Taches!$G$2:$G$60),0)</f>
        <v>44483400</v>
      </c>
      <c r="D65" s="0" t="n">
        <f aca="false">ROUND(SUMPRODUCT((Taches!$B$2:$B$60="LOT-03")*($A65&gt;=Taches!$H$2:$H$60)*((($A65-Taches!$H$2:$H$60+1)&gt;=Taches!$E$2:$E$60)+(($A65-Taches!$H$2:$H$60+1)&lt;Taches!$E$2:$E$60)*($A65-Taches!$H$2:$H$60+1)/Taches!$E$2:$E$60)*Taches!$G$2:$G$60),0)</f>
        <v>18308400</v>
      </c>
      <c r="E65" s="0" t="n">
        <f aca="false">ROUND(SUMPRODUCT((Taches!$B$2:$B$60="LOT-04")*($A65&gt;=Taches!$H$2:$H$60)*((($A65-Taches!$H$2:$H$60+1)&gt;=Taches!$E$2:$E$60)+(($A65-Taches!$H$2:$H$60+1)&lt;Taches!$E$2:$E$60)*($A65-Taches!$H$2:$H$60+1)/Taches!$E$2:$E$60)*Taches!$G$2:$G$60),0)</f>
        <v>0</v>
      </c>
      <c r="F65" s="0" t="n">
        <f aca="false">ROUND(SUMPRODUCT((Taches!$B$2:$B$60="LOT-05")*($A65&gt;=Taches!$H$2:$H$60)*((($A65-Taches!$H$2:$H$60+1)&gt;=Taches!$E$2:$E$60)+(($A65-Taches!$H$2:$H$60+1)&lt;Taches!$E$2:$E$60)*($A65-Taches!$H$2:$H$60+1)/Taches!$E$2:$E$60)*Taches!$G$2:$G$60),0)</f>
        <v>0</v>
      </c>
      <c r="G65" s="0" t="n">
        <f aca="false">ROUND(SUMPRODUCT((Taches!$B$2:$B$60="LOT-06")*($A65&gt;=Taches!$H$2:$H$60)*((($A65-Taches!$H$2:$H$60+1)&gt;=Taches!$E$2:$E$60)+(($A65-Taches!$H$2:$H$60+1)&lt;Taches!$E$2:$E$60)*($A65-Taches!$H$2:$H$60+1)/Taches!$E$2:$E$60)*Taches!$G$2:$G$60),0)</f>
        <v>0</v>
      </c>
      <c r="H65" s="0" t="n">
        <f aca="false">ROUND(SUMPRODUCT((Taches!$B$2:$B$60="LOT-07")*($A65&gt;=Taches!$H$2:$H$60)*((($A65-Taches!$H$2:$H$60+1)&gt;=Taches!$E$2:$E$60)+(($A65-Taches!$H$2:$H$60+1)&lt;Taches!$E$2:$E$60)*($A65-Taches!$H$2:$H$60+1)/Taches!$E$2:$E$60)*Taches!$G$2:$G$60),0)</f>
        <v>0</v>
      </c>
      <c r="I65" s="0" t="n">
        <f aca="false">ROUND(SUMPRODUCT((Taches!$B$2:$B$60="LOT-08")*($A65&gt;=Taches!$H$2:$H$60)*((($A65-Taches!$H$2:$H$60+1)&gt;=Taches!$E$2:$E$60)+(($A65-Taches!$H$2:$H$60+1)&lt;Taches!$E$2:$E$60)*($A65-Taches!$H$2:$H$60+1)/Taches!$E$2:$E$60)*Taches!$G$2:$G$60),0)</f>
        <v>0</v>
      </c>
      <c r="J65" s="0" t="n">
        <f aca="false">SUM(B65:I65)</f>
        <v>118681800</v>
      </c>
    </row>
    <row r="66" customFormat="false" ht="15" hidden="false" customHeight="false" outlineLevel="0" collapsed="false">
      <c r="A66" s="0" t="n">
        <v>64</v>
      </c>
      <c r="B66" s="0" t="n">
        <f aca="false">ROUND(SUMPRODUCT((Taches!$B$2:$B$60="LOT-01")*($A66&gt;=Taches!$H$2:$H$60)*((($A66-Taches!$H$2:$H$60+1)&gt;=Taches!$E$2:$E$60)+(($A66-Taches!$H$2:$H$60+1)&lt;Taches!$E$2:$E$60)*($A66-Taches!$H$2:$H$60+1)/Taches!$E$2:$E$60)*Taches!$G$2:$G$60),0)</f>
        <v>55890000</v>
      </c>
      <c r="C66" s="0" t="n">
        <f aca="false">ROUND(SUMPRODUCT((Taches!$B$2:$B$60="LOT-02")*($A66&gt;=Taches!$H$2:$H$60)*((($A66-Taches!$H$2:$H$60+1)&gt;=Taches!$E$2:$E$60)+(($A66-Taches!$H$2:$H$60+1)&lt;Taches!$E$2:$E$60)*($A66-Taches!$H$2:$H$60+1)/Taches!$E$2:$E$60)*Taches!$G$2:$G$60),0)</f>
        <v>44483400</v>
      </c>
      <c r="D66" s="0" t="n">
        <f aca="false">ROUND(SUMPRODUCT((Taches!$B$2:$B$60="LOT-03")*($A66&gt;=Taches!$H$2:$H$60)*((($A66-Taches!$H$2:$H$60+1)&gt;=Taches!$E$2:$E$60)+(($A66-Taches!$H$2:$H$60+1)&lt;Taches!$E$2:$E$60)*($A66-Taches!$H$2:$H$60+1)/Taches!$E$2:$E$60)*Taches!$G$2:$G$60),0)</f>
        <v>21694325</v>
      </c>
      <c r="E66" s="0" t="n">
        <f aca="false">ROUND(SUMPRODUCT((Taches!$B$2:$B$60="LOT-04")*($A66&gt;=Taches!$H$2:$H$60)*((($A66-Taches!$H$2:$H$60+1)&gt;=Taches!$E$2:$E$60)+(($A66-Taches!$H$2:$H$60+1)&lt;Taches!$E$2:$E$60)*($A66-Taches!$H$2:$H$60+1)/Taches!$E$2:$E$60)*Taches!$G$2:$G$60),0)</f>
        <v>0</v>
      </c>
      <c r="F66" s="0" t="n">
        <f aca="false">ROUND(SUMPRODUCT((Taches!$B$2:$B$60="LOT-05")*($A66&gt;=Taches!$H$2:$H$60)*((($A66-Taches!$H$2:$H$60+1)&gt;=Taches!$E$2:$E$60)+(($A66-Taches!$H$2:$H$60+1)&lt;Taches!$E$2:$E$60)*($A66-Taches!$H$2:$H$60+1)/Taches!$E$2:$E$60)*Taches!$G$2:$G$60),0)</f>
        <v>0</v>
      </c>
      <c r="G66" s="0" t="n">
        <f aca="false">ROUND(SUMPRODUCT((Taches!$B$2:$B$60="LOT-06")*($A66&gt;=Taches!$H$2:$H$60)*((($A66-Taches!$H$2:$H$60+1)&gt;=Taches!$E$2:$E$60)+(($A66-Taches!$H$2:$H$60+1)&lt;Taches!$E$2:$E$60)*($A66-Taches!$H$2:$H$60+1)/Taches!$E$2:$E$60)*Taches!$G$2:$G$60),0)</f>
        <v>0</v>
      </c>
      <c r="H66" s="0" t="n">
        <f aca="false">ROUND(SUMPRODUCT((Taches!$B$2:$B$60="LOT-07")*($A66&gt;=Taches!$H$2:$H$60)*((($A66-Taches!$H$2:$H$60+1)&gt;=Taches!$E$2:$E$60)+(($A66-Taches!$H$2:$H$60+1)&lt;Taches!$E$2:$E$60)*($A66-Taches!$H$2:$H$60+1)/Taches!$E$2:$E$60)*Taches!$G$2:$G$60),0)</f>
        <v>0</v>
      </c>
      <c r="I66" s="0" t="n">
        <f aca="false">ROUND(SUMPRODUCT((Taches!$B$2:$B$60="LOT-08")*($A66&gt;=Taches!$H$2:$H$60)*((($A66-Taches!$H$2:$H$60+1)&gt;=Taches!$E$2:$E$60)+(($A66-Taches!$H$2:$H$60+1)&lt;Taches!$E$2:$E$60)*($A66-Taches!$H$2:$H$60+1)/Taches!$E$2:$E$60)*Taches!$G$2:$G$60),0)</f>
        <v>0</v>
      </c>
      <c r="J66" s="0" t="n">
        <f aca="false">SUM(B66:I66)</f>
        <v>122067725</v>
      </c>
    </row>
    <row r="67" customFormat="false" ht="15" hidden="false" customHeight="false" outlineLevel="0" collapsed="false">
      <c r="A67" s="0" t="n">
        <v>65</v>
      </c>
      <c r="B67" s="0" t="n">
        <f aca="false">ROUND(SUMPRODUCT((Taches!$B$2:$B$60="LOT-01")*($A67&gt;=Taches!$H$2:$H$60)*((($A67-Taches!$H$2:$H$60+1)&gt;=Taches!$E$2:$E$60)+(($A67-Taches!$H$2:$H$60+1)&lt;Taches!$E$2:$E$60)*($A67-Taches!$H$2:$H$60+1)/Taches!$E$2:$E$60)*Taches!$G$2:$G$60),0)</f>
        <v>55890000</v>
      </c>
      <c r="C67" s="0" t="n">
        <f aca="false">ROUND(SUMPRODUCT((Taches!$B$2:$B$60="LOT-02")*($A67&gt;=Taches!$H$2:$H$60)*((($A67-Taches!$H$2:$H$60+1)&gt;=Taches!$E$2:$E$60)+(($A67-Taches!$H$2:$H$60+1)&lt;Taches!$E$2:$E$60)*($A67-Taches!$H$2:$H$60+1)/Taches!$E$2:$E$60)*Taches!$G$2:$G$60),0)</f>
        <v>44483400</v>
      </c>
      <c r="D67" s="0" t="n">
        <f aca="false">ROUND(SUMPRODUCT((Taches!$B$2:$B$60="LOT-03")*($A67&gt;=Taches!$H$2:$H$60)*((($A67-Taches!$H$2:$H$60+1)&gt;=Taches!$E$2:$E$60)+(($A67-Taches!$H$2:$H$60+1)&lt;Taches!$E$2:$E$60)*($A67-Taches!$H$2:$H$60+1)/Taches!$E$2:$E$60)*Taches!$G$2:$G$60),0)</f>
        <v>25080250</v>
      </c>
      <c r="E67" s="0" t="n">
        <f aca="false">ROUND(SUMPRODUCT((Taches!$B$2:$B$60="LOT-04")*($A67&gt;=Taches!$H$2:$H$60)*((($A67-Taches!$H$2:$H$60+1)&gt;=Taches!$E$2:$E$60)+(($A67-Taches!$H$2:$H$60+1)&lt;Taches!$E$2:$E$60)*($A67-Taches!$H$2:$H$60+1)/Taches!$E$2:$E$60)*Taches!$G$2:$G$60),0)</f>
        <v>0</v>
      </c>
      <c r="F67" s="0" t="n">
        <f aca="false">ROUND(SUMPRODUCT((Taches!$B$2:$B$60="LOT-05")*($A67&gt;=Taches!$H$2:$H$60)*((($A67-Taches!$H$2:$H$60+1)&gt;=Taches!$E$2:$E$60)+(($A67-Taches!$H$2:$H$60+1)&lt;Taches!$E$2:$E$60)*($A67-Taches!$H$2:$H$60+1)/Taches!$E$2:$E$60)*Taches!$G$2:$G$60),0)</f>
        <v>0</v>
      </c>
      <c r="G67" s="0" t="n">
        <f aca="false">ROUND(SUMPRODUCT((Taches!$B$2:$B$60="LOT-06")*($A67&gt;=Taches!$H$2:$H$60)*((($A67-Taches!$H$2:$H$60+1)&gt;=Taches!$E$2:$E$60)+(($A67-Taches!$H$2:$H$60+1)&lt;Taches!$E$2:$E$60)*($A67-Taches!$H$2:$H$60+1)/Taches!$E$2:$E$60)*Taches!$G$2:$G$60),0)</f>
        <v>0</v>
      </c>
      <c r="H67" s="0" t="n">
        <f aca="false">ROUND(SUMPRODUCT((Taches!$B$2:$B$60="LOT-07")*($A67&gt;=Taches!$H$2:$H$60)*((($A67-Taches!$H$2:$H$60+1)&gt;=Taches!$E$2:$E$60)+(($A67-Taches!$H$2:$H$60+1)&lt;Taches!$E$2:$E$60)*($A67-Taches!$H$2:$H$60+1)/Taches!$E$2:$E$60)*Taches!$G$2:$G$60),0)</f>
        <v>0</v>
      </c>
      <c r="I67" s="0" t="n">
        <f aca="false">ROUND(SUMPRODUCT((Taches!$B$2:$B$60="LOT-08")*($A67&gt;=Taches!$H$2:$H$60)*((($A67-Taches!$H$2:$H$60+1)&gt;=Taches!$E$2:$E$60)+(($A67-Taches!$H$2:$H$60+1)&lt;Taches!$E$2:$E$60)*($A67-Taches!$H$2:$H$60+1)/Taches!$E$2:$E$60)*Taches!$G$2:$G$60),0)</f>
        <v>0</v>
      </c>
      <c r="J67" s="0" t="n">
        <f aca="false">SUM(B67:I67)</f>
        <v>125453650</v>
      </c>
    </row>
    <row r="68" customFormat="false" ht="15" hidden="false" customHeight="false" outlineLevel="0" collapsed="false">
      <c r="A68" s="0" t="n">
        <v>66</v>
      </c>
      <c r="B68" s="0" t="n">
        <f aca="false">ROUND(SUMPRODUCT((Taches!$B$2:$B$60="LOT-01")*($A68&gt;=Taches!$H$2:$H$60)*((($A68-Taches!$H$2:$H$60+1)&gt;=Taches!$E$2:$E$60)+(($A68-Taches!$H$2:$H$60+1)&lt;Taches!$E$2:$E$60)*($A68-Taches!$H$2:$H$60+1)/Taches!$E$2:$E$60)*Taches!$G$2:$G$60),0)</f>
        <v>55890000</v>
      </c>
      <c r="C68" s="0" t="n">
        <f aca="false">ROUND(SUMPRODUCT((Taches!$B$2:$B$60="LOT-02")*($A68&gt;=Taches!$H$2:$H$60)*((($A68-Taches!$H$2:$H$60+1)&gt;=Taches!$E$2:$E$60)+(($A68-Taches!$H$2:$H$60+1)&lt;Taches!$E$2:$E$60)*($A68-Taches!$H$2:$H$60+1)/Taches!$E$2:$E$60)*Taches!$G$2:$G$60),0)</f>
        <v>44483400</v>
      </c>
      <c r="D68" s="0" t="n">
        <f aca="false">ROUND(SUMPRODUCT((Taches!$B$2:$B$60="LOT-03")*($A68&gt;=Taches!$H$2:$H$60)*((($A68-Taches!$H$2:$H$60+1)&gt;=Taches!$E$2:$E$60)+(($A68-Taches!$H$2:$H$60+1)&lt;Taches!$E$2:$E$60)*($A68-Taches!$H$2:$H$60+1)/Taches!$E$2:$E$60)*Taches!$G$2:$G$60),0)</f>
        <v>28466175</v>
      </c>
      <c r="E68" s="0" t="n">
        <f aca="false">ROUND(SUMPRODUCT((Taches!$B$2:$B$60="LOT-04")*($A68&gt;=Taches!$H$2:$H$60)*((($A68-Taches!$H$2:$H$60+1)&gt;=Taches!$E$2:$E$60)+(($A68-Taches!$H$2:$H$60+1)&lt;Taches!$E$2:$E$60)*($A68-Taches!$H$2:$H$60+1)/Taches!$E$2:$E$60)*Taches!$G$2:$G$60),0)</f>
        <v>0</v>
      </c>
      <c r="F68" s="0" t="n">
        <f aca="false">ROUND(SUMPRODUCT((Taches!$B$2:$B$60="LOT-05")*($A68&gt;=Taches!$H$2:$H$60)*((($A68-Taches!$H$2:$H$60+1)&gt;=Taches!$E$2:$E$60)+(($A68-Taches!$H$2:$H$60+1)&lt;Taches!$E$2:$E$60)*($A68-Taches!$H$2:$H$60+1)/Taches!$E$2:$E$60)*Taches!$G$2:$G$60),0)</f>
        <v>0</v>
      </c>
      <c r="G68" s="0" t="n">
        <f aca="false">ROUND(SUMPRODUCT((Taches!$B$2:$B$60="LOT-06")*($A68&gt;=Taches!$H$2:$H$60)*((($A68-Taches!$H$2:$H$60+1)&gt;=Taches!$E$2:$E$60)+(($A68-Taches!$H$2:$H$60+1)&lt;Taches!$E$2:$E$60)*($A68-Taches!$H$2:$H$60+1)/Taches!$E$2:$E$60)*Taches!$G$2:$G$60),0)</f>
        <v>0</v>
      </c>
      <c r="H68" s="0" t="n">
        <f aca="false">ROUND(SUMPRODUCT((Taches!$B$2:$B$60="LOT-07")*($A68&gt;=Taches!$H$2:$H$60)*((($A68-Taches!$H$2:$H$60+1)&gt;=Taches!$E$2:$E$60)+(($A68-Taches!$H$2:$H$60+1)&lt;Taches!$E$2:$E$60)*($A68-Taches!$H$2:$H$60+1)/Taches!$E$2:$E$60)*Taches!$G$2:$G$60),0)</f>
        <v>0</v>
      </c>
      <c r="I68" s="0" t="n">
        <f aca="false">ROUND(SUMPRODUCT((Taches!$B$2:$B$60="LOT-08")*($A68&gt;=Taches!$H$2:$H$60)*((($A68-Taches!$H$2:$H$60+1)&gt;=Taches!$E$2:$E$60)+(($A68-Taches!$H$2:$H$60+1)&lt;Taches!$E$2:$E$60)*($A68-Taches!$H$2:$H$60+1)/Taches!$E$2:$E$60)*Taches!$G$2:$G$60),0)</f>
        <v>0</v>
      </c>
      <c r="J68" s="0" t="n">
        <f aca="false">SUM(B68:I68)</f>
        <v>128839575</v>
      </c>
    </row>
    <row r="69" customFormat="false" ht="15" hidden="false" customHeight="false" outlineLevel="0" collapsed="false">
      <c r="A69" s="0" t="n">
        <v>67</v>
      </c>
      <c r="B69" s="0" t="n">
        <f aca="false">ROUND(SUMPRODUCT((Taches!$B$2:$B$60="LOT-01")*($A69&gt;=Taches!$H$2:$H$60)*((($A69-Taches!$H$2:$H$60+1)&gt;=Taches!$E$2:$E$60)+(($A69-Taches!$H$2:$H$60+1)&lt;Taches!$E$2:$E$60)*($A69-Taches!$H$2:$H$60+1)/Taches!$E$2:$E$60)*Taches!$G$2:$G$60),0)</f>
        <v>55890000</v>
      </c>
      <c r="C69" s="0" t="n">
        <f aca="false">ROUND(SUMPRODUCT((Taches!$B$2:$B$60="LOT-02")*($A69&gt;=Taches!$H$2:$H$60)*((($A69-Taches!$H$2:$H$60+1)&gt;=Taches!$E$2:$E$60)+(($A69-Taches!$H$2:$H$60+1)&lt;Taches!$E$2:$E$60)*($A69-Taches!$H$2:$H$60+1)/Taches!$E$2:$E$60)*Taches!$G$2:$G$60),0)</f>
        <v>44483400</v>
      </c>
      <c r="D69" s="0" t="n">
        <f aca="false">ROUND(SUMPRODUCT((Taches!$B$2:$B$60="LOT-03")*($A69&gt;=Taches!$H$2:$H$60)*((($A69-Taches!$H$2:$H$60+1)&gt;=Taches!$E$2:$E$60)+(($A69-Taches!$H$2:$H$60+1)&lt;Taches!$E$2:$E$60)*($A69-Taches!$H$2:$H$60+1)/Taches!$E$2:$E$60)*Taches!$G$2:$G$60),0)</f>
        <v>31852100</v>
      </c>
      <c r="E69" s="0" t="n">
        <f aca="false">ROUND(SUMPRODUCT((Taches!$B$2:$B$60="LOT-04")*($A69&gt;=Taches!$H$2:$H$60)*((($A69-Taches!$H$2:$H$60+1)&gt;=Taches!$E$2:$E$60)+(($A69-Taches!$H$2:$H$60+1)&lt;Taches!$E$2:$E$60)*($A69-Taches!$H$2:$H$60+1)/Taches!$E$2:$E$60)*Taches!$G$2:$G$60),0)</f>
        <v>0</v>
      </c>
      <c r="F69" s="0" t="n">
        <f aca="false">ROUND(SUMPRODUCT((Taches!$B$2:$B$60="LOT-05")*($A69&gt;=Taches!$H$2:$H$60)*((($A69-Taches!$H$2:$H$60+1)&gt;=Taches!$E$2:$E$60)+(($A69-Taches!$H$2:$H$60+1)&lt;Taches!$E$2:$E$60)*($A69-Taches!$H$2:$H$60+1)/Taches!$E$2:$E$60)*Taches!$G$2:$G$60),0)</f>
        <v>0</v>
      </c>
      <c r="G69" s="0" t="n">
        <f aca="false">ROUND(SUMPRODUCT((Taches!$B$2:$B$60="LOT-06")*($A69&gt;=Taches!$H$2:$H$60)*((($A69-Taches!$H$2:$H$60+1)&gt;=Taches!$E$2:$E$60)+(($A69-Taches!$H$2:$H$60+1)&lt;Taches!$E$2:$E$60)*($A69-Taches!$H$2:$H$60+1)/Taches!$E$2:$E$60)*Taches!$G$2:$G$60),0)</f>
        <v>0</v>
      </c>
      <c r="H69" s="0" t="n">
        <f aca="false">ROUND(SUMPRODUCT((Taches!$B$2:$B$60="LOT-07")*($A69&gt;=Taches!$H$2:$H$60)*((($A69-Taches!$H$2:$H$60+1)&gt;=Taches!$E$2:$E$60)+(($A69-Taches!$H$2:$H$60+1)&lt;Taches!$E$2:$E$60)*($A69-Taches!$H$2:$H$60+1)/Taches!$E$2:$E$60)*Taches!$G$2:$G$60),0)</f>
        <v>0</v>
      </c>
      <c r="I69" s="0" t="n">
        <f aca="false">ROUND(SUMPRODUCT((Taches!$B$2:$B$60="LOT-08")*($A69&gt;=Taches!$H$2:$H$60)*((($A69-Taches!$H$2:$H$60+1)&gt;=Taches!$E$2:$E$60)+(($A69-Taches!$H$2:$H$60+1)&lt;Taches!$E$2:$E$60)*($A69-Taches!$H$2:$H$60+1)/Taches!$E$2:$E$60)*Taches!$G$2:$G$60),0)</f>
        <v>0</v>
      </c>
      <c r="J69" s="0" t="n">
        <f aca="false">SUM(B69:I69)</f>
        <v>132225500</v>
      </c>
    </row>
    <row r="70" customFormat="false" ht="15" hidden="false" customHeight="false" outlineLevel="0" collapsed="false">
      <c r="A70" s="0" t="n">
        <v>68</v>
      </c>
      <c r="B70" s="0" t="n">
        <f aca="false">ROUND(SUMPRODUCT((Taches!$B$2:$B$60="LOT-01")*($A70&gt;=Taches!$H$2:$H$60)*((($A70-Taches!$H$2:$H$60+1)&gt;=Taches!$E$2:$E$60)+(($A70-Taches!$H$2:$H$60+1)&lt;Taches!$E$2:$E$60)*($A70-Taches!$H$2:$H$60+1)/Taches!$E$2:$E$60)*Taches!$G$2:$G$60),0)</f>
        <v>55890000</v>
      </c>
      <c r="C70" s="0" t="n">
        <f aca="false">ROUND(SUMPRODUCT((Taches!$B$2:$B$60="LOT-02")*($A70&gt;=Taches!$H$2:$H$60)*((($A70-Taches!$H$2:$H$60+1)&gt;=Taches!$E$2:$E$60)+(($A70-Taches!$H$2:$H$60+1)&lt;Taches!$E$2:$E$60)*($A70-Taches!$H$2:$H$60+1)/Taches!$E$2:$E$60)*Taches!$G$2:$G$60),0)</f>
        <v>44483400</v>
      </c>
      <c r="D70" s="0" t="n">
        <f aca="false">ROUND(SUMPRODUCT((Taches!$B$2:$B$60="LOT-03")*($A70&gt;=Taches!$H$2:$H$60)*((($A70-Taches!$H$2:$H$60+1)&gt;=Taches!$E$2:$E$60)+(($A70-Taches!$H$2:$H$60+1)&lt;Taches!$E$2:$E$60)*($A70-Taches!$H$2:$H$60+1)/Taches!$E$2:$E$60)*Taches!$G$2:$G$60),0)</f>
        <v>35238025</v>
      </c>
      <c r="E70" s="0" t="n">
        <f aca="false">ROUND(SUMPRODUCT((Taches!$B$2:$B$60="LOT-04")*($A70&gt;=Taches!$H$2:$H$60)*((($A70-Taches!$H$2:$H$60+1)&gt;=Taches!$E$2:$E$60)+(($A70-Taches!$H$2:$H$60+1)&lt;Taches!$E$2:$E$60)*($A70-Taches!$H$2:$H$60+1)/Taches!$E$2:$E$60)*Taches!$G$2:$G$60),0)</f>
        <v>0</v>
      </c>
      <c r="F70" s="0" t="n">
        <f aca="false">ROUND(SUMPRODUCT((Taches!$B$2:$B$60="LOT-05")*($A70&gt;=Taches!$H$2:$H$60)*((($A70-Taches!$H$2:$H$60+1)&gt;=Taches!$E$2:$E$60)+(($A70-Taches!$H$2:$H$60+1)&lt;Taches!$E$2:$E$60)*($A70-Taches!$H$2:$H$60+1)/Taches!$E$2:$E$60)*Taches!$G$2:$G$60),0)</f>
        <v>0</v>
      </c>
      <c r="G70" s="0" t="n">
        <f aca="false">ROUND(SUMPRODUCT((Taches!$B$2:$B$60="LOT-06")*($A70&gt;=Taches!$H$2:$H$60)*((($A70-Taches!$H$2:$H$60+1)&gt;=Taches!$E$2:$E$60)+(($A70-Taches!$H$2:$H$60+1)&lt;Taches!$E$2:$E$60)*($A70-Taches!$H$2:$H$60+1)/Taches!$E$2:$E$60)*Taches!$G$2:$G$60),0)</f>
        <v>0</v>
      </c>
      <c r="H70" s="0" t="n">
        <f aca="false">ROUND(SUMPRODUCT((Taches!$B$2:$B$60="LOT-07")*($A70&gt;=Taches!$H$2:$H$60)*((($A70-Taches!$H$2:$H$60+1)&gt;=Taches!$E$2:$E$60)+(($A70-Taches!$H$2:$H$60+1)&lt;Taches!$E$2:$E$60)*($A70-Taches!$H$2:$H$60+1)/Taches!$E$2:$E$60)*Taches!$G$2:$G$60),0)</f>
        <v>0</v>
      </c>
      <c r="I70" s="0" t="n">
        <f aca="false">ROUND(SUMPRODUCT((Taches!$B$2:$B$60="LOT-08")*($A70&gt;=Taches!$H$2:$H$60)*((($A70-Taches!$H$2:$H$60+1)&gt;=Taches!$E$2:$E$60)+(($A70-Taches!$H$2:$H$60+1)&lt;Taches!$E$2:$E$60)*($A70-Taches!$H$2:$H$60+1)/Taches!$E$2:$E$60)*Taches!$G$2:$G$60),0)</f>
        <v>0</v>
      </c>
      <c r="J70" s="0" t="n">
        <f aca="false">SUM(B70:I70)</f>
        <v>135611425</v>
      </c>
    </row>
    <row r="71" customFormat="false" ht="15" hidden="false" customHeight="false" outlineLevel="0" collapsed="false">
      <c r="A71" s="0" t="n">
        <v>69</v>
      </c>
      <c r="B71" s="0" t="n">
        <f aca="false">ROUND(SUMPRODUCT((Taches!$B$2:$B$60="LOT-01")*($A71&gt;=Taches!$H$2:$H$60)*((($A71-Taches!$H$2:$H$60+1)&gt;=Taches!$E$2:$E$60)+(($A71-Taches!$H$2:$H$60+1)&lt;Taches!$E$2:$E$60)*($A71-Taches!$H$2:$H$60+1)/Taches!$E$2:$E$60)*Taches!$G$2:$G$60),0)</f>
        <v>55890000</v>
      </c>
      <c r="C71" s="0" t="n">
        <f aca="false">ROUND(SUMPRODUCT((Taches!$B$2:$B$60="LOT-02")*($A71&gt;=Taches!$H$2:$H$60)*((($A71-Taches!$H$2:$H$60+1)&gt;=Taches!$E$2:$E$60)+(($A71-Taches!$H$2:$H$60+1)&lt;Taches!$E$2:$E$60)*($A71-Taches!$H$2:$H$60+1)/Taches!$E$2:$E$60)*Taches!$G$2:$G$60),0)</f>
        <v>44483400</v>
      </c>
      <c r="D71" s="0" t="n">
        <f aca="false">ROUND(SUMPRODUCT((Taches!$B$2:$B$60="LOT-03")*($A71&gt;=Taches!$H$2:$H$60)*((($A71-Taches!$H$2:$H$60+1)&gt;=Taches!$E$2:$E$60)+(($A71-Taches!$H$2:$H$60+1)&lt;Taches!$E$2:$E$60)*($A71-Taches!$H$2:$H$60+1)/Taches!$E$2:$E$60)*Taches!$G$2:$G$60),0)</f>
        <v>38623950</v>
      </c>
      <c r="E71" s="0" t="n">
        <f aca="false">ROUND(SUMPRODUCT((Taches!$B$2:$B$60="LOT-04")*($A71&gt;=Taches!$H$2:$H$60)*((($A71-Taches!$H$2:$H$60+1)&gt;=Taches!$E$2:$E$60)+(($A71-Taches!$H$2:$H$60+1)&lt;Taches!$E$2:$E$60)*($A71-Taches!$H$2:$H$60+1)/Taches!$E$2:$E$60)*Taches!$G$2:$G$60),0)</f>
        <v>0</v>
      </c>
      <c r="F71" s="0" t="n">
        <f aca="false">ROUND(SUMPRODUCT((Taches!$B$2:$B$60="LOT-05")*($A71&gt;=Taches!$H$2:$H$60)*((($A71-Taches!$H$2:$H$60+1)&gt;=Taches!$E$2:$E$60)+(($A71-Taches!$H$2:$H$60+1)&lt;Taches!$E$2:$E$60)*($A71-Taches!$H$2:$H$60+1)/Taches!$E$2:$E$60)*Taches!$G$2:$G$60),0)</f>
        <v>0</v>
      </c>
      <c r="G71" s="0" t="n">
        <f aca="false">ROUND(SUMPRODUCT((Taches!$B$2:$B$60="LOT-06")*($A71&gt;=Taches!$H$2:$H$60)*((($A71-Taches!$H$2:$H$60+1)&gt;=Taches!$E$2:$E$60)+(($A71-Taches!$H$2:$H$60+1)&lt;Taches!$E$2:$E$60)*($A71-Taches!$H$2:$H$60+1)/Taches!$E$2:$E$60)*Taches!$G$2:$G$60),0)</f>
        <v>0</v>
      </c>
      <c r="H71" s="0" t="n">
        <f aca="false">ROUND(SUMPRODUCT((Taches!$B$2:$B$60="LOT-07")*($A71&gt;=Taches!$H$2:$H$60)*((($A71-Taches!$H$2:$H$60+1)&gt;=Taches!$E$2:$E$60)+(($A71-Taches!$H$2:$H$60+1)&lt;Taches!$E$2:$E$60)*($A71-Taches!$H$2:$H$60+1)/Taches!$E$2:$E$60)*Taches!$G$2:$G$60),0)</f>
        <v>0</v>
      </c>
      <c r="I71" s="0" t="n">
        <f aca="false">ROUND(SUMPRODUCT((Taches!$B$2:$B$60="LOT-08")*($A71&gt;=Taches!$H$2:$H$60)*((($A71-Taches!$H$2:$H$60+1)&gt;=Taches!$E$2:$E$60)+(($A71-Taches!$H$2:$H$60+1)&lt;Taches!$E$2:$E$60)*($A71-Taches!$H$2:$H$60+1)/Taches!$E$2:$E$60)*Taches!$G$2:$G$60),0)</f>
        <v>0</v>
      </c>
      <c r="J71" s="0" t="n">
        <f aca="false">SUM(B71:I71)</f>
        <v>138997350</v>
      </c>
    </row>
    <row r="72" customFormat="false" ht="15" hidden="false" customHeight="false" outlineLevel="0" collapsed="false">
      <c r="A72" s="0" t="n">
        <v>70</v>
      </c>
      <c r="B72" s="0" t="n">
        <f aca="false">ROUND(SUMPRODUCT((Taches!$B$2:$B$60="LOT-01")*($A72&gt;=Taches!$H$2:$H$60)*((($A72-Taches!$H$2:$H$60+1)&gt;=Taches!$E$2:$E$60)+(($A72-Taches!$H$2:$H$60+1)&lt;Taches!$E$2:$E$60)*($A72-Taches!$H$2:$H$60+1)/Taches!$E$2:$E$60)*Taches!$G$2:$G$60),0)</f>
        <v>55890000</v>
      </c>
      <c r="C72" s="0" t="n">
        <f aca="false">ROUND(SUMPRODUCT((Taches!$B$2:$B$60="LOT-02")*($A72&gt;=Taches!$H$2:$H$60)*((($A72-Taches!$H$2:$H$60+1)&gt;=Taches!$E$2:$E$60)+(($A72-Taches!$H$2:$H$60+1)&lt;Taches!$E$2:$E$60)*($A72-Taches!$H$2:$H$60+1)/Taches!$E$2:$E$60)*Taches!$G$2:$G$60),0)</f>
        <v>44483400</v>
      </c>
      <c r="D72" s="0" t="n">
        <f aca="false">ROUND(SUMPRODUCT((Taches!$B$2:$B$60="LOT-03")*($A72&gt;=Taches!$H$2:$H$60)*((($A72-Taches!$H$2:$H$60+1)&gt;=Taches!$E$2:$E$60)+(($A72-Taches!$H$2:$H$60+1)&lt;Taches!$E$2:$E$60)*($A72-Taches!$H$2:$H$60+1)/Taches!$E$2:$E$60)*Taches!$G$2:$G$60),0)</f>
        <v>42009875</v>
      </c>
      <c r="E72" s="0" t="n">
        <f aca="false">ROUND(SUMPRODUCT((Taches!$B$2:$B$60="LOT-04")*($A72&gt;=Taches!$H$2:$H$60)*((($A72-Taches!$H$2:$H$60+1)&gt;=Taches!$E$2:$E$60)+(($A72-Taches!$H$2:$H$60+1)&lt;Taches!$E$2:$E$60)*($A72-Taches!$H$2:$H$60+1)/Taches!$E$2:$E$60)*Taches!$G$2:$G$60),0)</f>
        <v>0</v>
      </c>
      <c r="F72" s="0" t="n">
        <f aca="false">ROUND(SUMPRODUCT((Taches!$B$2:$B$60="LOT-05")*($A72&gt;=Taches!$H$2:$H$60)*((($A72-Taches!$H$2:$H$60+1)&gt;=Taches!$E$2:$E$60)+(($A72-Taches!$H$2:$H$60+1)&lt;Taches!$E$2:$E$60)*($A72-Taches!$H$2:$H$60+1)/Taches!$E$2:$E$60)*Taches!$G$2:$G$60),0)</f>
        <v>0</v>
      </c>
      <c r="G72" s="0" t="n">
        <f aca="false">ROUND(SUMPRODUCT((Taches!$B$2:$B$60="LOT-06")*($A72&gt;=Taches!$H$2:$H$60)*((($A72-Taches!$H$2:$H$60+1)&gt;=Taches!$E$2:$E$60)+(($A72-Taches!$H$2:$H$60+1)&lt;Taches!$E$2:$E$60)*($A72-Taches!$H$2:$H$60+1)/Taches!$E$2:$E$60)*Taches!$G$2:$G$60),0)</f>
        <v>0</v>
      </c>
      <c r="H72" s="0" t="n">
        <f aca="false">ROUND(SUMPRODUCT((Taches!$B$2:$B$60="LOT-07")*($A72&gt;=Taches!$H$2:$H$60)*((($A72-Taches!$H$2:$H$60+1)&gt;=Taches!$E$2:$E$60)+(($A72-Taches!$H$2:$H$60+1)&lt;Taches!$E$2:$E$60)*($A72-Taches!$H$2:$H$60+1)/Taches!$E$2:$E$60)*Taches!$G$2:$G$60),0)</f>
        <v>0</v>
      </c>
      <c r="I72" s="0" t="n">
        <f aca="false">ROUND(SUMPRODUCT((Taches!$B$2:$B$60="LOT-08")*($A72&gt;=Taches!$H$2:$H$60)*((($A72-Taches!$H$2:$H$60+1)&gt;=Taches!$E$2:$E$60)+(($A72-Taches!$H$2:$H$60+1)&lt;Taches!$E$2:$E$60)*($A72-Taches!$H$2:$H$60+1)/Taches!$E$2:$E$60)*Taches!$G$2:$G$60),0)</f>
        <v>0</v>
      </c>
      <c r="J72" s="0" t="n">
        <f aca="false">SUM(B72:I72)</f>
        <v>142383275</v>
      </c>
    </row>
    <row r="73" customFormat="false" ht="15" hidden="false" customHeight="false" outlineLevel="0" collapsed="false">
      <c r="A73" s="0" t="n">
        <v>71</v>
      </c>
      <c r="B73" s="0" t="n">
        <f aca="false">ROUND(SUMPRODUCT((Taches!$B$2:$B$60="LOT-01")*($A73&gt;=Taches!$H$2:$H$60)*((($A73-Taches!$H$2:$H$60+1)&gt;=Taches!$E$2:$E$60)+(($A73-Taches!$H$2:$H$60+1)&lt;Taches!$E$2:$E$60)*($A73-Taches!$H$2:$H$60+1)/Taches!$E$2:$E$60)*Taches!$G$2:$G$60),0)</f>
        <v>55890000</v>
      </c>
      <c r="C73" s="0" t="n">
        <f aca="false">ROUND(SUMPRODUCT((Taches!$B$2:$B$60="LOT-02")*($A73&gt;=Taches!$H$2:$H$60)*((($A73-Taches!$H$2:$H$60+1)&gt;=Taches!$E$2:$E$60)+(($A73-Taches!$H$2:$H$60+1)&lt;Taches!$E$2:$E$60)*($A73-Taches!$H$2:$H$60+1)/Taches!$E$2:$E$60)*Taches!$G$2:$G$60),0)</f>
        <v>44483400</v>
      </c>
      <c r="D73" s="0" t="n">
        <f aca="false">ROUND(SUMPRODUCT((Taches!$B$2:$B$60="LOT-03")*($A73&gt;=Taches!$H$2:$H$60)*((($A73-Taches!$H$2:$H$60+1)&gt;=Taches!$E$2:$E$60)+(($A73-Taches!$H$2:$H$60+1)&lt;Taches!$E$2:$E$60)*($A73-Taches!$H$2:$H$60+1)/Taches!$E$2:$E$60)*Taches!$G$2:$G$60),0)</f>
        <v>45395800</v>
      </c>
      <c r="E73" s="0" t="n">
        <f aca="false">ROUND(SUMPRODUCT((Taches!$B$2:$B$60="LOT-04")*($A73&gt;=Taches!$H$2:$H$60)*((($A73-Taches!$H$2:$H$60+1)&gt;=Taches!$E$2:$E$60)+(($A73-Taches!$H$2:$H$60+1)&lt;Taches!$E$2:$E$60)*($A73-Taches!$H$2:$H$60+1)/Taches!$E$2:$E$60)*Taches!$G$2:$G$60),0)</f>
        <v>0</v>
      </c>
      <c r="F73" s="0" t="n">
        <f aca="false">ROUND(SUMPRODUCT((Taches!$B$2:$B$60="LOT-05")*($A73&gt;=Taches!$H$2:$H$60)*((($A73-Taches!$H$2:$H$60+1)&gt;=Taches!$E$2:$E$60)+(($A73-Taches!$H$2:$H$60+1)&lt;Taches!$E$2:$E$60)*($A73-Taches!$H$2:$H$60+1)/Taches!$E$2:$E$60)*Taches!$G$2:$G$60),0)</f>
        <v>0</v>
      </c>
      <c r="G73" s="0" t="n">
        <f aca="false">ROUND(SUMPRODUCT((Taches!$B$2:$B$60="LOT-06")*($A73&gt;=Taches!$H$2:$H$60)*((($A73-Taches!$H$2:$H$60+1)&gt;=Taches!$E$2:$E$60)+(($A73-Taches!$H$2:$H$60+1)&lt;Taches!$E$2:$E$60)*($A73-Taches!$H$2:$H$60+1)/Taches!$E$2:$E$60)*Taches!$G$2:$G$60),0)</f>
        <v>0</v>
      </c>
      <c r="H73" s="0" t="n">
        <f aca="false">ROUND(SUMPRODUCT((Taches!$B$2:$B$60="LOT-07")*($A73&gt;=Taches!$H$2:$H$60)*((($A73-Taches!$H$2:$H$60+1)&gt;=Taches!$E$2:$E$60)+(($A73-Taches!$H$2:$H$60+1)&lt;Taches!$E$2:$E$60)*($A73-Taches!$H$2:$H$60+1)/Taches!$E$2:$E$60)*Taches!$G$2:$G$60),0)</f>
        <v>0</v>
      </c>
      <c r="I73" s="0" t="n">
        <f aca="false">ROUND(SUMPRODUCT((Taches!$B$2:$B$60="LOT-08")*($A73&gt;=Taches!$H$2:$H$60)*((($A73-Taches!$H$2:$H$60+1)&gt;=Taches!$E$2:$E$60)+(($A73-Taches!$H$2:$H$60+1)&lt;Taches!$E$2:$E$60)*($A73-Taches!$H$2:$H$60+1)/Taches!$E$2:$E$60)*Taches!$G$2:$G$60),0)</f>
        <v>0</v>
      </c>
      <c r="J73" s="0" t="n">
        <f aca="false">SUM(B73:I73)</f>
        <v>145769200</v>
      </c>
    </row>
    <row r="74" customFormat="false" ht="15" hidden="false" customHeight="false" outlineLevel="0" collapsed="false">
      <c r="A74" s="0" t="n">
        <v>72</v>
      </c>
      <c r="B74" s="0" t="n">
        <f aca="false">ROUND(SUMPRODUCT((Taches!$B$2:$B$60="LOT-01")*($A74&gt;=Taches!$H$2:$H$60)*((($A74-Taches!$H$2:$H$60+1)&gt;=Taches!$E$2:$E$60)+(($A74-Taches!$H$2:$H$60+1)&lt;Taches!$E$2:$E$60)*($A74-Taches!$H$2:$H$60+1)/Taches!$E$2:$E$60)*Taches!$G$2:$G$60),0)</f>
        <v>55890000</v>
      </c>
      <c r="C74" s="0" t="n">
        <f aca="false">ROUND(SUMPRODUCT((Taches!$B$2:$B$60="LOT-02")*($A74&gt;=Taches!$H$2:$H$60)*((($A74-Taches!$H$2:$H$60+1)&gt;=Taches!$E$2:$E$60)+(($A74-Taches!$H$2:$H$60+1)&lt;Taches!$E$2:$E$60)*($A74-Taches!$H$2:$H$60+1)/Taches!$E$2:$E$60)*Taches!$G$2:$G$60),0)</f>
        <v>44483400</v>
      </c>
      <c r="D74" s="0" t="n">
        <f aca="false">ROUND(SUMPRODUCT((Taches!$B$2:$B$60="LOT-03")*($A74&gt;=Taches!$H$2:$H$60)*((($A74-Taches!$H$2:$H$60+1)&gt;=Taches!$E$2:$E$60)+(($A74-Taches!$H$2:$H$60+1)&lt;Taches!$E$2:$E$60)*($A74-Taches!$H$2:$H$60+1)/Taches!$E$2:$E$60)*Taches!$G$2:$G$60),0)</f>
        <v>48781725</v>
      </c>
      <c r="E74" s="0" t="n">
        <f aca="false">ROUND(SUMPRODUCT((Taches!$B$2:$B$60="LOT-04")*($A74&gt;=Taches!$H$2:$H$60)*((($A74-Taches!$H$2:$H$60+1)&gt;=Taches!$E$2:$E$60)+(($A74-Taches!$H$2:$H$60+1)&lt;Taches!$E$2:$E$60)*($A74-Taches!$H$2:$H$60+1)/Taches!$E$2:$E$60)*Taches!$G$2:$G$60),0)</f>
        <v>0</v>
      </c>
      <c r="F74" s="0" t="n">
        <f aca="false">ROUND(SUMPRODUCT((Taches!$B$2:$B$60="LOT-05")*($A74&gt;=Taches!$H$2:$H$60)*((($A74-Taches!$H$2:$H$60+1)&gt;=Taches!$E$2:$E$60)+(($A74-Taches!$H$2:$H$60+1)&lt;Taches!$E$2:$E$60)*($A74-Taches!$H$2:$H$60+1)/Taches!$E$2:$E$60)*Taches!$G$2:$G$60),0)</f>
        <v>0</v>
      </c>
      <c r="G74" s="0" t="n">
        <f aca="false">ROUND(SUMPRODUCT((Taches!$B$2:$B$60="LOT-06")*($A74&gt;=Taches!$H$2:$H$60)*((($A74-Taches!$H$2:$H$60+1)&gt;=Taches!$E$2:$E$60)+(($A74-Taches!$H$2:$H$60+1)&lt;Taches!$E$2:$E$60)*($A74-Taches!$H$2:$H$60+1)/Taches!$E$2:$E$60)*Taches!$G$2:$G$60),0)</f>
        <v>0</v>
      </c>
      <c r="H74" s="0" t="n">
        <f aca="false">ROUND(SUMPRODUCT((Taches!$B$2:$B$60="LOT-07")*($A74&gt;=Taches!$H$2:$H$60)*((($A74-Taches!$H$2:$H$60+1)&gt;=Taches!$E$2:$E$60)+(($A74-Taches!$H$2:$H$60+1)&lt;Taches!$E$2:$E$60)*($A74-Taches!$H$2:$H$60+1)/Taches!$E$2:$E$60)*Taches!$G$2:$G$60),0)</f>
        <v>0</v>
      </c>
      <c r="I74" s="0" t="n">
        <f aca="false">ROUND(SUMPRODUCT((Taches!$B$2:$B$60="LOT-08")*($A74&gt;=Taches!$H$2:$H$60)*((($A74-Taches!$H$2:$H$60+1)&gt;=Taches!$E$2:$E$60)+(($A74-Taches!$H$2:$H$60+1)&lt;Taches!$E$2:$E$60)*($A74-Taches!$H$2:$H$60+1)/Taches!$E$2:$E$60)*Taches!$G$2:$G$60),0)</f>
        <v>0</v>
      </c>
      <c r="J74" s="0" t="n">
        <f aca="false">SUM(B74:I74)</f>
        <v>149155125</v>
      </c>
    </row>
    <row r="75" customFormat="false" ht="15" hidden="false" customHeight="false" outlineLevel="0" collapsed="false">
      <c r="A75" s="0" t="n">
        <v>73</v>
      </c>
      <c r="B75" s="0" t="n">
        <f aca="false">ROUND(SUMPRODUCT((Taches!$B$2:$B$60="LOT-01")*($A75&gt;=Taches!$H$2:$H$60)*((($A75-Taches!$H$2:$H$60+1)&gt;=Taches!$E$2:$E$60)+(($A75-Taches!$H$2:$H$60+1)&lt;Taches!$E$2:$E$60)*($A75-Taches!$H$2:$H$60+1)/Taches!$E$2:$E$60)*Taches!$G$2:$G$60),0)</f>
        <v>55890000</v>
      </c>
      <c r="C75" s="0" t="n">
        <f aca="false">ROUND(SUMPRODUCT((Taches!$B$2:$B$60="LOT-02")*($A75&gt;=Taches!$H$2:$H$60)*((($A75-Taches!$H$2:$H$60+1)&gt;=Taches!$E$2:$E$60)+(($A75-Taches!$H$2:$H$60+1)&lt;Taches!$E$2:$E$60)*($A75-Taches!$H$2:$H$60+1)/Taches!$E$2:$E$60)*Taches!$G$2:$G$60),0)</f>
        <v>44483400</v>
      </c>
      <c r="D75" s="0" t="n">
        <f aca="false">ROUND(SUMPRODUCT((Taches!$B$2:$B$60="LOT-03")*($A75&gt;=Taches!$H$2:$H$60)*((($A75-Taches!$H$2:$H$60+1)&gt;=Taches!$E$2:$E$60)+(($A75-Taches!$H$2:$H$60+1)&lt;Taches!$E$2:$E$60)*($A75-Taches!$H$2:$H$60+1)/Taches!$E$2:$E$60)*Taches!$G$2:$G$60),0)</f>
        <v>52167650</v>
      </c>
      <c r="E75" s="0" t="n">
        <f aca="false">ROUND(SUMPRODUCT((Taches!$B$2:$B$60="LOT-04")*($A75&gt;=Taches!$H$2:$H$60)*((($A75-Taches!$H$2:$H$60+1)&gt;=Taches!$E$2:$E$60)+(($A75-Taches!$H$2:$H$60+1)&lt;Taches!$E$2:$E$60)*($A75-Taches!$H$2:$H$60+1)/Taches!$E$2:$E$60)*Taches!$G$2:$G$60),0)</f>
        <v>0</v>
      </c>
      <c r="F75" s="0" t="n">
        <f aca="false">ROUND(SUMPRODUCT((Taches!$B$2:$B$60="LOT-05")*($A75&gt;=Taches!$H$2:$H$60)*((($A75-Taches!$H$2:$H$60+1)&gt;=Taches!$E$2:$E$60)+(($A75-Taches!$H$2:$H$60+1)&lt;Taches!$E$2:$E$60)*($A75-Taches!$H$2:$H$60+1)/Taches!$E$2:$E$60)*Taches!$G$2:$G$60),0)</f>
        <v>0</v>
      </c>
      <c r="G75" s="0" t="n">
        <f aca="false">ROUND(SUMPRODUCT((Taches!$B$2:$B$60="LOT-06")*($A75&gt;=Taches!$H$2:$H$60)*((($A75-Taches!$H$2:$H$60+1)&gt;=Taches!$E$2:$E$60)+(($A75-Taches!$H$2:$H$60+1)&lt;Taches!$E$2:$E$60)*($A75-Taches!$H$2:$H$60+1)/Taches!$E$2:$E$60)*Taches!$G$2:$G$60),0)</f>
        <v>0</v>
      </c>
      <c r="H75" s="0" t="n">
        <f aca="false">ROUND(SUMPRODUCT((Taches!$B$2:$B$60="LOT-07")*($A75&gt;=Taches!$H$2:$H$60)*((($A75-Taches!$H$2:$H$60+1)&gt;=Taches!$E$2:$E$60)+(($A75-Taches!$H$2:$H$60+1)&lt;Taches!$E$2:$E$60)*($A75-Taches!$H$2:$H$60+1)/Taches!$E$2:$E$60)*Taches!$G$2:$G$60),0)</f>
        <v>0</v>
      </c>
      <c r="I75" s="0" t="n">
        <f aca="false">ROUND(SUMPRODUCT((Taches!$B$2:$B$60="LOT-08")*($A75&gt;=Taches!$H$2:$H$60)*((($A75-Taches!$H$2:$H$60+1)&gt;=Taches!$E$2:$E$60)+(($A75-Taches!$H$2:$H$60+1)&lt;Taches!$E$2:$E$60)*($A75-Taches!$H$2:$H$60+1)/Taches!$E$2:$E$60)*Taches!$G$2:$G$60),0)</f>
        <v>0</v>
      </c>
      <c r="J75" s="0" t="n">
        <f aca="false">SUM(B75:I75)</f>
        <v>152541050</v>
      </c>
    </row>
    <row r="76" customFormat="false" ht="15" hidden="false" customHeight="false" outlineLevel="0" collapsed="false">
      <c r="A76" s="0" t="n">
        <v>74</v>
      </c>
      <c r="B76" s="0" t="n">
        <f aca="false">ROUND(SUMPRODUCT((Taches!$B$2:$B$60="LOT-01")*($A76&gt;=Taches!$H$2:$H$60)*((($A76-Taches!$H$2:$H$60+1)&gt;=Taches!$E$2:$E$60)+(($A76-Taches!$H$2:$H$60+1)&lt;Taches!$E$2:$E$60)*($A76-Taches!$H$2:$H$60+1)/Taches!$E$2:$E$60)*Taches!$G$2:$G$60),0)</f>
        <v>55890000</v>
      </c>
      <c r="C76" s="0" t="n">
        <f aca="false">ROUND(SUMPRODUCT((Taches!$B$2:$B$60="LOT-02")*($A76&gt;=Taches!$H$2:$H$60)*((($A76-Taches!$H$2:$H$60+1)&gt;=Taches!$E$2:$E$60)+(($A76-Taches!$H$2:$H$60+1)&lt;Taches!$E$2:$E$60)*($A76-Taches!$H$2:$H$60+1)/Taches!$E$2:$E$60)*Taches!$G$2:$G$60),0)</f>
        <v>44483400</v>
      </c>
      <c r="D76" s="0" t="n">
        <f aca="false">ROUND(SUMPRODUCT((Taches!$B$2:$B$60="LOT-03")*($A76&gt;=Taches!$H$2:$H$60)*((($A76-Taches!$H$2:$H$60+1)&gt;=Taches!$E$2:$E$60)+(($A76-Taches!$H$2:$H$60+1)&lt;Taches!$E$2:$E$60)*($A76-Taches!$H$2:$H$60+1)/Taches!$E$2:$E$60)*Taches!$G$2:$G$60),0)</f>
        <v>55553575</v>
      </c>
      <c r="E76" s="0" t="n">
        <f aca="false">ROUND(SUMPRODUCT((Taches!$B$2:$B$60="LOT-04")*($A76&gt;=Taches!$H$2:$H$60)*((($A76-Taches!$H$2:$H$60+1)&gt;=Taches!$E$2:$E$60)+(($A76-Taches!$H$2:$H$60+1)&lt;Taches!$E$2:$E$60)*($A76-Taches!$H$2:$H$60+1)/Taches!$E$2:$E$60)*Taches!$G$2:$G$60),0)</f>
        <v>0</v>
      </c>
      <c r="F76" s="0" t="n">
        <f aca="false">ROUND(SUMPRODUCT((Taches!$B$2:$B$60="LOT-05")*($A76&gt;=Taches!$H$2:$H$60)*((($A76-Taches!$H$2:$H$60+1)&gt;=Taches!$E$2:$E$60)+(($A76-Taches!$H$2:$H$60+1)&lt;Taches!$E$2:$E$60)*($A76-Taches!$H$2:$H$60+1)/Taches!$E$2:$E$60)*Taches!$G$2:$G$60),0)</f>
        <v>0</v>
      </c>
      <c r="G76" s="0" t="n">
        <f aca="false">ROUND(SUMPRODUCT((Taches!$B$2:$B$60="LOT-06")*($A76&gt;=Taches!$H$2:$H$60)*((($A76-Taches!$H$2:$H$60+1)&gt;=Taches!$E$2:$E$60)+(($A76-Taches!$H$2:$H$60+1)&lt;Taches!$E$2:$E$60)*($A76-Taches!$H$2:$H$60+1)/Taches!$E$2:$E$60)*Taches!$G$2:$G$60),0)</f>
        <v>0</v>
      </c>
      <c r="H76" s="0" t="n">
        <f aca="false">ROUND(SUMPRODUCT((Taches!$B$2:$B$60="LOT-07")*($A76&gt;=Taches!$H$2:$H$60)*((($A76-Taches!$H$2:$H$60+1)&gt;=Taches!$E$2:$E$60)+(($A76-Taches!$H$2:$H$60+1)&lt;Taches!$E$2:$E$60)*($A76-Taches!$H$2:$H$60+1)/Taches!$E$2:$E$60)*Taches!$G$2:$G$60),0)</f>
        <v>0</v>
      </c>
      <c r="I76" s="0" t="n">
        <f aca="false">ROUND(SUMPRODUCT((Taches!$B$2:$B$60="LOT-08")*($A76&gt;=Taches!$H$2:$H$60)*((($A76-Taches!$H$2:$H$60+1)&gt;=Taches!$E$2:$E$60)+(($A76-Taches!$H$2:$H$60+1)&lt;Taches!$E$2:$E$60)*($A76-Taches!$H$2:$H$60+1)/Taches!$E$2:$E$60)*Taches!$G$2:$G$60),0)</f>
        <v>0</v>
      </c>
      <c r="J76" s="0" t="n">
        <f aca="false">SUM(B76:I76)</f>
        <v>155926975</v>
      </c>
    </row>
    <row r="77" customFormat="false" ht="15" hidden="false" customHeight="false" outlineLevel="0" collapsed="false">
      <c r="A77" s="0" t="n">
        <v>75</v>
      </c>
      <c r="B77" s="0" t="n">
        <f aca="false">ROUND(SUMPRODUCT((Taches!$B$2:$B$60="LOT-01")*($A77&gt;=Taches!$H$2:$H$60)*((($A77-Taches!$H$2:$H$60+1)&gt;=Taches!$E$2:$E$60)+(($A77-Taches!$H$2:$H$60+1)&lt;Taches!$E$2:$E$60)*($A77-Taches!$H$2:$H$60+1)/Taches!$E$2:$E$60)*Taches!$G$2:$G$60),0)</f>
        <v>55890000</v>
      </c>
      <c r="C77" s="0" t="n">
        <f aca="false">ROUND(SUMPRODUCT((Taches!$B$2:$B$60="LOT-02")*($A77&gt;=Taches!$H$2:$H$60)*((($A77-Taches!$H$2:$H$60+1)&gt;=Taches!$E$2:$E$60)+(($A77-Taches!$H$2:$H$60+1)&lt;Taches!$E$2:$E$60)*($A77-Taches!$H$2:$H$60+1)/Taches!$E$2:$E$60)*Taches!$G$2:$G$60),0)</f>
        <v>44483400</v>
      </c>
      <c r="D77" s="0" t="n">
        <f aca="false">ROUND(SUMPRODUCT((Taches!$B$2:$B$60="LOT-03")*($A77&gt;=Taches!$H$2:$H$60)*((($A77-Taches!$H$2:$H$60+1)&gt;=Taches!$E$2:$E$60)+(($A77-Taches!$H$2:$H$60+1)&lt;Taches!$E$2:$E$60)*($A77-Taches!$H$2:$H$60+1)/Taches!$E$2:$E$60)*Taches!$G$2:$G$60),0)</f>
        <v>58939500</v>
      </c>
      <c r="E77" s="0" t="n">
        <f aca="false">ROUND(SUMPRODUCT((Taches!$B$2:$B$60="LOT-04")*($A77&gt;=Taches!$H$2:$H$60)*((($A77-Taches!$H$2:$H$60+1)&gt;=Taches!$E$2:$E$60)+(($A77-Taches!$H$2:$H$60+1)&lt;Taches!$E$2:$E$60)*($A77-Taches!$H$2:$H$60+1)/Taches!$E$2:$E$60)*Taches!$G$2:$G$60),0)</f>
        <v>0</v>
      </c>
      <c r="F77" s="0" t="n">
        <f aca="false">ROUND(SUMPRODUCT((Taches!$B$2:$B$60="LOT-05")*($A77&gt;=Taches!$H$2:$H$60)*((($A77-Taches!$H$2:$H$60+1)&gt;=Taches!$E$2:$E$60)+(($A77-Taches!$H$2:$H$60+1)&lt;Taches!$E$2:$E$60)*($A77-Taches!$H$2:$H$60+1)/Taches!$E$2:$E$60)*Taches!$G$2:$G$60),0)</f>
        <v>0</v>
      </c>
      <c r="G77" s="0" t="n">
        <f aca="false">ROUND(SUMPRODUCT((Taches!$B$2:$B$60="LOT-06")*($A77&gt;=Taches!$H$2:$H$60)*((($A77-Taches!$H$2:$H$60+1)&gt;=Taches!$E$2:$E$60)+(($A77-Taches!$H$2:$H$60+1)&lt;Taches!$E$2:$E$60)*($A77-Taches!$H$2:$H$60+1)/Taches!$E$2:$E$60)*Taches!$G$2:$G$60),0)</f>
        <v>0</v>
      </c>
      <c r="H77" s="0" t="n">
        <f aca="false">ROUND(SUMPRODUCT((Taches!$B$2:$B$60="LOT-07")*($A77&gt;=Taches!$H$2:$H$60)*((($A77-Taches!$H$2:$H$60+1)&gt;=Taches!$E$2:$E$60)+(($A77-Taches!$H$2:$H$60+1)&lt;Taches!$E$2:$E$60)*($A77-Taches!$H$2:$H$60+1)/Taches!$E$2:$E$60)*Taches!$G$2:$G$60),0)</f>
        <v>0</v>
      </c>
      <c r="I77" s="0" t="n">
        <f aca="false">ROUND(SUMPRODUCT((Taches!$B$2:$B$60="LOT-08")*($A77&gt;=Taches!$H$2:$H$60)*((($A77-Taches!$H$2:$H$60+1)&gt;=Taches!$E$2:$E$60)+(($A77-Taches!$H$2:$H$60+1)&lt;Taches!$E$2:$E$60)*($A77-Taches!$H$2:$H$60+1)/Taches!$E$2:$E$60)*Taches!$G$2:$G$60),0)</f>
        <v>0</v>
      </c>
      <c r="J77" s="0" t="n">
        <f aca="false">SUM(B77:I77)</f>
        <v>159312900</v>
      </c>
    </row>
    <row r="78" customFormat="false" ht="15" hidden="false" customHeight="false" outlineLevel="0" collapsed="false">
      <c r="A78" s="0" t="n">
        <v>76</v>
      </c>
      <c r="B78" s="0" t="n">
        <f aca="false">ROUND(SUMPRODUCT((Taches!$B$2:$B$60="LOT-01")*($A78&gt;=Taches!$H$2:$H$60)*((($A78-Taches!$H$2:$H$60+1)&gt;=Taches!$E$2:$E$60)+(($A78-Taches!$H$2:$H$60+1)&lt;Taches!$E$2:$E$60)*($A78-Taches!$H$2:$H$60+1)/Taches!$E$2:$E$60)*Taches!$G$2:$G$60),0)</f>
        <v>55890000</v>
      </c>
      <c r="C78" s="0" t="n">
        <f aca="false">ROUND(SUMPRODUCT((Taches!$B$2:$B$60="LOT-02")*($A78&gt;=Taches!$H$2:$H$60)*((($A78-Taches!$H$2:$H$60+1)&gt;=Taches!$E$2:$E$60)+(($A78-Taches!$H$2:$H$60+1)&lt;Taches!$E$2:$E$60)*($A78-Taches!$H$2:$H$60+1)/Taches!$E$2:$E$60)*Taches!$G$2:$G$60),0)</f>
        <v>44483400</v>
      </c>
      <c r="D78" s="0" t="n">
        <f aca="false">ROUND(SUMPRODUCT((Taches!$B$2:$B$60="LOT-03")*($A78&gt;=Taches!$H$2:$H$60)*((($A78-Taches!$H$2:$H$60+1)&gt;=Taches!$E$2:$E$60)+(($A78-Taches!$H$2:$H$60+1)&lt;Taches!$E$2:$E$60)*($A78-Taches!$H$2:$H$60+1)/Taches!$E$2:$E$60)*Taches!$G$2:$G$60),0)</f>
        <v>60580625</v>
      </c>
      <c r="E78" s="0" t="n">
        <f aca="false">ROUND(SUMPRODUCT((Taches!$B$2:$B$60="LOT-04")*($A78&gt;=Taches!$H$2:$H$60)*((($A78-Taches!$H$2:$H$60+1)&gt;=Taches!$E$2:$E$60)+(($A78-Taches!$H$2:$H$60+1)&lt;Taches!$E$2:$E$60)*($A78-Taches!$H$2:$H$60+1)/Taches!$E$2:$E$60)*Taches!$G$2:$G$60),0)</f>
        <v>0</v>
      </c>
      <c r="F78" s="0" t="n">
        <f aca="false">ROUND(SUMPRODUCT((Taches!$B$2:$B$60="LOT-05")*($A78&gt;=Taches!$H$2:$H$60)*((($A78-Taches!$H$2:$H$60+1)&gt;=Taches!$E$2:$E$60)+(($A78-Taches!$H$2:$H$60+1)&lt;Taches!$E$2:$E$60)*($A78-Taches!$H$2:$H$60+1)/Taches!$E$2:$E$60)*Taches!$G$2:$G$60),0)</f>
        <v>0</v>
      </c>
      <c r="G78" s="0" t="n">
        <f aca="false">ROUND(SUMPRODUCT((Taches!$B$2:$B$60="LOT-06")*($A78&gt;=Taches!$H$2:$H$60)*((($A78-Taches!$H$2:$H$60+1)&gt;=Taches!$E$2:$E$60)+(($A78-Taches!$H$2:$H$60+1)&lt;Taches!$E$2:$E$60)*($A78-Taches!$H$2:$H$60+1)/Taches!$E$2:$E$60)*Taches!$G$2:$G$60),0)</f>
        <v>0</v>
      </c>
      <c r="H78" s="0" t="n">
        <f aca="false">ROUND(SUMPRODUCT((Taches!$B$2:$B$60="LOT-07")*($A78&gt;=Taches!$H$2:$H$60)*((($A78-Taches!$H$2:$H$60+1)&gt;=Taches!$E$2:$E$60)+(($A78-Taches!$H$2:$H$60+1)&lt;Taches!$E$2:$E$60)*($A78-Taches!$H$2:$H$60+1)/Taches!$E$2:$E$60)*Taches!$G$2:$G$60),0)</f>
        <v>0</v>
      </c>
      <c r="I78" s="0" t="n">
        <f aca="false">ROUND(SUMPRODUCT((Taches!$B$2:$B$60="LOT-08")*($A78&gt;=Taches!$H$2:$H$60)*((($A78-Taches!$H$2:$H$60+1)&gt;=Taches!$E$2:$E$60)+(($A78-Taches!$H$2:$H$60+1)&lt;Taches!$E$2:$E$60)*($A78-Taches!$H$2:$H$60+1)/Taches!$E$2:$E$60)*Taches!$G$2:$G$60),0)</f>
        <v>0</v>
      </c>
      <c r="J78" s="0" t="n">
        <f aca="false">SUM(B78:I78)</f>
        <v>160954025</v>
      </c>
    </row>
    <row r="79" customFormat="false" ht="15" hidden="false" customHeight="false" outlineLevel="0" collapsed="false">
      <c r="A79" s="0" t="n">
        <v>77</v>
      </c>
      <c r="B79" s="0" t="n">
        <f aca="false">ROUND(SUMPRODUCT((Taches!$B$2:$B$60="LOT-01")*($A79&gt;=Taches!$H$2:$H$60)*((($A79-Taches!$H$2:$H$60+1)&gt;=Taches!$E$2:$E$60)+(($A79-Taches!$H$2:$H$60+1)&lt;Taches!$E$2:$E$60)*($A79-Taches!$H$2:$H$60+1)/Taches!$E$2:$E$60)*Taches!$G$2:$G$60),0)</f>
        <v>55890000</v>
      </c>
      <c r="C79" s="0" t="n">
        <f aca="false">ROUND(SUMPRODUCT((Taches!$B$2:$B$60="LOT-02")*($A79&gt;=Taches!$H$2:$H$60)*((($A79-Taches!$H$2:$H$60+1)&gt;=Taches!$E$2:$E$60)+(($A79-Taches!$H$2:$H$60+1)&lt;Taches!$E$2:$E$60)*($A79-Taches!$H$2:$H$60+1)/Taches!$E$2:$E$60)*Taches!$G$2:$G$60),0)</f>
        <v>44483400</v>
      </c>
      <c r="D79" s="0" t="n">
        <f aca="false">ROUND(SUMPRODUCT((Taches!$B$2:$B$60="LOT-03")*($A79&gt;=Taches!$H$2:$H$60)*((($A79-Taches!$H$2:$H$60+1)&gt;=Taches!$E$2:$E$60)+(($A79-Taches!$H$2:$H$60+1)&lt;Taches!$E$2:$E$60)*($A79-Taches!$H$2:$H$60+1)/Taches!$E$2:$E$60)*Taches!$G$2:$G$60),0)</f>
        <v>62221750</v>
      </c>
      <c r="E79" s="0" t="n">
        <f aca="false">ROUND(SUMPRODUCT((Taches!$B$2:$B$60="LOT-04")*($A79&gt;=Taches!$H$2:$H$60)*((($A79-Taches!$H$2:$H$60+1)&gt;=Taches!$E$2:$E$60)+(($A79-Taches!$H$2:$H$60+1)&lt;Taches!$E$2:$E$60)*($A79-Taches!$H$2:$H$60+1)/Taches!$E$2:$E$60)*Taches!$G$2:$G$60),0)</f>
        <v>0</v>
      </c>
      <c r="F79" s="0" t="n">
        <f aca="false">ROUND(SUMPRODUCT((Taches!$B$2:$B$60="LOT-05")*($A79&gt;=Taches!$H$2:$H$60)*((($A79-Taches!$H$2:$H$60+1)&gt;=Taches!$E$2:$E$60)+(($A79-Taches!$H$2:$H$60+1)&lt;Taches!$E$2:$E$60)*($A79-Taches!$H$2:$H$60+1)/Taches!$E$2:$E$60)*Taches!$G$2:$G$60),0)</f>
        <v>0</v>
      </c>
      <c r="G79" s="0" t="n">
        <f aca="false">ROUND(SUMPRODUCT((Taches!$B$2:$B$60="LOT-06")*($A79&gt;=Taches!$H$2:$H$60)*((($A79-Taches!$H$2:$H$60+1)&gt;=Taches!$E$2:$E$60)+(($A79-Taches!$H$2:$H$60+1)&lt;Taches!$E$2:$E$60)*($A79-Taches!$H$2:$H$60+1)/Taches!$E$2:$E$60)*Taches!$G$2:$G$60),0)</f>
        <v>0</v>
      </c>
      <c r="H79" s="0" t="n">
        <f aca="false">ROUND(SUMPRODUCT((Taches!$B$2:$B$60="LOT-07")*($A79&gt;=Taches!$H$2:$H$60)*((($A79-Taches!$H$2:$H$60+1)&gt;=Taches!$E$2:$E$60)+(($A79-Taches!$H$2:$H$60+1)&lt;Taches!$E$2:$E$60)*($A79-Taches!$H$2:$H$60+1)/Taches!$E$2:$E$60)*Taches!$G$2:$G$60),0)</f>
        <v>0</v>
      </c>
      <c r="I79" s="0" t="n">
        <f aca="false">ROUND(SUMPRODUCT((Taches!$B$2:$B$60="LOT-08")*($A79&gt;=Taches!$H$2:$H$60)*((($A79-Taches!$H$2:$H$60+1)&gt;=Taches!$E$2:$E$60)+(($A79-Taches!$H$2:$H$60+1)&lt;Taches!$E$2:$E$60)*($A79-Taches!$H$2:$H$60+1)/Taches!$E$2:$E$60)*Taches!$G$2:$G$60),0)</f>
        <v>0</v>
      </c>
      <c r="J79" s="0" t="n">
        <f aca="false">SUM(B79:I79)</f>
        <v>162595150</v>
      </c>
    </row>
    <row r="80" customFormat="false" ht="15" hidden="false" customHeight="false" outlineLevel="0" collapsed="false">
      <c r="A80" s="0" t="n">
        <v>78</v>
      </c>
      <c r="B80" s="0" t="n">
        <f aca="false">ROUND(SUMPRODUCT((Taches!$B$2:$B$60="LOT-01")*($A80&gt;=Taches!$H$2:$H$60)*((($A80-Taches!$H$2:$H$60+1)&gt;=Taches!$E$2:$E$60)+(($A80-Taches!$H$2:$H$60+1)&lt;Taches!$E$2:$E$60)*($A80-Taches!$H$2:$H$60+1)/Taches!$E$2:$E$60)*Taches!$G$2:$G$60),0)</f>
        <v>55890000</v>
      </c>
      <c r="C80" s="0" t="n">
        <f aca="false">ROUND(SUMPRODUCT((Taches!$B$2:$B$60="LOT-02")*($A80&gt;=Taches!$H$2:$H$60)*((($A80-Taches!$H$2:$H$60+1)&gt;=Taches!$E$2:$E$60)+(($A80-Taches!$H$2:$H$60+1)&lt;Taches!$E$2:$E$60)*($A80-Taches!$H$2:$H$60+1)/Taches!$E$2:$E$60)*Taches!$G$2:$G$60),0)</f>
        <v>44483400</v>
      </c>
      <c r="D80" s="0" t="n">
        <f aca="false">ROUND(SUMPRODUCT((Taches!$B$2:$B$60="LOT-03")*($A80&gt;=Taches!$H$2:$H$60)*((($A80-Taches!$H$2:$H$60+1)&gt;=Taches!$E$2:$E$60)+(($A80-Taches!$H$2:$H$60+1)&lt;Taches!$E$2:$E$60)*($A80-Taches!$H$2:$H$60+1)/Taches!$E$2:$E$60)*Taches!$G$2:$G$60),0)</f>
        <v>63862875</v>
      </c>
      <c r="E80" s="0" t="n">
        <f aca="false">ROUND(SUMPRODUCT((Taches!$B$2:$B$60="LOT-04")*($A80&gt;=Taches!$H$2:$H$60)*((($A80-Taches!$H$2:$H$60+1)&gt;=Taches!$E$2:$E$60)+(($A80-Taches!$H$2:$H$60+1)&lt;Taches!$E$2:$E$60)*($A80-Taches!$H$2:$H$60+1)/Taches!$E$2:$E$60)*Taches!$G$2:$G$60),0)</f>
        <v>0</v>
      </c>
      <c r="F80" s="0" t="n">
        <f aca="false">ROUND(SUMPRODUCT((Taches!$B$2:$B$60="LOT-05")*($A80&gt;=Taches!$H$2:$H$60)*((($A80-Taches!$H$2:$H$60+1)&gt;=Taches!$E$2:$E$60)+(($A80-Taches!$H$2:$H$60+1)&lt;Taches!$E$2:$E$60)*($A80-Taches!$H$2:$H$60+1)/Taches!$E$2:$E$60)*Taches!$G$2:$G$60),0)</f>
        <v>0</v>
      </c>
      <c r="G80" s="0" t="n">
        <f aca="false">ROUND(SUMPRODUCT((Taches!$B$2:$B$60="LOT-06")*($A80&gt;=Taches!$H$2:$H$60)*((($A80-Taches!$H$2:$H$60+1)&gt;=Taches!$E$2:$E$60)+(($A80-Taches!$H$2:$H$60+1)&lt;Taches!$E$2:$E$60)*($A80-Taches!$H$2:$H$60+1)/Taches!$E$2:$E$60)*Taches!$G$2:$G$60),0)</f>
        <v>0</v>
      </c>
      <c r="H80" s="0" t="n">
        <f aca="false">ROUND(SUMPRODUCT((Taches!$B$2:$B$60="LOT-07")*($A80&gt;=Taches!$H$2:$H$60)*((($A80-Taches!$H$2:$H$60+1)&gt;=Taches!$E$2:$E$60)+(($A80-Taches!$H$2:$H$60+1)&lt;Taches!$E$2:$E$60)*($A80-Taches!$H$2:$H$60+1)/Taches!$E$2:$E$60)*Taches!$G$2:$G$60),0)</f>
        <v>0</v>
      </c>
      <c r="I80" s="0" t="n">
        <f aca="false">ROUND(SUMPRODUCT((Taches!$B$2:$B$60="LOT-08")*($A80&gt;=Taches!$H$2:$H$60)*((($A80-Taches!$H$2:$H$60+1)&gt;=Taches!$E$2:$E$60)+(($A80-Taches!$H$2:$H$60+1)&lt;Taches!$E$2:$E$60)*($A80-Taches!$H$2:$H$60+1)/Taches!$E$2:$E$60)*Taches!$G$2:$G$60),0)</f>
        <v>0</v>
      </c>
      <c r="J80" s="0" t="n">
        <f aca="false">SUM(B80:I80)</f>
        <v>164236275</v>
      </c>
    </row>
    <row r="81" customFormat="false" ht="15" hidden="false" customHeight="false" outlineLevel="0" collapsed="false">
      <c r="A81" s="0" t="n">
        <v>79</v>
      </c>
      <c r="B81" s="0" t="n">
        <f aca="false">ROUND(SUMPRODUCT((Taches!$B$2:$B$60="LOT-01")*($A81&gt;=Taches!$H$2:$H$60)*((($A81-Taches!$H$2:$H$60+1)&gt;=Taches!$E$2:$E$60)+(($A81-Taches!$H$2:$H$60+1)&lt;Taches!$E$2:$E$60)*($A81-Taches!$H$2:$H$60+1)/Taches!$E$2:$E$60)*Taches!$G$2:$G$60),0)</f>
        <v>55890000</v>
      </c>
      <c r="C81" s="0" t="n">
        <f aca="false">ROUND(SUMPRODUCT((Taches!$B$2:$B$60="LOT-02")*($A81&gt;=Taches!$H$2:$H$60)*((($A81-Taches!$H$2:$H$60+1)&gt;=Taches!$E$2:$E$60)+(($A81-Taches!$H$2:$H$60+1)&lt;Taches!$E$2:$E$60)*($A81-Taches!$H$2:$H$60+1)/Taches!$E$2:$E$60)*Taches!$G$2:$G$60),0)</f>
        <v>44483400</v>
      </c>
      <c r="D81" s="0" t="n">
        <f aca="false">ROUND(SUMPRODUCT((Taches!$B$2:$B$60="LOT-03")*($A81&gt;=Taches!$H$2:$H$60)*((($A81-Taches!$H$2:$H$60+1)&gt;=Taches!$E$2:$E$60)+(($A81-Taches!$H$2:$H$60+1)&lt;Taches!$E$2:$E$60)*($A81-Taches!$H$2:$H$60+1)/Taches!$E$2:$E$60)*Taches!$G$2:$G$60),0)</f>
        <v>65504000</v>
      </c>
      <c r="E81" s="0" t="n">
        <f aca="false">ROUND(SUMPRODUCT((Taches!$B$2:$B$60="LOT-04")*($A81&gt;=Taches!$H$2:$H$60)*((($A81-Taches!$H$2:$H$60+1)&gt;=Taches!$E$2:$E$60)+(($A81-Taches!$H$2:$H$60+1)&lt;Taches!$E$2:$E$60)*($A81-Taches!$H$2:$H$60+1)/Taches!$E$2:$E$60)*Taches!$G$2:$G$60),0)</f>
        <v>0</v>
      </c>
      <c r="F81" s="0" t="n">
        <f aca="false">ROUND(SUMPRODUCT((Taches!$B$2:$B$60="LOT-05")*($A81&gt;=Taches!$H$2:$H$60)*((($A81-Taches!$H$2:$H$60+1)&gt;=Taches!$E$2:$E$60)+(($A81-Taches!$H$2:$H$60+1)&lt;Taches!$E$2:$E$60)*($A81-Taches!$H$2:$H$60+1)/Taches!$E$2:$E$60)*Taches!$G$2:$G$60),0)</f>
        <v>0</v>
      </c>
      <c r="G81" s="0" t="n">
        <f aca="false">ROUND(SUMPRODUCT((Taches!$B$2:$B$60="LOT-06")*($A81&gt;=Taches!$H$2:$H$60)*((($A81-Taches!$H$2:$H$60+1)&gt;=Taches!$E$2:$E$60)+(($A81-Taches!$H$2:$H$60+1)&lt;Taches!$E$2:$E$60)*($A81-Taches!$H$2:$H$60+1)/Taches!$E$2:$E$60)*Taches!$G$2:$G$60),0)</f>
        <v>0</v>
      </c>
      <c r="H81" s="0" t="n">
        <f aca="false">ROUND(SUMPRODUCT((Taches!$B$2:$B$60="LOT-07")*($A81&gt;=Taches!$H$2:$H$60)*((($A81-Taches!$H$2:$H$60+1)&gt;=Taches!$E$2:$E$60)+(($A81-Taches!$H$2:$H$60+1)&lt;Taches!$E$2:$E$60)*($A81-Taches!$H$2:$H$60+1)/Taches!$E$2:$E$60)*Taches!$G$2:$G$60),0)</f>
        <v>0</v>
      </c>
      <c r="I81" s="0" t="n">
        <f aca="false">ROUND(SUMPRODUCT((Taches!$B$2:$B$60="LOT-08")*($A81&gt;=Taches!$H$2:$H$60)*((($A81-Taches!$H$2:$H$60+1)&gt;=Taches!$E$2:$E$60)+(($A81-Taches!$H$2:$H$60+1)&lt;Taches!$E$2:$E$60)*($A81-Taches!$H$2:$H$60+1)/Taches!$E$2:$E$60)*Taches!$G$2:$G$60),0)</f>
        <v>0</v>
      </c>
      <c r="J81" s="0" t="n">
        <f aca="false">SUM(B81:I81)</f>
        <v>165877400</v>
      </c>
    </row>
    <row r="82" customFormat="false" ht="15" hidden="false" customHeight="false" outlineLevel="0" collapsed="false">
      <c r="A82" s="0" t="n">
        <v>80</v>
      </c>
      <c r="B82" s="0" t="n">
        <f aca="false">ROUND(SUMPRODUCT((Taches!$B$2:$B$60="LOT-01")*($A82&gt;=Taches!$H$2:$H$60)*((($A82-Taches!$H$2:$H$60+1)&gt;=Taches!$E$2:$E$60)+(($A82-Taches!$H$2:$H$60+1)&lt;Taches!$E$2:$E$60)*($A82-Taches!$H$2:$H$60+1)/Taches!$E$2:$E$60)*Taches!$G$2:$G$60),0)</f>
        <v>55890000</v>
      </c>
      <c r="C82" s="0" t="n">
        <f aca="false">ROUND(SUMPRODUCT((Taches!$B$2:$B$60="LOT-02")*($A82&gt;=Taches!$H$2:$H$60)*((($A82-Taches!$H$2:$H$60+1)&gt;=Taches!$E$2:$E$60)+(($A82-Taches!$H$2:$H$60+1)&lt;Taches!$E$2:$E$60)*($A82-Taches!$H$2:$H$60+1)/Taches!$E$2:$E$60)*Taches!$G$2:$G$60),0)</f>
        <v>44483400</v>
      </c>
      <c r="D82" s="0" t="n">
        <f aca="false">ROUND(SUMPRODUCT((Taches!$B$2:$B$60="LOT-03")*($A82&gt;=Taches!$H$2:$H$60)*((($A82-Taches!$H$2:$H$60+1)&gt;=Taches!$E$2:$E$60)+(($A82-Taches!$H$2:$H$60+1)&lt;Taches!$E$2:$E$60)*($A82-Taches!$H$2:$H$60+1)/Taches!$E$2:$E$60)*Taches!$G$2:$G$60),0)</f>
        <v>66936667</v>
      </c>
      <c r="E82" s="0" t="n">
        <f aca="false">ROUND(SUMPRODUCT((Taches!$B$2:$B$60="LOT-04")*($A82&gt;=Taches!$H$2:$H$60)*((($A82-Taches!$H$2:$H$60+1)&gt;=Taches!$E$2:$E$60)+(($A82-Taches!$H$2:$H$60+1)&lt;Taches!$E$2:$E$60)*($A82-Taches!$H$2:$H$60+1)/Taches!$E$2:$E$60)*Taches!$G$2:$G$60),0)</f>
        <v>0</v>
      </c>
      <c r="F82" s="0" t="n">
        <f aca="false">ROUND(SUMPRODUCT((Taches!$B$2:$B$60="LOT-05")*($A82&gt;=Taches!$H$2:$H$60)*((($A82-Taches!$H$2:$H$60+1)&gt;=Taches!$E$2:$E$60)+(($A82-Taches!$H$2:$H$60+1)&lt;Taches!$E$2:$E$60)*($A82-Taches!$H$2:$H$60+1)/Taches!$E$2:$E$60)*Taches!$G$2:$G$60),0)</f>
        <v>0</v>
      </c>
      <c r="G82" s="0" t="n">
        <f aca="false">ROUND(SUMPRODUCT((Taches!$B$2:$B$60="LOT-06")*($A82&gt;=Taches!$H$2:$H$60)*((($A82-Taches!$H$2:$H$60+1)&gt;=Taches!$E$2:$E$60)+(($A82-Taches!$H$2:$H$60+1)&lt;Taches!$E$2:$E$60)*($A82-Taches!$H$2:$H$60+1)/Taches!$E$2:$E$60)*Taches!$G$2:$G$60),0)</f>
        <v>0</v>
      </c>
      <c r="H82" s="0" t="n">
        <f aca="false">ROUND(SUMPRODUCT((Taches!$B$2:$B$60="LOT-07")*($A82&gt;=Taches!$H$2:$H$60)*((($A82-Taches!$H$2:$H$60+1)&gt;=Taches!$E$2:$E$60)+(($A82-Taches!$H$2:$H$60+1)&lt;Taches!$E$2:$E$60)*($A82-Taches!$H$2:$H$60+1)/Taches!$E$2:$E$60)*Taches!$G$2:$G$60),0)</f>
        <v>0</v>
      </c>
      <c r="I82" s="0" t="n">
        <f aca="false">ROUND(SUMPRODUCT((Taches!$B$2:$B$60="LOT-08")*($A82&gt;=Taches!$H$2:$H$60)*((($A82-Taches!$H$2:$H$60+1)&gt;=Taches!$E$2:$E$60)+(($A82-Taches!$H$2:$H$60+1)&lt;Taches!$E$2:$E$60)*($A82-Taches!$H$2:$H$60+1)/Taches!$E$2:$E$60)*Taches!$G$2:$G$60),0)</f>
        <v>0</v>
      </c>
      <c r="J82" s="0" t="n">
        <f aca="false">SUM(B82:I82)</f>
        <v>167310067</v>
      </c>
    </row>
    <row r="83" customFormat="false" ht="15" hidden="false" customHeight="false" outlineLevel="0" collapsed="false">
      <c r="A83" s="0" t="n">
        <v>81</v>
      </c>
      <c r="B83" s="0" t="n">
        <f aca="false">ROUND(SUMPRODUCT((Taches!$B$2:$B$60="LOT-01")*($A83&gt;=Taches!$H$2:$H$60)*((($A83-Taches!$H$2:$H$60+1)&gt;=Taches!$E$2:$E$60)+(($A83-Taches!$H$2:$H$60+1)&lt;Taches!$E$2:$E$60)*($A83-Taches!$H$2:$H$60+1)/Taches!$E$2:$E$60)*Taches!$G$2:$G$60),0)</f>
        <v>55890000</v>
      </c>
      <c r="C83" s="0" t="n">
        <f aca="false">ROUND(SUMPRODUCT((Taches!$B$2:$B$60="LOT-02")*($A83&gt;=Taches!$H$2:$H$60)*((($A83-Taches!$H$2:$H$60+1)&gt;=Taches!$E$2:$E$60)+(($A83-Taches!$H$2:$H$60+1)&lt;Taches!$E$2:$E$60)*($A83-Taches!$H$2:$H$60+1)/Taches!$E$2:$E$60)*Taches!$G$2:$G$60),0)</f>
        <v>44483400</v>
      </c>
      <c r="D83" s="0" t="n">
        <f aca="false">ROUND(SUMPRODUCT((Taches!$B$2:$B$60="LOT-03")*($A83&gt;=Taches!$H$2:$H$60)*((($A83-Taches!$H$2:$H$60+1)&gt;=Taches!$E$2:$E$60)+(($A83-Taches!$H$2:$H$60+1)&lt;Taches!$E$2:$E$60)*($A83-Taches!$H$2:$H$60+1)/Taches!$E$2:$E$60)*Taches!$G$2:$G$60),0)</f>
        <v>68369333</v>
      </c>
      <c r="E83" s="0" t="n">
        <f aca="false">ROUND(SUMPRODUCT((Taches!$B$2:$B$60="LOT-04")*($A83&gt;=Taches!$H$2:$H$60)*((($A83-Taches!$H$2:$H$60+1)&gt;=Taches!$E$2:$E$60)+(($A83-Taches!$H$2:$H$60+1)&lt;Taches!$E$2:$E$60)*($A83-Taches!$H$2:$H$60+1)/Taches!$E$2:$E$60)*Taches!$G$2:$G$60),0)</f>
        <v>0</v>
      </c>
      <c r="F83" s="0" t="n">
        <f aca="false">ROUND(SUMPRODUCT((Taches!$B$2:$B$60="LOT-05")*($A83&gt;=Taches!$H$2:$H$60)*((($A83-Taches!$H$2:$H$60+1)&gt;=Taches!$E$2:$E$60)+(($A83-Taches!$H$2:$H$60+1)&lt;Taches!$E$2:$E$60)*($A83-Taches!$H$2:$H$60+1)/Taches!$E$2:$E$60)*Taches!$G$2:$G$60),0)</f>
        <v>0</v>
      </c>
      <c r="G83" s="0" t="n">
        <f aca="false">ROUND(SUMPRODUCT((Taches!$B$2:$B$60="LOT-06")*($A83&gt;=Taches!$H$2:$H$60)*((($A83-Taches!$H$2:$H$60+1)&gt;=Taches!$E$2:$E$60)+(($A83-Taches!$H$2:$H$60+1)&lt;Taches!$E$2:$E$60)*($A83-Taches!$H$2:$H$60+1)/Taches!$E$2:$E$60)*Taches!$G$2:$G$60),0)</f>
        <v>0</v>
      </c>
      <c r="H83" s="0" t="n">
        <f aca="false">ROUND(SUMPRODUCT((Taches!$B$2:$B$60="LOT-07")*($A83&gt;=Taches!$H$2:$H$60)*((($A83-Taches!$H$2:$H$60+1)&gt;=Taches!$E$2:$E$60)+(($A83-Taches!$H$2:$H$60+1)&lt;Taches!$E$2:$E$60)*($A83-Taches!$H$2:$H$60+1)/Taches!$E$2:$E$60)*Taches!$G$2:$G$60),0)</f>
        <v>0</v>
      </c>
      <c r="I83" s="0" t="n">
        <f aca="false">ROUND(SUMPRODUCT((Taches!$B$2:$B$60="LOT-08")*($A83&gt;=Taches!$H$2:$H$60)*((($A83-Taches!$H$2:$H$60+1)&gt;=Taches!$E$2:$E$60)+(($A83-Taches!$H$2:$H$60+1)&lt;Taches!$E$2:$E$60)*($A83-Taches!$H$2:$H$60+1)/Taches!$E$2:$E$60)*Taches!$G$2:$G$60),0)</f>
        <v>0</v>
      </c>
      <c r="J83" s="0" t="n">
        <f aca="false">SUM(B83:I83)</f>
        <v>168742733</v>
      </c>
    </row>
    <row r="84" customFormat="false" ht="15" hidden="false" customHeight="false" outlineLevel="0" collapsed="false">
      <c r="A84" s="0" t="n">
        <v>82</v>
      </c>
      <c r="B84" s="0" t="n">
        <f aca="false">ROUND(SUMPRODUCT((Taches!$B$2:$B$60="LOT-01")*($A84&gt;=Taches!$H$2:$H$60)*((($A84-Taches!$H$2:$H$60+1)&gt;=Taches!$E$2:$E$60)+(($A84-Taches!$H$2:$H$60+1)&lt;Taches!$E$2:$E$60)*($A84-Taches!$H$2:$H$60+1)/Taches!$E$2:$E$60)*Taches!$G$2:$G$60),0)</f>
        <v>55890000</v>
      </c>
      <c r="C84" s="0" t="n">
        <f aca="false">ROUND(SUMPRODUCT((Taches!$B$2:$B$60="LOT-02")*($A84&gt;=Taches!$H$2:$H$60)*((($A84-Taches!$H$2:$H$60+1)&gt;=Taches!$E$2:$E$60)+(($A84-Taches!$H$2:$H$60+1)&lt;Taches!$E$2:$E$60)*($A84-Taches!$H$2:$H$60+1)/Taches!$E$2:$E$60)*Taches!$G$2:$G$60),0)</f>
        <v>44483400</v>
      </c>
      <c r="D84" s="0" t="n">
        <f aca="false">ROUND(SUMPRODUCT((Taches!$B$2:$B$60="LOT-03")*($A84&gt;=Taches!$H$2:$H$60)*((($A84-Taches!$H$2:$H$60+1)&gt;=Taches!$E$2:$E$60)+(($A84-Taches!$H$2:$H$60+1)&lt;Taches!$E$2:$E$60)*($A84-Taches!$H$2:$H$60+1)/Taches!$E$2:$E$60)*Taches!$G$2:$G$60),0)</f>
        <v>69802000</v>
      </c>
      <c r="E84" s="0" t="n">
        <f aca="false">ROUND(SUMPRODUCT((Taches!$B$2:$B$60="LOT-04")*($A84&gt;=Taches!$H$2:$H$60)*((($A84-Taches!$H$2:$H$60+1)&gt;=Taches!$E$2:$E$60)+(($A84-Taches!$H$2:$H$60+1)&lt;Taches!$E$2:$E$60)*($A84-Taches!$H$2:$H$60+1)/Taches!$E$2:$E$60)*Taches!$G$2:$G$60),0)</f>
        <v>0</v>
      </c>
      <c r="F84" s="0" t="n">
        <f aca="false">ROUND(SUMPRODUCT((Taches!$B$2:$B$60="LOT-05")*($A84&gt;=Taches!$H$2:$H$60)*((($A84-Taches!$H$2:$H$60+1)&gt;=Taches!$E$2:$E$60)+(($A84-Taches!$H$2:$H$60+1)&lt;Taches!$E$2:$E$60)*($A84-Taches!$H$2:$H$60+1)/Taches!$E$2:$E$60)*Taches!$G$2:$G$60),0)</f>
        <v>0</v>
      </c>
      <c r="G84" s="0" t="n">
        <f aca="false">ROUND(SUMPRODUCT((Taches!$B$2:$B$60="LOT-06")*($A84&gt;=Taches!$H$2:$H$60)*((($A84-Taches!$H$2:$H$60+1)&gt;=Taches!$E$2:$E$60)+(($A84-Taches!$H$2:$H$60+1)&lt;Taches!$E$2:$E$60)*($A84-Taches!$H$2:$H$60+1)/Taches!$E$2:$E$60)*Taches!$G$2:$G$60),0)</f>
        <v>0</v>
      </c>
      <c r="H84" s="0" t="n">
        <f aca="false">ROUND(SUMPRODUCT((Taches!$B$2:$B$60="LOT-07")*($A84&gt;=Taches!$H$2:$H$60)*((($A84-Taches!$H$2:$H$60+1)&gt;=Taches!$E$2:$E$60)+(($A84-Taches!$H$2:$H$60+1)&lt;Taches!$E$2:$E$60)*($A84-Taches!$H$2:$H$60+1)/Taches!$E$2:$E$60)*Taches!$G$2:$G$60),0)</f>
        <v>0</v>
      </c>
      <c r="I84" s="0" t="n">
        <f aca="false">ROUND(SUMPRODUCT((Taches!$B$2:$B$60="LOT-08")*($A84&gt;=Taches!$H$2:$H$60)*((($A84-Taches!$H$2:$H$60+1)&gt;=Taches!$E$2:$E$60)+(($A84-Taches!$H$2:$H$60+1)&lt;Taches!$E$2:$E$60)*($A84-Taches!$H$2:$H$60+1)/Taches!$E$2:$E$60)*Taches!$G$2:$G$60),0)</f>
        <v>0</v>
      </c>
      <c r="J84" s="0" t="n">
        <f aca="false">SUM(B84:I84)</f>
        <v>170175400</v>
      </c>
    </row>
    <row r="85" customFormat="false" ht="15" hidden="false" customHeight="false" outlineLevel="0" collapsed="false">
      <c r="A85" s="0" t="n">
        <v>83</v>
      </c>
      <c r="B85" s="0" t="n">
        <f aca="false">ROUND(SUMPRODUCT((Taches!$B$2:$B$60="LOT-01")*($A85&gt;=Taches!$H$2:$H$60)*((($A85-Taches!$H$2:$H$60+1)&gt;=Taches!$E$2:$E$60)+(($A85-Taches!$H$2:$H$60+1)&lt;Taches!$E$2:$E$60)*($A85-Taches!$H$2:$H$60+1)/Taches!$E$2:$E$60)*Taches!$G$2:$G$60),0)</f>
        <v>55890000</v>
      </c>
      <c r="C85" s="0" t="n">
        <f aca="false">ROUND(SUMPRODUCT((Taches!$B$2:$B$60="LOT-02")*($A85&gt;=Taches!$H$2:$H$60)*((($A85-Taches!$H$2:$H$60+1)&gt;=Taches!$E$2:$E$60)+(($A85-Taches!$H$2:$H$60+1)&lt;Taches!$E$2:$E$60)*($A85-Taches!$H$2:$H$60+1)/Taches!$E$2:$E$60)*Taches!$G$2:$G$60),0)</f>
        <v>44483400</v>
      </c>
      <c r="D85" s="0" t="n">
        <f aca="false">ROUND(SUMPRODUCT((Taches!$B$2:$B$60="LOT-03")*($A85&gt;=Taches!$H$2:$H$60)*((($A85-Taches!$H$2:$H$60+1)&gt;=Taches!$E$2:$E$60)+(($A85-Taches!$H$2:$H$60+1)&lt;Taches!$E$2:$E$60)*($A85-Taches!$H$2:$H$60+1)/Taches!$E$2:$E$60)*Taches!$G$2:$G$60),0)</f>
        <v>71234667</v>
      </c>
      <c r="E85" s="0" t="n">
        <f aca="false">ROUND(SUMPRODUCT((Taches!$B$2:$B$60="LOT-04")*($A85&gt;=Taches!$H$2:$H$60)*((($A85-Taches!$H$2:$H$60+1)&gt;=Taches!$E$2:$E$60)+(($A85-Taches!$H$2:$H$60+1)&lt;Taches!$E$2:$E$60)*($A85-Taches!$H$2:$H$60+1)/Taches!$E$2:$E$60)*Taches!$G$2:$G$60),0)</f>
        <v>0</v>
      </c>
      <c r="F85" s="0" t="n">
        <f aca="false">ROUND(SUMPRODUCT((Taches!$B$2:$B$60="LOT-05")*($A85&gt;=Taches!$H$2:$H$60)*((($A85-Taches!$H$2:$H$60+1)&gt;=Taches!$E$2:$E$60)+(($A85-Taches!$H$2:$H$60+1)&lt;Taches!$E$2:$E$60)*($A85-Taches!$H$2:$H$60+1)/Taches!$E$2:$E$60)*Taches!$G$2:$G$60),0)</f>
        <v>0</v>
      </c>
      <c r="G85" s="0" t="n">
        <f aca="false">ROUND(SUMPRODUCT((Taches!$B$2:$B$60="LOT-06")*($A85&gt;=Taches!$H$2:$H$60)*((($A85-Taches!$H$2:$H$60+1)&gt;=Taches!$E$2:$E$60)+(($A85-Taches!$H$2:$H$60+1)&lt;Taches!$E$2:$E$60)*($A85-Taches!$H$2:$H$60+1)/Taches!$E$2:$E$60)*Taches!$G$2:$G$60),0)</f>
        <v>0</v>
      </c>
      <c r="H85" s="0" t="n">
        <f aca="false">ROUND(SUMPRODUCT((Taches!$B$2:$B$60="LOT-07")*($A85&gt;=Taches!$H$2:$H$60)*((($A85-Taches!$H$2:$H$60+1)&gt;=Taches!$E$2:$E$60)+(($A85-Taches!$H$2:$H$60+1)&lt;Taches!$E$2:$E$60)*($A85-Taches!$H$2:$H$60+1)/Taches!$E$2:$E$60)*Taches!$G$2:$G$60),0)</f>
        <v>0</v>
      </c>
      <c r="I85" s="0" t="n">
        <f aca="false">ROUND(SUMPRODUCT((Taches!$B$2:$B$60="LOT-08")*($A85&gt;=Taches!$H$2:$H$60)*((($A85-Taches!$H$2:$H$60+1)&gt;=Taches!$E$2:$E$60)+(($A85-Taches!$H$2:$H$60+1)&lt;Taches!$E$2:$E$60)*($A85-Taches!$H$2:$H$60+1)/Taches!$E$2:$E$60)*Taches!$G$2:$G$60),0)</f>
        <v>0</v>
      </c>
      <c r="J85" s="0" t="n">
        <f aca="false">SUM(B85:I85)</f>
        <v>171608067</v>
      </c>
    </row>
    <row r="86" customFormat="false" ht="15" hidden="false" customHeight="false" outlineLevel="0" collapsed="false">
      <c r="A86" s="0" t="n">
        <v>84</v>
      </c>
      <c r="B86" s="0" t="n">
        <f aca="false">ROUND(SUMPRODUCT((Taches!$B$2:$B$60="LOT-01")*($A86&gt;=Taches!$H$2:$H$60)*((($A86-Taches!$H$2:$H$60+1)&gt;=Taches!$E$2:$E$60)+(($A86-Taches!$H$2:$H$60+1)&lt;Taches!$E$2:$E$60)*($A86-Taches!$H$2:$H$60+1)/Taches!$E$2:$E$60)*Taches!$G$2:$G$60),0)</f>
        <v>55890000</v>
      </c>
      <c r="C86" s="0" t="n">
        <f aca="false">ROUND(SUMPRODUCT((Taches!$B$2:$B$60="LOT-02")*($A86&gt;=Taches!$H$2:$H$60)*((($A86-Taches!$H$2:$H$60+1)&gt;=Taches!$E$2:$E$60)+(($A86-Taches!$H$2:$H$60+1)&lt;Taches!$E$2:$E$60)*($A86-Taches!$H$2:$H$60+1)/Taches!$E$2:$E$60)*Taches!$G$2:$G$60),0)</f>
        <v>44483400</v>
      </c>
      <c r="D86" s="0" t="n">
        <f aca="false">ROUND(SUMPRODUCT((Taches!$B$2:$B$60="LOT-03")*($A86&gt;=Taches!$H$2:$H$60)*((($A86-Taches!$H$2:$H$60+1)&gt;=Taches!$E$2:$E$60)+(($A86-Taches!$H$2:$H$60+1)&lt;Taches!$E$2:$E$60)*($A86-Taches!$H$2:$H$60+1)/Taches!$E$2:$E$60)*Taches!$G$2:$G$60),0)</f>
        <v>72667333</v>
      </c>
      <c r="E86" s="0" t="n">
        <f aca="false">ROUND(SUMPRODUCT((Taches!$B$2:$B$60="LOT-04")*($A86&gt;=Taches!$H$2:$H$60)*((($A86-Taches!$H$2:$H$60+1)&gt;=Taches!$E$2:$E$60)+(($A86-Taches!$H$2:$H$60+1)&lt;Taches!$E$2:$E$60)*($A86-Taches!$H$2:$H$60+1)/Taches!$E$2:$E$60)*Taches!$G$2:$G$60),0)</f>
        <v>0</v>
      </c>
      <c r="F86" s="0" t="n">
        <f aca="false">ROUND(SUMPRODUCT((Taches!$B$2:$B$60="LOT-05")*($A86&gt;=Taches!$H$2:$H$60)*((($A86-Taches!$H$2:$H$60+1)&gt;=Taches!$E$2:$E$60)+(($A86-Taches!$H$2:$H$60+1)&lt;Taches!$E$2:$E$60)*($A86-Taches!$H$2:$H$60+1)/Taches!$E$2:$E$60)*Taches!$G$2:$G$60),0)</f>
        <v>0</v>
      </c>
      <c r="G86" s="0" t="n">
        <f aca="false">ROUND(SUMPRODUCT((Taches!$B$2:$B$60="LOT-06")*($A86&gt;=Taches!$H$2:$H$60)*((($A86-Taches!$H$2:$H$60+1)&gt;=Taches!$E$2:$E$60)+(($A86-Taches!$H$2:$H$60+1)&lt;Taches!$E$2:$E$60)*($A86-Taches!$H$2:$H$60+1)/Taches!$E$2:$E$60)*Taches!$G$2:$G$60),0)</f>
        <v>0</v>
      </c>
      <c r="H86" s="0" t="n">
        <f aca="false">ROUND(SUMPRODUCT((Taches!$B$2:$B$60="LOT-07")*($A86&gt;=Taches!$H$2:$H$60)*((($A86-Taches!$H$2:$H$60+1)&gt;=Taches!$E$2:$E$60)+(($A86-Taches!$H$2:$H$60+1)&lt;Taches!$E$2:$E$60)*($A86-Taches!$H$2:$H$60+1)/Taches!$E$2:$E$60)*Taches!$G$2:$G$60),0)</f>
        <v>0</v>
      </c>
      <c r="I86" s="0" t="n">
        <f aca="false">ROUND(SUMPRODUCT((Taches!$B$2:$B$60="LOT-08")*($A86&gt;=Taches!$H$2:$H$60)*((($A86-Taches!$H$2:$H$60+1)&gt;=Taches!$E$2:$E$60)+(($A86-Taches!$H$2:$H$60+1)&lt;Taches!$E$2:$E$60)*($A86-Taches!$H$2:$H$60+1)/Taches!$E$2:$E$60)*Taches!$G$2:$G$60),0)</f>
        <v>0</v>
      </c>
      <c r="J86" s="0" t="n">
        <f aca="false">SUM(B86:I86)</f>
        <v>173040733</v>
      </c>
    </row>
    <row r="87" customFormat="false" ht="15" hidden="false" customHeight="false" outlineLevel="0" collapsed="false">
      <c r="A87" s="0" t="n">
        <v>85</v>
      </c>
      <c r="B87" s="0" t="n">
        <f aca="false">ROUND(SUMPRODUCT((Taches!$B$2:$B$60="LOT-01")*($A87&gt;=Taches!$H$2:$H$60)*((($A87-Taches!$H$2:$H$60+1)&gt;=Taches!$E$2:$E$60)+(($A87-Taches!$H$2:$H$60+1)&lt;Taches!$E$2:$E$60)*($A87-Taches!$H$2:$H$60+1)/Taches!$E$2:$E$60)*Taches!$G$2:$G$60),0)</f>
        <v>55890000</v>
      </c>
      <c r="C87" s="0" t="n">
        <f aca="false">ROUND(SUMPRODUCT((Taches!$B$2:$B$60="LOT-02")*($A87&gt;=Taches!$H$2:$H$60)*((($A87-Taches!$H$2:$H$60+1)&gt;=Taches!$E$2:$E$60)+(($A87-Taches!$H$2:$H$60+1)&lt;Taches!$E$2:$E$60)*($A87-Taches!$H$2:$H$60+1)/Taches!$E$2:$E$60)*Taches!$G$2:$G$60),0)</f>
        <v>44483400</v>
      </c>
      <c r="D87" s="0" t="n">
        <f aca="false">ROUND(SUMPRODUCT((Taches!$B$2:$B$60="LOT-03")*($A87&gt;=Taches!$H$2:$H$60)*((($A87-Taches!$H$2:$H$60+1)&gt;=Taches!$E$2:$E$60)+(($A87-Taches!$H$2:$H$60+1)&lt;Taches!$E$2:$E$60)*($A87-Taches!$H$2:$H$60+1)/Taches!$E$2:$E$60)*Taches!$G$2:$G$60),0)</f>
        <v>74100000</v>
      </c>
      <c r="E87" s="0" t="n">
        <f aca="false">ROUND(SUMPRODUCT((Taches!$B$2:$B$60="LOT-04")*($A87&gt;=Taches!$H$2:$H$60)*((($A87-Taches!$H$2:$H$60+1)&gt;=Taches!$E$2:$E$60)+(($A87-Taches!$H$2:$H$60+1)&lt;Taches!$E$2:$E$60)*($A87-Taches!$H$2:$H$60+1)/Taches!$E$2:$E$60)*Taches!$G$2:$G$60),0)</f>
        <v>0</v>
      </c>
      <c r="F87" s="0" t="n">
        <f aca="false">ROUND(SUMPRODUCT((Taches!$B$2:$B$60="LOT-05")*($A87&gt;=Taches!$H$2:$H$60)*((($A87-Taches!$H$2:$H$60+1)&gt;=Taches!$E$2:$E$60)+(($A87-Taches!$H$2:$H$60+1)&lt;Taches!$E$2:$E$60)*($A87-Taches!$H$2:$H$60+1)/Taches!$E$2:$E$60)*Taches!$G$2:$G$60),0)</f>
        <v>0</v>
      </c>
      <c r="G87" s="0" t="n">
        <f aca="false">ROUND(SUMPRODUCT((Taches!$B$2:$B$60="LOT-06")*($A87&gt;=Taches!$H$2:$H$60)*((($A87-Taches!$H$2:$H$60+1)&gt;=Taches!$E$2:$E$60)+(($A87-Taches!$H$2:$H$60+1)&lt;Taches!$E$2:$E$60)*($A87-Taches!$H$2:$H$60+1)/Taches!$E$2:$E$60)*Taches!$G$2:$G$60),0)</f>
        <v>0</v>
      </c>
      <c r="H87" s="0" t="n">
        <f aca="false">ROUND(SUMPRODUCT((Taches!$B$2:$B$60="LOT-07")*($A87&gt;=Taches!$H$2:$H$60)*((($A87-Taches!$H$2:$H$60+1)&gt;=Taches!$E$2:$E$60)+(($A87-Taches!$H$2:$H$60+1)&lt;Taches!$E$2:$E$60)*($A87-Taches!$H$2:$H$60+1)/Taches!$E$2:$E$60)*Taches!$G$2:$G$60),0)</f>
        <v>0</v>
      </c>
      <c r="I87" s="0" t="n">
        <f aca="false">ROUND(SUMPRODUCT((Taches!$B$2:$B$60="LOT-08")*($A87&gt;=Taches!$H$2:$H$60)*((($A87-Taches!$H$2:$H$60+1)&gt;=Taches!$E$2:$E$60)+(($A87-Taches!$H$2:$H$60+1)&lt;Taches!$E$2:$E$60)*($A87-Taches!$H$2:$H$60+1)/Taches!$E$2:$E$60)*Taches!$G$2:$G$60),0)</f>
        <v>0</v>
      </c>
      <c r="J87" s="0" t="n">
        <f aca="false">SUM(B87:I87)</f>
        <v>174473400</v>
      </c>
    </row>
    <row r="88" customFormat="false" ht="15" hidden="false" customHeight="false" outlineLevel="0" collapsed="false">
      <c r="A88" s="0" t="n">
        <v>86</v>
      </c>
      <c r="B88" s="0" t="n">
        <f aca="false">ROUND(SUMPRODUCT((Taches!$B$2:$B$60="LOT-01")*($A88&gt;=Taches!$H$2:$H$60)*((($A88-Taches!$H$2:$H$60+1)&gt;=Taches!$E$2:$E$60)+(($A88-Taches!$H$2:$H$60+1)&lt;Taches!$E$2:$E$60)*($A88-Taches!$H$2:$H$60+1)/Taches!$E$2:$E$60)*Taches!$G$2:$G$60),0)</f>
        <v>55890000</v>
      </c>
      <c r="C88" s="0" t="n">
        <f aca="false">ROUND(SUMPRODUCT((Taches!$B$2:$B$60="LOT-02")*($A88&gt;=Taches!$H$2:$H$60)*((($A88-Taches!$H$2:$H$60+1)&gt;=Taches!$E$2:$E$60)+(($A88-Taches!$H$2:$H$60+1)&lt;Taches!$E$2:$E$60)*($A88-Taches!$H$2:$H$60+1)/Taches!$E$2:$E$60)*Taches!$G$2:$G$60),0)</f>
        <v>44483400</v>
      </c>
      <c r="D88" s="0" t="n">
        <f aca="false">ROUND(SUMPRODUCT((Taches!$B$2:$B$60="LOT-03")*($A88&gt;=Taches!$H$2:$H$60)*((($A88-Taches!$H$2:$H$60+1)&gt;=Taches!$E$2:$E$60)+(($A88-Taches!$H$2:$H$60+1)&lt;Taches!$E$2:$E$60)*($A88-Taches!$H$2:$H$60+1)/Taches!$E$2:$E$60)*Taches!$G$2:$G$60),0)</f>
        <v>75532667</v>
      </c>
      <c r="E88" s="0" t="n">
        <f aca="false">ROUND(SUMPRODUCT((Taches!$B$2:$B$60="LOT-04")*($A88&gt;=Taches!$H$2:$H$60)*((($A88-Taches!$H$2:$H$60+1)&gt;=Taches!$E$2:$E$60)+(($A88-Taches!$H$2:$H$60+1)&lt;Taches!$E$2:$E$60)*($A88-Taches!$H$2:$H$60+1)/Taches!$E$2:$E$60)*Taches!$G$2:$G$60),0)</f>
        <v>0</v>
      </c>
      <c r="F88" s="0" t="n">
        <f aca="false">ROUND(SUMPRODUCT((Taches!$B$2:$B$60="LOT-05")*($A88&gt;=Taches!$H$2:$H$60)*((($A88-Taches!$H$2:$H$60+1)&gt;=Taches!$E$2:$E$60)+(($A88-Taches!$H$2:$H$60+1)&lt;Taches!$E$2:$E$60)*($A88-Taches!$H$2:$H$60+1)/Taches!$E$2:$E$60)*Taches!$G$2:$G$60),0)</f>
        <v>0</v>
      </c>
      <c r="G88" s="0" t="n">
        <f aca="false">ROUND(SUMPRODUCT((Taches!$B$2:$B$60="LOT-06")*($A88&gt;=Taches!$H$2:$H$60)*((($A88-Taches!$H$2:$H$60+1)&gt;=Taches!$E$2:$E$60)+(($A88-Taches!$H$2:$H$60+1)&lt;Taches!$E$2:$E$60)*($A88-Taches!$H$2:$H$60+1)/Taches!$E$2:$E$60)*Taches!$G$2:$G$60),0)</f>
        <v>0</v>
      </c>
      <c r="H88" s="0" t="n">
        <f aca="false">ROUND(SUMPRODUCT((Taches!$B$2:$B$60="LOT-07")*($A88&gt;=Taches!$H$2:$H$60)*((($A88-Taches!$H$2:$H$60+1)&gt;=Taches!$E$2:$E$60)+(($A88-Taches!$H$2:$H$60+1)&lt;Taches!$E$2:$E$60)*($A88-Taches!$H$2:$H$60+1)/Taches!$E$2:$E$60)*Taches!$G$2:$G$60),0)</f>
        <v>0</v>
      </c>
      <c r="I88" s="0" t="n">
        <f aca="false">ROUND(SUMPRODUCT((Taches!$B$2:$B$60="LOT-08")*($A88&gt;=Taches!$H$2:$H$60)*((($A88-Taches!$H$2:$H$60+1)&gt;=Taches!$E$2:$E$60)+(($A88-Taches!$H$2:$H$60+1)&lt;Taches!$E$2:$E$60)*($A88-Taches!$H$2:$H$60+1)/Taches!$E$2:$E$60)*Taches!$G$2:$G$60),0)</f>
        <v>0</v>
      </c>
      <c r="J88" s="0" t="n">
        <f aca="false">SUM(B88:I88)</f>
        <v>175906067</v>
      </c>
    </row>
    <row r="89" customFormat="false" ht="15" hidden="false" customHeight="false" outlineLevel="0" collapsed="false">
      <c r="A89" s="0" t="n">
        <v>87</v>
      </c>
      <c r="B89" s="0" t="n">
        <f aca="false">ROUND(SUMPRODUCT((Taches!$B$2:$B$60="LOT-01")*($A89&gt;=Taches!$H$2:$H$60)*((($A89-Taches!$H$2:$H$60+1)&gt;=Taches!$E$2:$E$60)+(($A89-Taches!$H$2:$H$60+1)&lt;Taches!$E$2:$E$60)*($A89-Taches!$H$2:$H$60+1)/Taches!$E$2:$E$60)*Taches!$G$2:$G$60),0)</f>
        <v>55890000</v>
      </c>
      <c r="C89" s="0" t="n">
        <f aca="false">ROUND(SUMPRODUCT((Taches!$B$2:$B$60="LOT-02")*($A89&gt;=Taches!$H$2:$H$60)*((($A89-Taches!$H$2:$H$60+1)&gt;=Taches!$E$2:$E$60)+(($A89-Taches!$H$2:$H$60+1)&lt;Taches!$E$2:$E$60)*($A89-Taches!$H$2:$H$60+1)/Taches!$E$2:$E$60)*Taches!$G$2:$G$60),0)</f>
        <v>44483400</v>
      </c>
      <c r="D89" s="0" t="n">
        <f aca="false">ROUND(SUMPRODUCT((Taches!$B$2:$B$60="LOT-03")*($A89&gt;=Taches!$H$2:$H$60)*((($A89-Taches!$H$2:$H$60+1)&gt;=Taches!$E$2:$E$60)+(($A89-Taches!$H$2:$H$60+1)&lt;Taches!$E$2:$E$60)*($A89-Taches!$H$2:$H$60+1)/Taches!$E$2:$E$60)*Taches!$G$2:$G$60),0)</f>
        <v>76965333</v>
      </c>
      <c r="E89" s="0" t="n">
        <f aca="false">ROUND(SUMPRODUCT((Taches!$B$2:$B$60="LOT-04")*($A89&gt;=Taches!$H$2:$H$60)*((($A89-Taches!$H$2:$H$60+1)&gt;=Taches!$E$2:$E$60)+(($A89-Taches!$H$2:$H$60+1)&lt;Taches!$E$2:$E$60)*($A89-Taches!$H$2:$H$60+1)/Taches!$E$2:$E$60)*Taches!$G$2:$G$60),0)</f>
        <v>0</v>
      </c>
      <c r="F89" s="0" t="n">
        <f aca="false">ROUND(SUMPRODUCT((Taches!$B$2:$B$60="LOT-05")*($A89&gt;=Taches!$H$2:$H$60)*((($A89-Taches!$H$2:$H$60+1)&gt;=Taches!$E$2:$E$60)+(($A89-Taches!$H$2:$H$60+1)&lt;Taches!$E$2:$E$60)*($A89-Taches!$H$2:$H$60+1)/Taches!$E$2:$E$60)*Taches!$G$2:$G$60),0)</f>
        <v>0</v>
      </c>
      <c r="G89" s="0" t="n">
        <f aca="false">ROUND(SUMPRODUCT((Taches!$B$2:$B$60="LOT-06")*($A89&gt;=Taches!$H$2:$H$60)*((($A89-Taches!$H$2:$H$60+1)&gt;=Taches!$E$2:$E$60)+(($A89-Taches!$H$2:$H$60+1)&lt;Taches!$E$2:$E$60)*($A89-Taches!$H$2:$H$60+1)/Taches!$E$2:$E$60)*Taches!$G$2:$G$60),0)</f>
        <v>0</v>
      </c>
      <c r="H89" s="0" t="n">
        <f aca="false">ROUND(SUMPRODUCT((Taches!$B$2:$B$60="LOT-07")*($A89&gt;=Taches!$H$2:$H$60)*((($A89-Taches!$H$2:$H$60+1)&gt;=Taches!$E$2:$E$60)+(($A89-Taches!$H$2:$H$60+1)&lt;Taches!$E$2:$E$60)*($A89-Taches!$H$2:$H$60+1)/Taches!$E$2:$E$60)*Taches!$G$2:$G$60),0)</f>
        <v>0</v>
      </c>
      <c r="I89" s="0" t="n">
        <f aca="false">ROUND(SUMPRODUCT((Taches!$B$2:$B$60="LOT-08")*($A89&gt;=Taches!$H$2:$H$60)*((($A89-Taches!$H$2:$H$60+1)&gt;=Taches!$E$2:$E$60)+(($A89-Taches!$H$2:$H$60+1)&lt;Taches!$E$2:$E$60)*($A89-Taches!$H$2:$H$60+1)/Taches!$E$2:$E$60)*Taches!$G$2:$G$60),0)</f>
        <v>0</v>
      </c>
      <c r="J89" s="0" t="n">
        <f aca="false">SUM(B89:I89)</f>
        <v>177338733</v>
      </c>
    </row>
    <row r="90" customFormat="false" ht="15" hidden="false" customHeight="false" outlineLevel="0" collapsed="false">
      <c r="A90" s="0" t="n">
        <v>88</v>
      </c>
      <c r="B90" s="0" t="n">
        <f aca="false">ROUND(SUMPRODUCT((Taches!$B$2:$B$60="LOT-01")*($A90&gt;=Taches!$H$2:$H$60)*((($A90-Taches!$H$2:$H$60+1)&gt;=Taches!$E$2:$E$60)+(($A90-Taches!$H$2:$H$60+1)&lt;Taches!$E$2:$E$60)*($A90-Taches!$H$2:$H$60+1)/Taches!$E$2:$E$60)*Taches!$G$2:$G$60),0)</f>
        <v>55890000</v>
      </c>
      <c r="C90" s="0" t="n">
        <f aca="false">ROUND(SUMPRODUCT((Taches!$B$2:$B$60="LOT-02")*($A90&gt;=Taches!$H$2:$H$60)*((($A90-Taches!$H$2:$H$60+1)&gt;=Taches!$E$2:$E$60)+(($A90-Taches!$H$2:$H$60+1)&lt;Taches!$E$2:$E$60)*($A90-Taches!$H$2:$H$60+1)/Taches!$E$2:$E$60)*Taches!$G$2:$G$60),0)</f>
        <v>44483400</v>
      </c>
      <c r="D90" s="0" t="n">
        <f aca="false">ROUND(SUMPRODUCT((Taches!$B$2:$B$60="LOT-03")*($A90&gt;=Taches!$H$2:$H$60)*((($A90-Taches!$H$2:$H$60+1)&gt;=Taches!$E$2:$E$60)+(($A90-Taches!$H$2:$H$60+1)&lt;Taches!$E$2:$E$60)*($A90-Taches!$H$2:$H$60+1)/Taches!$E$2:$E$60)*Taches!$G$2:$G$60),0)</f>
        <v>78398000</v>
      </c>
      <c r="E90" s="0" t="n">
        <f aca="false">ROUND(SUMPRODUCT((Taches!$B$2:$B$60="LOT-04")*($A90&gt;=Taches!$H$2:$H$60)*((($A90-Taches!$H$2:$H$60+1)&gt;=Taches!$E$2:$E$60)+(($A90-Taches!$H$2:$H$60+1)&lt;Taches!$E$2:$E$60)*($A90-Taches!$H$2:$H$60+1)/Taches!$E$2:$E$60)*Taches!$G$2:$G$60),0)</f>
        <v>0</v>
      </c>
      <c r="F90" s="0" t="n">
        <f aca="false">ROUND(SUMPRODUCT((Taches!$B$2:$B$60="LOT-05")*($A90&gt;=Taches!$H$2:$H$60)*((($A90-Taches!$H$2:$H$60+1)&gt;=Taches!$E$2:$E$60)+(($A90-Taches!$H$2:$H$60+1)&lt;Taches!$E$2:$E$60)*($A90-Taches!$H$2:$H$60+1)/Taches!$E$2:$E$60)*Taches!$G$2:$G$60),0)</f>
        <v>0</v>
      </c>
      <c r="G90" s="0" t="n">
        <f aca="false">ROUND(SUMPRODUCT((Taches!$B$2:$B$60="LOT-06")*($A90&gt;=Taches!$H$2:$H$60)*((($A90-Taches!$H$2:$H$60+1)&gt;=Taches!$E$2:$E$60)+(($A90-Taches!$H$2:$H$60+1)&lt;Taches!$E$2:$E$60)*($A90-Taches!$H$2:$H$60+1)/Taches!$E$2:$E$60)*Taches!$G$2:$G$60),0)</f>
        <v>0</v>
      </c>
      <c r="H90" s="0" t="n">
        <f aca="false">ROUND(SUMPRODUCT((Taches!$B$2:$B$60="LOT-07")*($A90&gt;=Taches!$H$2:$H$60)*((($A90-Taches!$H$2:$H$60+1)&gt;=Taches!$E$2:$E$60)+(($A90-Taches!$H$2:$H$60+1)&lt;Taches!$E$2:$E$60)*($A90-Taches!$H$2:$H$60+1)/Taches!$E$2:$E$60)*Taches!$G$2:$G$60),0)</f>
        <v>0</v>
      </c>
      <c r="I90" s="0" t="n">
        <f aca="false">ROUND(SUMPRODUCT((Taches!$B$2:$B$60="LOT-08")*($A90&gt;=Taches!$H$2:$H$60)*((($A90-Taches!$H$2:$H$60+1)&gt;=Taches!$E$2:$E$60)+(($A90-Taches!$H$2:$H$60+1)&lt;Taches!$E$2:$E$60)*($A90-Taches!$H$2:$H$60+1)/Taches!$E$2:$E$60)*Taches!$G$2:$G$60),0)</f>
        <v>0</v>
      </c>
      <c r="J90" s="0" t="n">
        <f aca="false">SUM(B90:I90)</f>
        <v>178771400</v>
      </c>
    </row>
    <row r="91" customFormat="false" ht="15" hidden="false" customHeight="false" outlineLevel="0" collapsed="false">
      <c r="A91" s="0" t="n">
        <v>89</v>
      </c>
      <c r="B91" s="0" t="n">
        <f aca="false">ROUND(SUMPRODUCT((Taches!$B$2:$B$60="LOT-01")*($A91&gt;=Taches!$H$2:$H$60)*((($A91-Taches!$H$2:$H$60+1)&gt;=Taches!$E$2:$E$60)+(($A91-Taches!$H$2:$H$60+1)&lt;Taches!$E$2:$E$60)*($A91-Taches!$H$2:$H$60+1)/Taches!$E$2:$E$60)*Taches!$G$2:$G$60),0)</f>
        <v>55890000</v>
      </c>
      <c r="C91" s="0" t="n">
        <f aca="false">ROUND(SUMPRODUCT((Taches!$B$2:$B$60="LOT-02")*($A91&gt;=Taches!$H$2:$H$60)*((($A91-Taches!$H$2:$H$60+1)&gt;=Taches!$E$2:$E$60)+(($A91-Taches!$H$2:$H$60+1)&lt;Taches!$E$2:$E$60)*($A91-Taches!$H$2:$H$60+1)/Taches!$E$2:$E$60)*Taches!$G$2:$G$60),0)</f>
        <v>44483400</v>
      </c>
      <c r="D91" s="0" t="n">
        <f aca="false">ROUND(SUMPRODUCT((Taches!$B$2:$B$60="LOT-03")*($A91&gt;=Taches!$H$2:$H$60)*((($A91-Taches!$H$2:$H$60+1)&gt;=Taches!$E$2:$E$60)+(($A91-Taches!$H$2:$H$60+1)&lt;Taches!$E$2:$E$60)*($A91-Taches!$H$2:$H$60+1)/Taches!$E$2:$E$60)*Taches!$G$2:$G$60),0)</f>
        <v>79830667</v>
      </c>
      <c r="E91" s="0" t="n">
        <f aca="false">ROUND(SUMPRODUCT((Taches!$B$2:$B$60="LOT-04")*($A91&gt;=Taches!$H$2:$H$60)*((($A91-Taches!$H$2:$H$60+1)&gt;=Taches!$E$2:$E$60)+(($A91-Taches!$H$2:$H$60+1)&lt;Taches!$E$2:$E$60)*($A91-Taches!$H$2:$H$60+1)/Taches!$E$2:$E$60)*Taches!$G$2:$G$60),0)</f>
        <v>0</v>
      </c>
      <c r="F91" s="0" t="n">
        <f aca="false">ROUND(SUMPRODUCT((Taches!$B$2:$B$60="LOT-05")*($A91&gt;=Taches!$H$2:$H$60)*((($A91-Taches!$H$2:$H$60+1)&gt;=Taches!$E$2:$E$60)+(($A91-Taches!$H$2:$H$60+1)&lt;Taches!$E$2:$E$60)*($A91-Taches!$H$2:$H$60+1)/Taches!$E$2:$E$60)*Taches!$G$2:$G$60),0)</f>
        <v>0</v>
      </c>
      <c r="G91" s="0" t="n">
        <f aca="false">ROUND(SUMPRODUCT((Taches!$B$2:$B$60="LOT-06")*($A91&gt;=Taches!$H$2:$H$60)*((($A91-Taches!$H$2:$H$60+1)&gt;=Taches!$E$2:$E$60)+(($A91-Taches!$H$2:$H$60+1)&lt;Taches!$E$2:$E$60)*($A91-Taches!$H$2:$H$60+1)/Taches!$E$2:$E$60)*Taches!$G$2:$G$60),0)</f>
        <v>0</v>
      </c>
      <c r="H91" s="0" t="n">
        <f aca="false">ROUND(SUMPRODUCT((Taches!$B$2:$B$60="LOT-07")*($A91&gt;=Taches!$H$2:$H$60)*((($A91-Taches!$H$2:$H$60+1)&gt;=Taches!$E$2:$E$60)+(($A91-Taches!$H$2:$H$60+1)&lt;Taches!$E$2:$E$60)*($A91-Taches!$H$2:$H$60+1)/Taches!$E$2:$E$60)*Taches!$G$2:$G$60),0)</f>
        <v>0</v>
      </c>
      <c r="I91" s="0" t="n">
        <f aca="false">ROUND(SUMPRODUCT((Taches!$B$2:$B$60="LOT-08")*($A91&gt;=Taches!$H$2:$H$60)*((($A91-Taches!$H$2:$H$60+1)&gt;=Taches!$E$2:$E$60)+(($A91-Taches!$H$2:$H$60+1)&lt;Taches!$E$2:$E$60)*($A91-Taches!$H$2:$H$60+1)/Taches!$E$2:$E$60)*Taches!$G$2:$G$60),0)</f>
        <v>0</v>
      </c>
      <c r="J91" s="0" t="n">
        <f aca="false">SUM(B91:I91)</f>
        <v>180204067</v>
      </c>
    </row>
    <row r="92" customFormat="false" ht="15" hidden="false" customHeight="false" outlineLevel="0" collapsed="false">
      <c r="A92" s="0" t="n">
        <v>90</v>
      </c>
      <c r="B92" s="0" t="n">
        <f aca="false">ROUND(SUMPRODUCT((Taches!$B$2:$B$60="LOT-01")*($A92&gt;=Taches!$H$2:$H$60)*((($A92-Taches!$H$2:$H$60+1)&gt;=Taches!$E$2:$E$60)+(($A92-Taches!$H$2:$H$60+1)&lt;Taches!$E$2:$E$60)*($A92-Taches!$H$2:$H$60+1)/Taches!$E$2:$E$60)*Taches!$G$2:$G$60),0)</f>
        <v>55890000</v>
      </c>
      <c r="C92" s="0" t="n">
        <f aca="false">ROUND(SUMPRODUCT((Taches!$B$2:$B$60="LOT-02")*($A92&gt;=Taches!$H$2:$H$60)*((($A92-Taches!$H$2:$H$60+1)&gt;=Taches!$E$2:$E$60)+(($A92-Taches!$H$2:$H$60+1)&lt;Taches!$E$2:$E$60)*($A92-Taches!$H$2:$H$60+1)/Taches!$E$2:$E$60)*Taches!$G$2:$G$60),0)</f>
        <v>44483400</v>
      </c>
      <c r="D92" s="0" t="n">
        <f aca="false">ROUND(SUMPRODUCT((Taches!$B$2:$B$60="LOT-03")*($A92&gt;=Taches!$H$2:$H$60)*((($A92-Taches!$H$2:$H$60+1)&gt;=Taches!$E$2:$E$60)+(($A92-Taches!$H$2:$H$60+1)&lt;Taches!$E$2:$E$60)*($A92-Taches!$H$2:$H$60+1)/Taches!$E$2:$E$60)*Taches!$G$2:$G$60),0)</f>
        <v>81263333</v>
      </c>
      <c r="E92" s="0" t="n">
        <f aca="false">ROUND(SUMPRODUCT((Taches!$B$2:$B$60="LOT-04")*($A92&gt;=Taches!$H$2:$H$60)*((($A92-Taches!$H$2:$H$60+1)&gt;=Taches!$E$2:$E$60)+(($A92-Taches!$H$2:$H$60+1)&lt;Taches!$E$2:$E$60)*($A92-Taches!$H$2:$H$60+1)/Taches!$E$2:$E$60)*Taches!$G$2:$G$60),0)</f>
        <v>0</v>
      </c>
      <c r="F92" s="0" t="n">
        <f aca="false">ROUND(SUMPRODUCT((Taches!$B$2:$B$60="LOT-05")*($A92&gt;=Taches!$H$2:$H$60)*((($A92-Taches!$H$2:$H$60+1)&gt;=Taches!$E$2:$E$60)+(($A92-Taches!$H$2:$H$60+1)&lt;Taches!$E$2:$E$60)*($A92-Taches!$H$2:$H$60+1)/Taches!$E$2:$E$60)*Taches!$G$2:$G$60),0)</f>
        <v>0</v>
      </c>
      <c r="G92" s="0" t="n">
        <f aca="false">ROUND(SUMPRODUCT((Taches!$B$2:$B$60="LOT-06")*($A92&gt;=Taches!$H$2:$H$60)*((($A92-Taches!$H$2:$H$60+1)&gt;=Taches!$E$2:$E$60)+(($A92-Taches!$H$2:$H$60+1)&lt;Taches!$E$2:$E$60)*($A92-Taches!$H$2:$H$60+1)/Taches!$E$2:$E$60)*Taches!$G$2:$G$60),0)</f>
        <v>0</v>
      </c>
      <c r="H92" s="0" t="n">
        <f aca="false">ROUND(SUMPRODUCT((Taches!$B$2:$B$60="LOT-07")*($A92&gt;=Taches!$H$2:$H$60)*((($A92-Taches!$H$2:$H$60+1)&gt;=Taches!$E$2:$E$60)+(($A92-Taches!$H$2:$H$60+1)&lt;Taches!$E$2:$E$60)*($A92-Taches!$H$2:$H$60+1)/Taches!$E$2:$E$60)*Taches!$G$2:$G$60),0)</f>
        <v>0</v>
      </c>
      <c r="I92" s="0" t="n">
        <f aca="false">ROUND(SUMPRODUCT((Taches!$B$2:$B$60="LOT-08")*($A92&gt;=Taches!$H$2:$H$60)*((($A92-Taches!$H$2:$H$60+1)&gt;=Taches!$E$2:$E$60)+(($A92-Taches!$H$2:$H$60+1)&lt;Taches!$E$2:$E$60)*($A92-Taches!$H$2:$H$60+1)/Taches!$E$2:$E$60)*Taches!$G$2:$G$60),0)</f>
        <v>0</v>
      </c>
      <c r="J92" s="0" t="n">
        <f aca="false">SUM(B92:I92)</f>
        <v>181636733</v>
      </c>
    </row>
    <row r="93" customFormat="false" ht="15" hidden="false" customHeight="false" outlineLevel="0" collapsed="false">
      <c r="A93" s="0" t="n">
        <v>91</v>
      </c>
      <c r="B93" s="0" t="n">
        <f aca="false">ROUND(SUMPRODUCT((Taches!$B$2:$B$60="LOT-01")*($A93&gt;=Taches!$H$2:$H$60)*((($A93-Taches!$H$2:$H$60+1)&gt;=Taches!$E$2:$E$60)+(($A93-Taches!$H$2:$H$60+1)&lt;Taches!$E$2:$E$60)*($A93-Taches!$H$2:$H$60+1)/Taches!$E$2:$E$60)*Taches!$G$2:$G$60),0)</f>
        <v>55890000</v>
      </c>
      <c r="C93" s="0" t="n">
        <f aca="false">ROUND(SUMPRODUCT((Taches!$B$2:$B$60="LOT-02")*($A93&gt;=Taches!$H$2:$H$60)*((($A93-Taches!$H$2:$H$60+1)&gt;=Taches!$E$2:$E$60)+(($A93-Taches!$H$2:$H$60+1)&lt;Taches!$E$2:$E$60)*($A93-Taches!$H$2:$H$60+1)/Taches!$E$2:$E$60)*Taches!$G$2:$G$60),0)</f>
        <v>44483400</v>
      </c>
      <c r="D93" s="0" t="n">
        <f aca="false">ROUND(SUMPRODUCT((Taches!$B$2:$B$60="LOT-03")*($A93&gt;=Taches!$H$2:$H$60)*((($A93-Taches!$H$2:$H$60+1)&gt;=Taches!$E$2:$E$60)+(($A93-Taches!$H$2:$H$60+1)&lt;Taches!$E$2:$E$60)*($A93-Taches!$H$2:$H$60+1)/Taches!$E$2:$E$60)*Taches!$G$2:$G$60),0)</f>
        <v>82696000</v>
      </c>
      <c r="E93" s="0" t="n">
        <f aca="false">ROUND(SUMPRODUCT((Taches!$B$2:$B$60="LOT-04")*($A93&gt;=Taches!$H$2:$H$60)*((($A93-Taches!$H$2:$H$60+1)&gt;=Taches!$E$2:$E$60)+(($A93-Taches!$H$2:$H$60+1)&lt;Taches!$E$2:$E$60)*($A93-Taches!$H$2:$H$60+1)/Taches!$E$2:$E$60)*Taches!$G$2:$G$60),0)</f>
        <v>0</v>
      </c>
      <c r="F93" s="0" t="n">
        <f aca="false">ROUND(SUMPRODUCT((Taches!$B$2:$B$60="LOT-05")*($A93&gt;=Taches!$H$2:$H$60)*((($A93-Taches!$H$2:$H$60+1)&gt;=Taches!$E$2:$E$60)+(($A93-Taches!$H$2:$H$60+1)&lt;Taches!$E$2:$E$60)*($A93-Taches!$H$2:$H$60+1)/Taches!$E$2:$E$60)*Taches!$G$2:$G$60),0)</f>
        <v>0</v>
      </c>
      <c r="G93" s="0" t="n">
        <f aca="false">ROUND(SUMPRODUCT((Taches!$B$2:$B$60="LOT-06")*($A93&gt;=Taches!$H$2:$H$60)*((($A93-Taches!$H$2:$H$60+1)&gt;=Taches!$E$2:$E$60)+(($A93-Taches!$H$2:$H$60+1)&lt;Taches!$E$2:$E$60)*($A93-Taches!$H$2:$H$60+1)/Taches!$E$2:$E$60)*Taches!$G$2:$G$60),0)</f>
        <v>0</v>
      </c>
      <c r="H93" s="0" t="n">
        <f aca="false">ROUND(SUMPRODUCT((Taches!$B$2:$B$60="LOT-07")*($A93&gt;=Taches!$H$2:$H$60)*((($A93-Taches!$H$2:$H$60+1)&gt;=Taches!$E$2:$E$60)+(($A93-Taches!$H$2:$H$60+1)&lt;Taches!$E$2:$E$60)*($A93-Taches!$H$2:$H$60+1)/Taches!$E$2:$E$60)*Taches!$G$2:$G$60),0)</f>
        <v>0</v>
      </c>
      <c r="I93" s="0" t="n">
        <f aca="false">ROUND(SUMPRODUCT((Taches!$B$2:$B$60="LOT-08")*($A93&gt;=Taches!$H$2:$H$60)*((($A93-Taches!$H$2:$H$60+1)&gt;=Taches!$E$2:$E$60)+(($A93-Taches!$H$2:$H$60+1)&lt;Taches!$E$2:$E$60)*($A93-Taches!$H$2:$H$60+1)/Taches!$E$2:$E$60)*Taches!$G$2:$G$60),0)</f>
        <v>0</v>
      </c>
      <c r="J93" s="0" t="n">
        <f aca="false">SUM(B93:I93)</f>
        <v>183069400</v>
      </c>
    </row>
    <row r="94" customFormat="false" ht="15" hidden="false" customHeight="false" outlineLevel="0" collapsed="false">
      <c r="A94" s="0" t="n">
        <v>92</v>
      </c>
      <c r="B94" s="0" t="n">
        <f aca="false">ROUND(SUMPRODUCT((Taches!$B$2:$B$60="LOT-01")*($A94&gt;=Taches!$H$2:$H$60)*((($A94-Taches!$H$2:$H$60+1)&gt;=Taches!$E$2:$E$60)+(($A94-Taches!$H$2:$H$60+1)&lt;Taches!$E$2:$E$60)*($A94-Taches!$H$2:$H$60+1)/Taches!$E$2:$E$60)*Taches!$G$2:$G$60),0)</f>
        <v>55890000</v>
      </c>
      <c r="C94" s="0" t="n">
        <f aca="false">ROUND(SUMPRODUCT((Taches!$B$2:$B$60="LOT-02")*($A94&gt;=Taches!$H$2:$H$60)*((($A94-Taches!$H$2:$H$60+1)&gt;=Taches!$E$2:$E$60)+(($A94-Taches!$H$2:$H$60+1)&lt;Taches!$E$2:$E$60)*($A94-Taches!$H$2:$H$60+1)/Taches!$E$2:$E$60)*Taches!$G$2:$G$60),0)</f>
        <v>44483400</v>
      </c>
      <c r="D94" s="0" t="n">
        <f aca="false">ROUND(SUMPRODUCT((Taches!$B$2:$B$60="LOT-03")*($A94&gt;=Taches!$H$2:$H$60)*((($A94-Taches!$H$2:$H$60+1)&gt;=Taches!$E$2:$E$60)+(($A94-Taches!$H$2:$H$60+1)&lt;Taches!$E$2:$E$60)*($A94-Taches!$H$2:$H$60+1)/Taches!$E$2:$E$60)*Taches!$G$2:$G$60),0)</f>
        <v>84128667</v>
      </c>
      <c r="E94" s="0" t="n">
        <f aca="false">ROUND(SUMPRODUCT((Taches!$B$2:$B$60="LOT-04")*($A94&gt;=Taches!$H$2:$H$60)*((($A94-Taches!$H$2:$H$60+1)&gt;=Taches!$E$2:$E$60)+(($A94-Taches!$H$2:$H$60+1)&lt;Taches!$E$2:$E$60)*($A94-Taches!$H$2:$H$60+1)/Taches!$E$2:$E$60)*Taches!$G$2:$G$60),0)</f>
        <v>0</v>
      </c>
      <c r="F94" s="0" t="n">
        <f aca="false">ROUND(SUMPRODUCT((Taches!$B$2:$B$60="LOT-05")*($A94&gt;=Taches!$H$2:$H$60)*((($A94-Taches!$H$2:$H$60+1)&gt;=Taches!$E$2:$E$60)+(($A94-Taches!$H$2:$H$60+1)&lt;Taches!$E$2:$E$60)*($A94-Taches!$H$2:$H$60+1)/Taches!$E$2:$E$60)*Taches!$G$2:$G$60),0)</f>
        <v>0</v>
      </c>
      <c r="G94" s="0" t="n">
        <f aca="false">ROUND(SUMPRODUCT((Taches!$B$2:$B$60="LOT-06")*($A94&gt;=Taches!$H$2:$H$60)*((($A94-Taches!$H$2:$H$60+1)&gt;=Taches!$E$2:$E$60)+(($A94-Taches!$H$2:$H$60+1)&lt;Taches!$E$2:$E$60)*($A94-Taches!$H$2:$H$60+1)/Taches!$E$2:$E$60)*Taches!$G$2:$G$60),0)</f>
        <v>0</v>
      </c>
      <c r="H94" s="0" t="n">
        <f aca="false">ROUND(SUMPRODUCT((Taches!$B$2:$B$60="LOT-07")*($A94&gt;=Taches!$H$2:$H$60)*((($A94-Taches!$H$2:$H$60+1)&gt;=Taches!$E$2:$E$60)+(($A94-Taches!$H$2:$H$60+1)&lt;Taches!$E$2:$E$60)*($A94-Taches!$H$2:$H$60+1)/Taches!$E$2:$E$60)*Taches!$G$2:$G$60),0)</f>
        <v>0</v>
      </c>
      <c r="I94" s="0" t="n">
        <f aca="false">ROUND(SUMPRODUCT((Taches!$B$2:$B$60="LOT-08")*($A94&gt;=Taches!$H$2:$H$60)*((($A94-Taches!$H$2:$H$60+1)&gt;=Taches!$E$2:$E$60)+(($A94-Taches!$H$2:$H$60+1)&lt;Taches!$E$2:$E$60)*($A94-Taches!$H$2:$H$60+1)/Taches!$E$2:$E$60)*Taches!$G$2:$G$60),0)</f>
        <v>0</v>
      </c>
      <c r="J94" s="0" t="n">
        <f aca="false">SUM(B94:I94)</f>
        <v>184502067</v>
      </c>
    </row>
    <row r="95" customFormat="false" ht="15" hidden="false" customHeight="false" outlineLevel="0" collapsed="false">
      <c r="A95" s="0" t="n">
        <v>93</v>
      </c>
      <c r="B95" s="0" t="n">
        <f aca="false">ROUND(SUMPRODUCT((Taches!$B$2:$B$60="LOT-01")*($A95&gt;=Taches!$H$2:$H$60)*((($A95-Taches!$H$2:$H$60+1)&gt;=Taches!$E$2:$E$60)+(($A95-Taches!$H$2:$H$60+1)&lt;Taches!$E$2:$E$60)*($A95-Taches!$H$2:$H$60+1)/Taches!$E$2:$E$60)*Taches!$G$2:$G$60),0)</f>
        <v>55890000</v>
      </c>
      <c r="C95" s="0" t="n">
        <f aca="false">ROUND(SUMPRODUCT((Taches!$B$2:$B$60="LOT-02")*($A95&gt;=Taches!$H$2:$H$60)*((($A95-Taches!$H$2:$H$60+1)&gt;=Taches!$E$2:$E$60)+(($A95-Taches!$H$2:$H$60+1)&lt;Taches!$E$2:$E$60)*($A95-Taches!$H$2:$H$60+1)/Taches!$E$2:$E$60)*Taches!$G$2:$G$60),0)</f>
        <v>44483400</v>
      </c>
      <c r="D95" s="0" t="n">
        <f aca="false">ROUND(SUMPRODUCT((Taches!$B$2:$B$60="LOT-03")*($A95&gt;=Taches!$H$2:$H$60)*((($A95-Taches!$H$2:$H$60+1)&gt;=Taches!$E$2:$E$60)+(($A95-Taches!$H$2:$H$60+1)&lt;Taches!$E$2:$E$60)*($A95-Taches!$H$2:$H$60+1)/Taches!$E$2:$E$60)*Taches!$G$2:$G$60),0)</f>
        <v>85561333</v>
      </c>
      <c r="E95" s="0" t="n">
        <f aca="false">ROUND(SUMPRODUCT((Taches!$B$2:$B$60="LOT-04")*($A95&gt;=Taches!$H$2:$H$60)*((($A95-Taches!$H$2:$H$60+1)&gt;=Taches!$E$2:$E$60)+(($A95-Taches!$H$2:$H$60+1)&lt;Taches!$E$2:$E$60)*($A95-Taches!$H$2:$H$60+1)/Taches!$E$2:$E$60)*Taches!$G$2:$G$60),0)</f>
        <v>0</v>
      </c>
      <c r="F95" s="0" t="n">
        <f aca="false">ROUND(SUMPRODUCT((Taches!$B$2:$B$60="LOT-05")*($A95&gt;=Taches!$H$2:$H$60)*((($A95-Taches!$H$2:$H$60+1)&gt;=Taches!$E$2:$E$60)+(($A95-Taches!$H$2:$H$60+1)&lt;Taches!$E$2:$E$60)*($A95-Taches!$H$2:$H$60+1)/Taches!$E$2:$E$60)*Taches!$G$2:$G$60),0)</f>
        <v>0</v>
      </c>
      <c r="G95" s="0" t="n">
        <f aca="false">ROUND(SUMPRODUCT((Taches!$B$2:$B$60="LOT-06")*($A95&gt;=Taches!$H$2:$H$60)*((($A95-Taches!$H$2:$H$60+1)&gt;=Taches!$E$2:$E$60)+(($A95-Taches!$H$2:$H$60+1)&lt;Taches!$E$2:$E$60)*($A95-Taches!$H$2:$H$60+1)/Taches!$E$2:$E$60)*Taches!$G$2:$G$60),0)</f>
        <v>0</v>
      </c>
      <c r="H95" s="0" t="n">
        <f aca="false">ROUND(SUMPRODUCT((Taches!$B$2:$B$60="LOT-07")*($A95&gt;=Taches!$H$2:$H$60)*((($A95-Taches!$H$2:$H$60+1)&gt;=Taches!$E$2:$E$60)+(($A95-Taches!$H$2:$H$60+1)&lt;Taches!$E$2:$E$60)*($A95-Taches!$H$2:$H$60+1)/Taches!$E$2:$E$60)*Taches!$G$2:$G$60),0)</f>
        <v>0</v>
      </c>
      <c r="I95" s="0" t="n">
        <f aca="false">ROUND(SUMPRODUCT((Taches!$B$2:$B$60="LOT-08")*($A95&gt;=Taches!$H$2:$H$60)*((($A95-Taches!$H$2:$H$60+1)&gt;=Taches!$E$2:$E$60)+(($A95-Taches!$H$2:$H$60+1)&lt;Taches!$E$2:$E$60)*($A95-Taches!$H$2:$H$60+1)/Taches!$E$2:$E$60)*Taches!$G$2:$G$60),0)</f>
        <v>0</v>
      </c>
      <c r="J95" s="0" t="n">
        <f aca="false">SUM(B95:I95)</f>
        <v>185934733</v>
      </c>
    </row>
    <row r="96" customFormat="false" ht="15" hidden="false" customHeight="false" outlineLevel="0" collapsed="false">
      <c r="A96" s="0" t="n">
        <v>94</v>
      </c>
      <c r="B96" s="0" t="n">
        <f aca="false">ROUND(SUMPRODUCT((Taches!$B$2:$B$60="LOT-01")*($A96&gt;=Taches!$H$2:$H$60)*((($A96-Taches!$H$2:$H$60+1)&gt;=Taches!$E$2:$E$60)+(($A96-Taches!$H$2:$H$60+1)&lt;Taches!$E$2:$E$60)*($A96-Taches!$H$2:$H$60+1)/Taches!$E$2:$E$60)*Taches!$G$2:$G$60),0)</f>
        <v>55890000</v>
      </c>
      <c r="C96" s="0" t="n">
        <f aca="false">ROUND(SUMPRODUCT((Taches!$B$2:$B$60="LOT-02")*($A96&gt;=Taches!$H$2:$H$60)*((($A96-Taches!$H$2:$H$60+1)&gt;=Taches!$E$2:$E$60)+(($A96-Taches!$H$2:$H$60+1)&lt;Taches!$E$2:$E$60)*($A96-Taches!$H$2:$H$60+1)/Taches!$E$2:$E$60)*Taches!$G$2:$G$60),0)</f>
        <v>44483400</v>
      </c>
      <c r="D96" s="0" t="n">
        <f aca="false">ROUND(SUMPRODUCT((Taches!$B$2:$B$60="LOT-03")*($A96&gt;=Taches!$H$2:$H$60)*((($A96-Taches!$H$2:$H$60+1)&gt;=Taches!$E$2:$E$60)+(($A96-Taches!$H$2:$H$60+1)&lt;Taches!$E$2:$E$60)*($A96-Taches!$H$2:$H$60+1)/Taches!$E$2:$E$60)*Taches!$G$2:$G$60),0)</f>
        <v>86994000</v>
      </c>
      <c r="E96" s="0" t="n">
        <f aca="false">ROUND(SUMPRODUCT((Taches!$B$2:$B$60="LOT-04")*($A96&gt;=Taches!$H$2:$H$60)*((($A96-Taches!$H$2:$H$60+1)&gt;=Taches!$E$2:$E$60)+(($A96-Taches!$H$2:$H$60+1)&lt;Taches!$E$2:$E$60)*($A96-Taches!$H$2:$H$60+1)/Taches!$E$2:$E$60)*Taches!$G$2:$G$60),0)</f>
        <v>0</v>
      </c>
      <c r="F96" s="0" t="n">
        <f aca="false">ROUND(SUMPRODUCT((Taches!$B$2:$B$60="LOT-05")*($A96&gt;=Taches!$H$2:$H$60)*((($A96-Taches!$H$2:$H$60+1)&gt;=Taches!$E$2:$E$60)+(($A96-Taches!$H$2:$H$60+1)&lt;Taches!$E$2:$E$60)*($A96-Taches!$H$2:$H$60+1)/Taches!$E$2:$E$60)*Taches!$G$2:$G$60),0)</f>
        <v>0</v>
      </c>
      <c r="G96" s="0" t="n">
        <f aca="false">ROUND(SUMPRODUCT((Taches!$B$2:$B$60="LOT-06")*($A96&gt;=Taches!$H$2:$H$60)*((($A96-Taches!$H$2:$H$60+1)&gt;=Taches!$E$2:$E$60)+(($A96-Taches!$H$2:$H$60+1)&lt;Taches!$E$2:$E$60)*($A96-Taches!$H$2:$H$60+1)/Taches!$E$2:$E$60)*Taches!$G$2:$G$60),0)</f>
        <v>0</v>
      </c>
      <c r="H96" s="0" t="n">
        <f aca="false">ROUND(SUMPRODUCT((Taches!$B$2:$B$60="LOT-07")*($A96&gt;=Taches!$H$2:$H$60)*((($A96-Taches!$H$2:$H$60+1)&gt;=Taches!$E$2:$E$60)+(($A96-Taches!$H$2:$H$60+1)&lt;Taches!$E$2:$E$60)*($A96-Taches!$H$2:$H$60+1)/Taches!$E$2:$E$60)*Taches!$G$2:$G$60),0)</f>
        <v>0</v>
      </c>
      <c r="I96" s="0" t="n">
        <f aca="false">ROUND(SUMPRODUCT((Taches!$B$2:$B$60="LOT-08")*($A96&gt;=Taches!$H$2:$H$60)*((($A96-Taches!$H$2:$H$60+1)&gt;=Taches!$E$2:$E$60)+(($A96-Taches!$H$2:$H$60+1)&lt;Taches!$E$2:$E$60)*($A96-Taches!$H$2:$H$60+1)/Taches!$E$2:$E$60)*Taches!$G$2:$G$60),0)</f>
        <v>0</v>
      </c>
      <c r="J96" s="0" t="n">
        <f aca="false">SUM(B96:I96)</f>
        <v>187367400</v>
      </c>
    </row>
    <row r="97" customFormat="false" ht="15" hidden="false" customHeight="false" outlineLevel="0" collapsed="false">
      <c r="A97" s="0" t="n">
        <v>95</v>
      </c>
      <c r="B97" s="0" t="n">
        <f aca="false">ROUND(SUMPRODUCT((Taches!$B$2:$B$60="LOT-01")*($A97&gt;=Taches!$H$2:$H$60)*((($A97-Taches!$H$2:$H$60+1)&gt;=Taches!$E$2:$E$60)+(($A97-Taches!$H$2:$H$60+1)&lt;Taches!$E$2:$E$60)*($A97-Taches!$H$2:$H$60+1)/Taches!$E$2:$E$60)*Taches!$G$2:$G$60),0)</f>
        <v>55890000</v>
      </c>
      <c r="C97" s="0" t="n">
        <f aca="false">ROUND(SUMPRODUCT((Taches!$B$2:$B$60="LOT-02")*($A97&gt;=Taches!$H$2:$H$60)*((($A97-Taches!$H$2:$H$60+1)&gt;=Taches!$E$2:$E$60)+(($A97-Taches!$H$2:$H$60+1)&lt;Taches!$E$2:$E$60)*($A97-Taches!$H$2:$H$60+1)/Taches!$E$2:$E$60)*Taches!$G$2:$G$60),0)</f>
        <v>44483400</v>
      </c>
      <c r="D97" s="0" t="n">
        <f aca="false">ROUND(SUMPRODUCT((Taches!$B$2:$B$60="LOT-03")*($A97&gt;=Taches!$H$2:$H$60)*((($A97-Taches!$H$2:$H$60+1)&gt;=Taches!$E$2:$E$60)+(($A97-Taches!$H$2:$H$60+1)&lt;Taches!$E$2:$E$60)*($A97-Taches!$H$2:$H$60+1)/Taches!$E$2:$E$60)*Taches!$G$2:$G$60),0)</f>
        <v>88426667</v>
      </c>
      <c r="E97" s="0" t="n">
        <f aca="false">ROUND(SUMPRODUCT((Taches!$B$2:$B$60="LOT-04")*($A97&gt;=Taches!$H$2:$H$60)*((($A97-Taches!$H$2:$H$60+1)&gt;=Taches!$E$2:$E$60)+(($A97-Taches!$H$2:$H$60+1)&lt;Taches!$E$2:$E$60)*($A97-Taches!$H$2:$H$60+1)/Taches!$E$2:$E$60)*Taches!$G$2:$G$60),0)</f>
        <v>0</v>
      </c>
      <c r="F97" s="0" t="n">
        <f aca="false">ROUND(SUMPRODUCT((Taches!$B$2:$B$60="LOT-05")*($A97&gt;=Taches!$H$2:$H$60)*((($A97-Taches!$H$2:$H$60+1)&gt;=Taches!$E$2:$E$60)+(($A97-Taches!$H$2:$H$60+1)&lt;Taches!$E$2:$E$60)*($A97-Taches!$H$2:$H$60+1)/Taches!$E$2:$E$60)*Taches!$G$2:$G$60),0)</f>
        <v>0</v>
      </c>
      <c r="G97" s="0" t="n">
        <f aca="false">ROUND(SUMPRODUCT((Taches!$B$2:$B$60="LOT-06")*($A97&gt;=Taches!$H$2:$H$60)*((($A97-Taches!$H$2:$H$60+1)&gt;=Taches!$E$2:$E$60)+(($A97-Taches!$H$2:$H$60+1)&lt;Taches!$E$2:$E$60)*($A97-Taches!$H$2:$H$60+1)/Taches!$E$2:$E$60)*Taches!$G$2:$G$60),0)</f>
        <v>0</v>
      </c>
      <c r="H97" s="0" t="n">
        <f aca="false">ROUND(SUMPRODUCT((Taches!$B$2:$B$60="LOT-07")*($A97&gt;=Taches!$H$2:$H$60)*((($A97-Taches!$H$2:$H$60+1)&gt;=Taches!$E$2:$E$60)+(($A97-Taches!$H$2:$H$60+1)&lt;Taches!$E$2:$E$60)*($A97-Taches!$H$2:$H$60+1)/Taches!$E$2:$E$60)*Taches!$G$2:$G$60),0)</f>
        <v>0</v>
      </c>
      <c r="I97" s="0" t="n">
        <f aca="false">ROUND(SUMPRODUCT((Taches!$B$2:$B$60="LOT-08")*($A97&gt;=Taches!$H$2:$H$60)*((($A97-Taches!$H$2:$H$60+1)&gt;=Taches!$E$2:$E$60)+(($A97-Taches!$H$2:$H$60+1)&lt;Taches!$E$2:$E$60)*($A97-Taches!$H$2:$H$60+1)/Taches!$E$2:$E$60)*Taches!$G$2:$G$60),0)</f>
        <v>0</v>
      </c>
      <c r="J97" s="0" t="n">
        <f aca="false">SUM(B97:I97)</f>
        <v>188800067</v>
      </c>
    </row>
    <row r="98" customFormat="false" ht="15" hidden="false" customHeight="false" outlineLevel="0" collapsed="false">
      <c r="A98" s="0" t="n">
        <v>96</v>
      </c>
      <c r="B98" s="0" t="n">
        <f aca="false">ROUND(SUMPRODUCT((Taches!$B$2:$B$60="LOT-01")*($A98&gt;=Taches!$H$2:$H$60)*((($A98-Taches!$H$2:$H$60+1)&gt;=Taches!$E$2:$E$60)+(($A98-Taches!$H$2:$H$60+1)&lt;Taches!$E$2:$E$60)*($A98-Taches!$H$2:$H$60+1)/Taches!$E$2:$E$60)*Taches!$G$2:$G$60),0)</f>
        <v>55890000</v>
      </c>
      <c r="C98" s="0" t="n">
        <f aca="false">ROUND(SUMPRODUCT((Taches!$B$2:$B$60="LOT-02")*($A98&gt;=Taches!$H$2:$H$60)*((($A98-Taches!$H$2:$H$60+1)&gt;=Taches!$E$2:$E$60)+(($A98-Taches!$H$2:$H$60+1)&lt;Taches!$E$2:$E$60)*($A98-Taches!$H$2:$H$60+1)/Taches!$E$2:$E$60)*Taches!$G$2:$G$60),0)</f>
        <v>44483400</v>
      </c>
      <c r="D98" s="0" t="n">
        <f aca="false">ROUND(SUMPRODUCT((Taches!$B$2:$B$60="LOT-03")*($A98&gt;=Taches!$H$2:$H$60)*((($A98-Taches!$H$2:$H$60+1)&gt;=Taches!$E$2:$E$60)+(($A98-Taches!$H$2:$H$60+1)&lt;Taches!$E$2:$E$60)*($A98-Taches!$H$2:$H$60+1)/Taches!$E$2:$E$60)*Taches!$G$2:$G$60),0)</f>
        <v>89859333</v>
      </c>
      <c r="E98" s="0" t="n">
        <f aca="false">ROUND(SUMPRODUCT((Taches!$B$2:$B$60="LOT-04")*($A98&gt;=Taches!$H$2:$H$60)*((($A98-Taches!$H$2:$H$60+1)&gt;=Taches!$E$2:$E$60)+(($A98-Taches!$H$2:$H$60+1)&lt;Taches!$E$2:$E$60)*($A98-Taches!$H$2:$H$60+1)/Taches!$E$2:$E$60)*Taches!$G$2:$G$60),0)</f>
        <v>0</v>
      </c>
      <c r="F98" s="0" t="n">
        <f aca="false">ROUND(SUMPRODUCT((Taches!$B$2:$B$60="LOT-05")*($A98&gt;=Taches!$H$2:$H$60)*((($A98-Taches!$H$2:$H$60+1)&gt;=Taches!$E$2:$E$60)+(($A98-Taches!$H$2:$H$60+1)&lt;Taches!$E$2:$E$60)*($A98-Taches!$H$2:$H$60+1)/Taches!$E$2:$E$60)*Taches!$G$2:$G$60),0)</f>
        <v>0</v>
      </c>
      <c r="G98" s="0" t="n">
        <f aca="false">ROUND(SUMPRODUCT((Taches!$B$2:$B$60="LOT-06")*($A98&gt;=Taches!$H$2:$H$60)*((($A98-Taches!$H$2:$H$60+1)&gt;=Taches!$E$2:$E$60)+(($A98-Taches!$H$2:$H$60+1)&lt;Taches!$E$2:$E$60)*($A98-Taches!$H$2:$H$60+1)/Taches!$E$2:$E$60)*Taches!$G$2:$G$60),0)</f>
        <v>0</v>
      </c>
      <c r="H98" s="0" t="n">
        <f aca="false">ROUND(SUMPRODUCT((Taches!$B$2:$B$60="LOT-07")*($A98&gt;=Taches!$H$2:$H$60)*((($A98-Taches!$H$2:$H$60+1)&gt;=Taches!$E$2:$E$60)+(($A98-Taches!$H$2:$H$60+1)&lt;Taches!$E$2:$E$60)*($A98-Taches!$H$2:$H$60+1)/Taches!$E$2:$E$60)*Taches!$G$2:$G$60),0)</f>
        <v>0</v>
      </c>
      <c r="I98" s="0" t="n">
        <f aca="false">ROUND(SUMPRODUCT((Taches!$B$2:$B$60="LOT-08")*($A98&gt;=Taches!$H$2:$H$60)*((($A98-Taches!$H$2:$H$60+1)&gt;=Taches!$E$2:$E$60)+(($A98-Taches!$H$2:$H$60+1)&lt;Taches!$E$2:$E$60)*($A98-Taches!$H$2:$H$60+1)/Taches!$E$2:$E$60)*Taches!$G$2:$G$60),0)</f>
        <v>0</v>
      </c>
      <c r="J98" s="0" t="n">
        <f aca="false">SUM(B98:I98)</f>
        <v>190232733</v>
      </c>
    </row>
    <row r="99" customFormat="false" ht="15" hidden="false" customHeight="false" outlineLevel="0" collapsed="false">
      <c r="A99" s="0" t="n">
        <v>97</v>
      </c>
      <c r="B99" s="0" t="n">
        <f aca="false">ROUND(SUMPRODUCT((Taches!$B$2:$B$60="LOT-01")*($A99&gt;=Taches!$H$2:$H$60)*((($A99-Taches!$H$2:$H$60+1)&gt;=Taches!$E$2:$E$60)+(($A99-Taches!$H$2:$H$60+1)&lt;Taches!$E$2:$E$60)*($A99-Taches!$H$2:$H$60+1)/Taches!$E$2:$E$60)*Taches!$G$2:$G$60),0)</f>
        <v>55890000</v>
      </c>
      <c r="C99" s="0" t="n">
        <f aca="false">ROUND(SUMPRODUCT((Taches!$B$2:$B$60="LOT-02")*($A99&gt;=Taches!$H$2:$H$60)*((($A99-Taches!$H$2:$H$60+1)&gt;=Taches!$E$2:$E$60)+(($A99-Taches!$H$2:$H$60+1)&lt;Taches!$E$2:$E$60)*($A99-Taches!$H$2:$H$60+1)/Taches!$E$2:$E$60)*Taches!$G$2:$G$60),0)</f>
        <v>44483400</v>
      </c>
      <c r="D99" s="0" t="n">
        <f aca="false">ROUND(SUMPRODUCT((Taches!$B$2:$B$60="LOT-03")*($A99&gt;=Taches!$H$2:$H$60)*((($A99-Taches!$H$2:$H$60+1)&gt;=Taches!$E$2:$E$60)+(($A99-Taches!$H$2:$H$60+1)&lt;Taches!$E$2:$E$60)*($A99-Taches!$H$2:$H$60+1)/Taches!$E$2:$E$60)*Taches!$G$2:$G$60),0)</f>
        <v>91292000</v>
      </c>
      <c r="E99" s="0" t="n">
        <f aca="false">ROUND(SUMPRODUCT((Taches!$B$2:$B$60="LOT-04")*($A99&gt;=Taches!$H$2:$H$60)*((($A99-Taches!$H$2:$H$60+1)&gt;=Taches!$E$2:$E$60)+(($A99-Taches!$H$2:$H$60+1)&lt;Taches!$E$2:$E$60)*($A99-Taches!$H$2:$H$60+1)/Taches!$E$2:$E$60)*Taches!$G$2:$G$60),0)</f>
        <v>0</v>
      </c>
      <c r="F99" s="0" t="n">
        <f aca="false">ROUND(SUMPRODUCT((Taches!$B$2:$B$60="LOT-05")*($A99&gt;=Taches!$H$2:$H$60)*((($A99-Taches!$H$2:$H$60+1)&gt;=Taches!$E$2:$E$60)+(($A99-Taches!$H$2:$H$60+1)&lt;Taches!$E$2:$E$60)*($A99-Taches!$H$2:$H$60+1)/Taches!$E$2:$E$60)*Taches!$G$2:$G$60),0)</f>
        <v>0</v>
      </c>
      <c r="G99" s="0" t="n">
        <f aca="false">ROUND(SUMPRODUCT((Taches!$B$2:$B$60="LOT-06")*($A99&gt;=Taches!$H$2:$H$60)*((($A99-Taches!$H$2:$H$60+1)&gt;=Taches!$E$2:$E$60)+(($A99-Taches!$H$2:$H$60+1)&lt;Taches!$E$2:$E$60)*($A99-Taches!$H$2:$H$60+1)/Taches!$E$2:$E$60)*Taches!$G$2:$G$60),0)</f>
        <v>0</v>
      </c>
      <c r="H99" s="0" t="n">
        <f aca="false">ROUND(SUMPRODUCT((Taches!$B$2:$B$60="LOT-07")*($A99&gt;=Taches!$H$2:$H$60)*((($A99-Taches!$H$2:$H$60+1)&gt;=Taches!$E$2:$E$60)+(($A99-Taches!$H$2:$H$60+1)&lt;Taches!$E$2:$E$60)*($A99-Taches!$H$2:$H$60+1)/Taches!$E$2:$E$60)*Taches!$G$2:$G$60),0)</f>
        <v>0</v>
      </c>
      <c r="I99" s="0" t="n">
        <f aca="false">ROUND(SUMPRODUCT((Taches!$B$2:$B$60="LOT-08")*($A99&gt;=Taches!$H$2:$H$60)*((($A99-Taches!$H$2:$H$60+1)&gt;=Taches!$E$2:$E$60)+(($A99-Taches!$H$2:$H$60+1)&lt;Taches!$E$2:$E$60)*($A99-Taches!$H$2:$H$60+1)/Taches!$E$2:$E$60)*Taches!$G$2:$G$60),0)</f>
        <v>0</v>
      </c>
      <c r="J99" s="0" t="n">
        <f aca="false">SUM(B99:I99)</f>
        <v>191665400</v>
      </c>
    </row>
    <row r="100" customFormat="false" ht="15" hidden="false" customHeight="false" outlineLevel="0" collapsed="false">
      <c r="A100" s="0" t="n">
        <v>98</v>
      </c>
      <c r="B100" s="0" t="n">
        <f aca="false">ROUND(SUMPRODUCT((Taches!$B$2:$B$60="LOT-01")*($A100&gt;=Taches!$H$2:$H$60)*((($A100-Taches!$H$2:$H$60+1)&gt;=Taches!$E$2:$E$60)+(($A100-Taches!$H$2:$H$60+1)&lt;Taches!$E$2:$E$60)*($A100-Taches!$H$2:$H$60+1)/Taches!$E$2:$E$60)*Taches!$G$2:$G$60),0)</f>
        <v>55890000</v>
      </c>
      <c r="C100" s="0" t="n">
        <f aca="false">ROUND(SUMPRODUCT((Taches!$B$2:$B$60="LOT-02")*($A100&gt;=Taches!$H$2:$H$60)*((($A100-Taches!$H$2:$H$60+1)&gt;=Taches!$E$2:$E$60)+(($A100-Taches!$H$2:$H$60+1)&lt;Taches!$E$2:$E$60)*($A100-Taches!$H$2:$H$60+1)/Taches!$E$2:$E$60)*Taches!$G$2:$G$60),0)</f>
        <v>45448400</v>
      </c>
      <c r="D100" s="0" t="n">
        <f aca="false">ROUND(SUMPRODUCT((Taches!$B$2:$B$60="LOT-03")*($A100&gt;=Taches!$H$2:$H$60)*((($A100-Taches!$H$2:$H$60+1)&gt;=Taches!$E$2:$E$60)+(($A100-Taches!$H$2:$H$60+1)&lt;Taches!$E$2:$E$60)*($A100-Taches!$H$2:$H$60+1)/Taches!$E$2:$E$60)*Taches!$G$2:$G$60),0)</f>
        <v>91292000</v>
      </c>
      <c r="E100" s="0" t="n">
        <f aca="false">ROUND(SUMPRODUCT((Taches!$B$2:$B$60="LOT-04")*($A100&gt;=Taches!$H$2:$H$60)*((($A100-Taches!$H$2:$H$60+1)&gt;=Taches!$E$2:$E$60)+(($A100-Taches!$H$2:$H$60+1)&lt;Taches!$E$2:$E$60)*($A100-Taches!$H$2:$H$60+1)/Taches!$E$2:$E$60)*Taches!$G$2:$G$60),0)</f>
        <v>1195667</v>
      </c>
      <c r="F100" s="0" t="n">
        <f aca="false">ROUND(SUMPRODUCT((Taches!$B$2:$B$60="LOT-05")*($A100&gt;=Taches!$H$2:$H$60)*((($A100-Taches!$H$2:$H$60+1)&gt;=Taches!$E$2:$E$60)+(($A100-Taches!$H$2:$H$60+1)&lt;Taches!$E$2:$E$60)*($A100-Taches!$H$2:$H$60+1)/Taches!$E$2:$E$60)*Taches!$G$2:$G$60),0)</f>
        <v>0</v>
      </c>
      <c r="G100" s="0" t="n">
        <f aca="false">ROUND(SUMPRODUCT((Taches!$B$2:$B$60="LOT-06")*($A100&gt;=Taches!$H$2:$H$60)*((($A100-Taches!$H$2:$H$60+1)&gt;=Taches!$E$2:$E$60)+(($A100-Taches!$H$2:$H$60+1)&lt;Taches!$E$2:$E$60)*($A100-Taches!$H$2:$H$60+1)/Taches!$E$2:$E$60)*Taches!$G$2:$G$60),0)</f>
        <v>0</v>
      </c>
      <c r="H100" s="0" t="n">
        <f aca="false">ROUND(SUMPRODUCT((Taches!$B$2:$B$60="LOT-07")*($A100&gt;=Taches!$H$2:$H$60)*((($A100-Taches!$H$2:$H$60+1)&gt;=Taches!$E$2:$E$60)+(($A100-Taches!$H$2:$H$60+1)&lt;Taches!$E$2:$E$60)*($A100-Taches!$H$2:$H$60+1)/Taches!$E$2:$E$60)*Taches!$G$2:$G$60),0)</f>
        <v>0</v>
      </c>
      <c r="I100" s="0" t="n">
        <f aca="false">ROUND(SUMPRODUCT((Taches!$B$2:$B$60="LOT-08")*($A100&gt;=Taches!$H$2:$H$60)*((($A100-Taches!$H$2:$H$60+1)&gt;=Taches!$E$2:$E$60)+(($A100-Taches!$H$2:$H$60+1)&lt;Taches!$E$2:$E$60)*($A100-Taches!$H$2:$H$60+1)/Taches!$E$2:$E$60)*Taches!$G$2:$G$60),0)</f>
        <v>0</v>
      </c>
      <c r="J100" s="0" t="n">
        <f aca="false">SUM(B100:I100)</f>
        <v>193826067</v>
      </c>
    </row>
    <row r="101" customFormat="false" ht="15" hidden="false" customHeight="false" outlineLevel="0" collapsed="false">
      <c r="A101" s="0" t="n">
        <v>99</v>
      </c>
      <c r="B101" s="0" t="n">
        <f aca="false">ROUND(SUMPRODUCT((Taches!$B$2:$B$60="LOT-01")*($A101&gt;=Taches!$H$2:$H$60)*((($A101-Taches!$H$2:$H$60+1)&gt;=Taches!$E$2:$E$60)+(($A101-Taches!$H$2:$H$60+1)&lt;Taches!$E$2:$E$60)*($A101-Taches!$H$2:$H$60+1)/Taches!$E$2:$E$60)*Taches!$G$2:$G$60),0)</f>
        <v>55890000</v>
      </c>
      <c r="C101" s="0" t="n">
        <f aca="false">ROUND(SUMPRODUCT((Taches!$B$2:$B$60="LOT-02")*($A101&gt;=Taches!$H$2:$H$60)*((($A101-Taches!$H$2:$H$60+1)&gt;=Taches!$E$2:$E$60)+(($A101-Taches!$H$2:$H$60+1)&lt;Taches!$E$2:$E$60)*($A101-Taches!$H$2:$H$60+1)/Taches!$E$2:$E$60)*Taches!$G$2:$G$60),0)</f>
        <v>46413400</v>
      </c>
      <c r="D101" s="0" t="n">
        <f aca="false">ROUND(SUMPRODUCT((Taches!$B$2:$B$60="LOT-03")*($A101&gt;=Taches!$H$2:$H$60)*((($A101-Taches!$H$2:$H$60+1)&gt;=Taches!$E$2:$E$60)+(($A101-Taches!$H$2:$H$60+1)&lt;Taches!$E$2:$E$60)*($A101-Taches!$H$2:$H$60+1)/Taches!$E$2:$E$60)*Taches!$G$2:$G$60),0)</f>
        <v>91292000</v>
      </c>
      <c r="E101" s="0" t="n">
        <f aca="false">ROUND(SUMPRODUCT((Taches!$B$2:$B$60="LOT-04")*($A101&gt;=Taches!$H$2:$H$60)*((($A101-Taches!$H$2:$H$60+1)&gt;=Taches!$E$2:$E$60)+(($A101-Taches!$H$2:$H$60+1)&lt;Taches!$E$2:$E$60)*($A101-Taches!$H$2:$H$60+1)/Taches!$E$2:$E$60)*Taches!$G$2:$G$60),0)</f>
        <v>2391333</v>
      </c>
      <c r="F101" s="0" t="n">
        <f aca="false">ROUND(SUMPRODUCT((Taches!$B$2:$B$60="LOT-05")*($A101&gt;=Taches!$H$2:$H$60)*((($A101-Taches!$H$2:$H$60+1)&gt;=Taches!$E$2:$E$60)+(($A101-Taches!$H$2:$H$60+1)&lt;Taches!$E$2:$E$60)*($A101-Taches!$H$2:$H$60+1)/Taches!$E$2:$E$60)*Taches!$G$2:$G$60),0)</f>
        <v>0</v>
      </c>
      <c r="G101" s="0" t="n">
        <f aca="false">ROUND(SUMPRODUCT((Taches!$B$2:$B$60="LOT-06")*($A101&gt;=Taches!$H$2:$H$60)*((($A101-Taches!$H$2:$H$60+1)&gt;=Taches!$E$2:$E$60)+(($A101-Taches!$H$2:$H$60+1)&lt;Taches!$E$2:$E$60)*($A101-Taches!$H$2:$H$60+1)/Taches!$E$2:$E$60)*Taches!$G$2:$G$60),0)</f>
        <v>0</v>
      </c>
      <c r="H101" s="0" t="n">
        <f aca="false">ROUND(SUMPRODUCT((Taches!$B$2:$B$60="LOT-07")*($A101&gt;=Taches!$H$2:$H$60)*((($A101-Taches!$H$2:$H$60+1)&gt;=Taches!$E$2:$E$60)+(($A101-Taches!$H$2:$H$60+1)&lt;Taches!$E$2:$E$60)*($A101-Taches!$H$2:$H$60+1)/Taches!$E$2:$E$60)*Taches!$G$2:$G$60),0)</f>
        <v>0</v>
      </c>
      <c r="I101" s="0" t="n">
        <f aca="false">ROUND(SUMPRODUCT((Taches!$B$2:$B$60="LOT-08")*($A101&gt;=Taches!$H$2:$H$60)*((($A101-Taches!$H$2:$H$60+1)&gt;=Taches!$E$2:$E$60)+(($A101-Taches!$H$2:$H$60+1)&lt;Taches!$E$2:$E$60)*($A101-Taches!$H$2:$H$60+1)/Taches!$E$2:$E$60)*Taches!$G$2:$G$60),0)</f>
        <v>0</v>
      </c>
      <c r="J101" s="0" t="n">
        <f aca="false">SUM(B101:I101)</f>
        <v>195986733</v>
      </c>
    </row>
    <row r="102" customFormat="false" ht="15" hidden="false" customHeight="false" outlineLevel="0" collapsed="false">
      <c r="A102" s="0" t="n">
        <v>100</v>
      </c>
      <c r="B102" s="0" t="n">
        <f aca="false">ROUND(SUMPRODUCT((Taches!$B$2:$B$60="LOT-01")*($A102&gt;=Taches!$H$2:$H$60)*((($A102-Taches!$H$2:$H$60+1)&gt;=Taches!$E$2:$E$60)+(($A102-Taches!$H$2:$H$60+1)&lt;Taches!$E$2:$E$60)*($A102-Taches!$H$2:$H$60+1)/Taches!$E$2:$E$60)*Taches!$G$2:$G$60),0)</f>
        <v>55890000</v>
      </c>
      <c r="C102" s="0" t="n">
        <f aca="false">ROUND(SUMPRODUCT((Taches!$B$2:$B$60="LOT-02")*($A102&gt;=Taches!$H$2:$H$60)*((($A102-Taches!$H$2:$H$60+1)&gt;=Taches!$E$2:$E$60)+(($A102-Taches!$H$2:$H$60+1)&lt;Taches!$E$2:$E$60)*($A102-Taches!$H$2:$H$60+1)/Taches!$E$2:$E$60)*Taches!$G$2:$G$60),0)</f>
        <v>47378400</v>
      </c>
      <c r="D102" s="0" t="n">
        <f aca="false">ROUND(SUMPRODUCT((Taches!$B$2:$B$60="LOT-03")*($A102&gt;=Taches!$H$2:$H$60)*((($A102-Taches!$H$2:$H$60+1)&gt;=Taches!$E$2:$E$60)+(($A102-Taches!$H$2:$H$60+1)&lt;Taches!$E$2:$E$60)*($A102-Taches!$H$2:$H$60+1)/Taches!$E$2:$E$60)*Taches!$G$2:$G$60),0)</f>
        <v>91292000</v>
      </c>
      <c r="E102" s="0" t="n">
        <f aca="false">ROUND(SUMPRODUCT((Taches!$B$2:$B$60="LOT-04")*($A102&gt;=Taches!$H$2:$H$60)*((($A102-Taches!$H$2:$H$60+1)&gt;=Taches!$E$2:$E$60)+(($A102-Taches!$H$2:$H$60+1)&lt;Taches!$E$2:$E$60)*($A102-Taches!$H$2:$H$60+1)/Taches!$E$2:$E$60)*Taches!$G$2:$G$60),0)</f>
        <v>3587000</v>
      </c>
      <c r="F102" s="0" t="n">
        <f aca="false">ROUND(SUMPRODUCT((Taches!$B$2:$B$60="LOT-05")*($A102&gt;=Taches!$H$2:$H$60)*((($A102-Taches!$H$2:$H$60+1)&gt;=Taches!$E$2:$E$60)+(($A102-Taches!$H$2:$H$60+1)&lt;Taches!$E$2:$E$60)*($A102-Taches!$H$2:$H$60+1)/Taches!$E$2:$E$60)*Taches!$G$2:$G$60),0)</f>
        <v>0</v>
      </c>
      <c r="G102" s="0" t="n">
        <f aca="false">ROUND(SUMPRODUCT((Taches!$B$2:$B$60="LOT-06")*($A102&gt;=Taches!$H$2:$H$60)*((($A102-Taches!$H$2:$H$60+1)&gt;=Taches!$E$2:$E$60)+(($A102-Taches!$H$2:$H$60+1)&lt;Taches!$E$2:$E$60)*($A102-Taches!$H$2:$H$60+1)/Taches!$E$2:$E$60)*Taches!$G$2:$G$60),0)</f>
        <v>0</v>
      </c>
      <c r="H102" s="0" t="n">
        <f aca="false">ROUND(SUMPRODUCT((Taches!$B$2:$B$60="LOT-07")*($A102&gt;=Taches!$H$2:$H$60)*((($A102-Taches!$H$2:$H$60+1)&gt;=Taches!$E$2:$E$60)+(($A102-Taches!$H$2:$H$60+1)&lt;Taches!$E$2:$E$60)*($A102-Taches!$H$2:$H$60+1)/Taches!$E$2:$E$60)*Taches!$G$2:$G$60),0)</f>
        <v>0</v>
      </c>
      <c r="I102" s="0" t="n">
        <f aca="false">ROUND(SUMPRODUCT((Taches!$B$2:$B$60="LOT-08")*($A102&gt;=Taches!$H$2:$H$60)*((($A102-Taches!$H$2:$H$60+1)&gt;=Taches!$E$2:$E$60)+(($A102-Taches!$H$2:$H$60+1)&lt;Taches!$E$2:$E$60)*($A102-Taches!$H$2:$H$60+1)/Taches!$E$2:$E$60)*Taches!$G$2:$G$60),0)</f>
        <v>0</v>
      </c>
      <c r="J102" s="0" t="n">
        <f aca="false">SUM(B102:I102)</f>
        <v>198147400</v>
      </c>
    </row>
    <row r="103" customFormat="false" ht="15" hidden="false" customHeight="false" outlineLevel="0" collapsed="false">
      <c r="A103" s="0" t="n">
        <v>101</v>
      </c>
      <c r="B103" s="0" t="n">
        <f aca="false">ROUND(SUMPRODUCT((Taches!$B$2:$B$60="LOT-01")*($A103&gt;=Taches!$H$2:$H$60)*((($A103-Taches!$H$2:$H$60+1)&gt;=Taches!$E$2:$E$60)+(($A103-Taches!$H$2:$H$60+1)&lt;Taches!$E$2:$E$60)*($A103-Taches!$H$2:$H$60+1)/Taches!$E$2:$E$60)*Taches!$G$2:$G$60),0)</f>
        <v>55890000</v>
      </c>
      <c r="C103" s="0" t="n">
        <f aca="false">ROUND(SUMPRODUCT((Taches!$B$2:$B$60="LOT-02")*($A103&gt;=Taches!$H$2:$H$60)*((($A103-Taches!$H$2:$H$60+1)&gt;=Taches!$E$2:$E$60)+(($A103-Taches!$H$2:$H$60+1)&lt;Taches!$E$2:$E$60)*($A103-Taches!$H$2:$H$60+1)/Taches!$E$2:$E$60)*Taches!$G$2:$G$60),0)</f>
        <v>48343400</v>
      </c>
      <c r="D103" s="0" t="n">
        <f aca="false">ROUND(SUMPRODUCT((Taches!$B$2:$B$60="LOT-03")*($A103&gt;=Taches!$H$2:$H$60)*((($A103-Taches!$H$2:$H$60+1)&gt;=Taches!$E$2:$E$60)+(($A103-Taches!$H$2:$H$60+1)&lt;Taches!$E$2:$E$60)*($A103-Taches!$H$2:$H$60+1)/Taches!$E$2:$E$60)*Taches!$G$2:$G$60),0)</f>
        <v>91292000</v>
      </c>
      <c r="E103" s="0" t="n">
        <f aca="false">ROUND(SUMPRODUCT((Taches!$B$2:$B$60="LOT-04")*($A103&gt;=Taches!$H$2:$H$60)*((($A103-Taches!$H$2:$H$60+1)&gt;=Taches!$E$2:$E$60)+(($A103-Taches!$H$2:$H$60+1)&lt;Taches!$E$2:$E$60)*($A103-Taches!$H$2:$H$60+1)/Taches!$E$2:$E$60)*Taches!$G$2:$G$60),0)</f>
        <v>4782667</v>
      </c>
      <c r="F103" s="0" t="n">
        <f aca="false">ROUND(SUMPRODUCT((Taches!$B$2:$B$60="LOT-05")*($A103&gt;=Taches!$H$2:$H$60)*((($A103-Taches!$H$2:$H$60+1)&gt;=Taches!$E$2:$E$60)+(($A103-Taches!$H$2:$H$60+1)&lt;Taches!$E$2:$E$60)*($A103-Taches!$H$2:$H$60+1)/Taches!$E$2:$E$60)*Taches!$G$2:$G$60),0)</f>
        <v>0</v>
      </c>
      <c r="G103" s="0" t="n">
        <f aca="false">ROUND(SUMPRODUCT((Taches!$B$2:$B$60="LOT-06")*($A103&gt;=Taches!$H$2:$H$60)*((($A103-Taches!$H$2:$H$60+1)&gt;=Taches!$E$2:$E$60)+(($A103-Taches!$H$2:$H$60+1)&lt;Taches!$E$2:$E$60)*($A103-Taches!$H$2:$H$60+1)/Taches!$E$2:$E$60)*Taches!$G$2:$G$60),0)</f>
        <v>0</v>
      </c>
      <c r="H103" s="0" t="n">
        <f aca="false">ROUND(SUMPRODUCT((Taches!$B$2:$B$60="LOT-07")*($A103&gt;=Taches!$H$2:$H$60)*((($A103-Taches!$H$2:$H$60+1)&gt;=Taches!$E$2:$E$60)+(($A103-Taches!$H$2:$H$60+1)&lt;Taches!$E$2:$E$60)*($A103-Taches!$H$2:$H$60+1)/Taches!$E$2:$E$60)*Taches!$G$2:$G$60),0)</f>
        <v>0</v>
      </c>
      <c r="I103" s="0" t="n">
        <f aca="false">ROUND(SUMPRODUCT((Taches!$B$2:$B$60="LOT-08")*($A103&gt;=Taches!$H$2:$H$60)*((($A103-Taches!$H$2:$H$60+1)&gt;=Taches!$E$2:$E$60)+(($A103-Taches!$H$2:$H$60+1)&lt;Taches!$E$2:$E$60)*($A103-Taches!$H$2:$H$60+1)/Taches!$E$2:$E$60)*Taches!$G$2:$G$60),0)</f>
        <v>0</v>
      </c>
      <c r="J103" s="0" t="n">
        <f aca="false">SUM(B103:I103)</f>
        <v>200308067</v>
      </c>
    </row>
    <row r="104" customFormat="false" ht="15" hidden="false" customHeight="false" outlineLevel="0" collapsed="false">
      <c r="A104" s="0" t="n">
        <v>102</v>
      </c>
      <c r="B104" s="0" t="n">
        <f aca="false">ROUND(SUMPRODUCT((Taches!$B$2:$B$60="LOT-01")*($A104&gt;=Taches!$H$2:$H$60)*((($A104-Taches!$H$2:$H$60+1)&gt;=Taches!$E$2:$E$60)+(($A104-Taches!$H$2:$H$60+1)&lt;Taches!$E$2:$E$60)*($A104-Taches!$H$2:$H$60+1)/Taches!$E$2:$E$60)*Taches!$G$2:$G$60),0)</f>
        <v>55890000</v>
      </c>
      <c r="C104" s="0" t="n">
        <f aca="false">ROUND(SUMPRODUCT((Taches!$B$2:$B$60="LOT-02")*($A104&gt;=Taches!$H$2:$H$60)*((($A104-Taches!$H$2:$H$60+1)&gt;=Taches!$E$2:$E$60)+(($A104-Taches!$H$2:$H$60+1)&lt;Taches!$E$2:$E$60)*($A104-Taches!$H$2:$H$60+1)/Taches!$E$2:$E$60)*Taches!$G$2:$G$60),0)</f>
        <v>49308400</v>
      </c>
      <c r="D104" s="0" t="n">
        <f aca="false">ROUND(SUMPRODUCT((Taches!$B$2:$B$60="LOT-03")*($A104&gt;=Taches!$H$2:$H$60)*((($A104-Taches!$H$2:$H$60+1)&gt;=Taches!$E$2:$E$60)+(($A104-Taches!$H$2:$H$60+1)&lt;Taches!$E$2:$E$60)*($A104-Taches!$H$2:$H$60+1)/Taches!$E$2:$E$60)*Taches!$G$2:$G$60),0)</f>
        <v>91292000</v>
      </c>
      <c r="E104" s="0" t="n">
        <f aca="false">ROUND(SUMPRODUCT((Taches!$B$2:$B$60="LOT-04")*($A104&gt;=Taches!$H$2:$H$60)*((($A104-Taches!$H$2:$H$60+1)&gt;=Taches!$E$2:$E$60)+(($A104-Taches!$H$2:$H$60+1)&lt;Taches!$E$2:$E$60)*($A104-Taches!$H$2:$H$60+1)/Taches!$E$2:$E$60)*Taches!$G$2:$G$60),0)</f>
        <v>7285762</v>
      </c>
      <c r="F104" s="0" t="n">
        <f aca="false">ROUND(SUMPRODUCT((Taches!$B$2:$B$60="LOT-05")*($A104&gt;=Taches!$H$2:$H$60)*((($A104-Taches!$H$2:$H$60+1)&gt;=Taches!$E$2:$E$60)+(($A104-Taches!$H$2:$H$60+1)&lt;Taches!$E$2:$E$60)*($A104-Taches!$H$2:$H$60+1)/Taches!$E$2:$E$60)*Taches!$G$2:$G$60),0)</f>
        <v>0</v>
      </c>
      <c r="G104" s="0" t="n">
        <f aca="false">ROUND(SUMPRODUCT((Taches!$B$2:$B$60="LOT-06")*($A104&gt;=Taches!$H$2:$H$60)*((($A104-Taches!$H$2:$H$60+1)&gt;=Taches!$E$2:$E$60)+(($A104-Taches!$H$2:$H$60+1)&lt;Taches!$E$2:$E$60)*($A104-Taches!$H$2:$H$60+1)/Taches!$E$2:$E$60)*Taches!$G$2:$G$60),0)</f>
        <v>0</v>
      </c>
      <c r="H104" s="0" t="n">
        <f aca="false">ROUND(SUMPRODUCT((Taches!$B$2:$B$60="LOT-07")*($A104&gt;=Taches!$H$2:$H$60)*((($A104-Taches!$H$2:$H$60+1)&gt;=Taches!$E$2:$E$60)+(($A104-Taches!$H$2:$H$60+1)&lt;Taches!$E$2:$E$60)*($A104-Taches!$H$2:$H$60+1)/Taches!$E$2:$E$60)*Taches!$G$2:$G$60),0)</f>
        <v>0</v>
      </c>
      <c r="I104" s="0" t="n">
        <f aca="false">ROUND(SUMPRODUCT((Taches!$B$2:$B$60="LOT-08")*($A104&gt;=Taches!$H$2:$H$60)*((($A104-Taches!$H$2:$H$60+1)&gt;=Taches!$E$2:$E$60)+(($A104-Taches!$H$2:$H$60+1)&lt;Taches!$E$2:$E$60)*($A104-Taches!$H$2:$H$60+1)/Taches!$E$2:$E$60)*Taches!$G$2:$G$60),0)</f>
        <v>0</v>
      </c>
      <c r="J104" s="0" t="n">
        <f aca="false">SUM(B104:I104)</f>
        <v>203776162</v>
      </c>
    </row>
    <row r="105" customFormat="false" ht="15" hidden="false" customHeight="false" outlineLevel="0" collapsed="false">
      <c r="A105" s="0" t="n">
        <v>103</v>
      </c>
      <c r="B105" s="0" t="n">
        <f aca="false">ROUND(SUMPRODUCT((Taches!$B$2:$B$60="LOT-01")*($A105&gt;=Taches!$H$2:$H$60)*((($A105-Taches!$H$2:$H$60+1)&gt;=Taches!$E$2:$E$60)+(($A105-Taches!$H$2:$H$60+1)&lt;Taches!$E$2:$E$60)*($A105-Taches!$H$2:$H$60+1)/Taches!$E$2:$E$60)*Taches!$G$2:$G$60),0)</f>
        <v>55890000</v>
      </c>
      <c r="C105" s="0" t="n">
        <f aca="false">ROUND(SUMPRODUCT((Taches!$B$2:$B$60="LOT-02")*($A105&gt;=Taches!$H$2:$H$60)*((($A105-Taches!$H$2:$H$60+1)&gt;=Taches!$E$2:$E$60)+(($A105-Taches!$H$2:$H$60+1)&lt;Taches!$E$2:$E$60)*($A105-Taches!$H$2:$H$60+1)/Taches!$E$2:$E$60)*Taches!$G$2:$G$60),0)</f>
        <v>50273400</v>
      </c>
      <c r="D105" s="0" t="n">
        <f aca="false">ROUND(SUMPRODUCT((Taches!$B$2:$B$60="LOT-03")*($A105&gt;=Taches!$H$2:$H$60)*((($A105-Taches!$H$2:$H$60+1)&gt;=Taches!$E$2:$E$60)+(($A105-Taches!$H$2:$H$60+1)&lt;Taches!$E$2:$E$60)*($A105-Taches!$H$2:$H$60+1)/Taches!$E$2:$E$60)*Taches!$G$2:$G$60),0)</f>
        <v>91292000</v>
      </c>
      <c r="E105" s="0" t="n">
        <f aca="false">ROUND(SUMPRODUCT((Taches!$B$2:$B$60="LOT-04")*($A105&gt;=Taches!$H$2:$H$60)*((($A105-Taches!$H$2:$H$60+1)&gt;=Taches!$E$2:$E$60)+(($A105-Taches!$H$2:$H$60+1)&lt;Taches!$E$2:$E$60)*($A105-Taches!$H$2:$H$60+1)/Taches!$E$2:$E$60)*Taches!$G$2:$G$60),0)</f>
        <v>9788857</v>
      </c>
      <c r="F105" s="0" t="n">
        <f aca="false">ROUND(SUMPRODUCT((Taches!$B$2:$B$60="LOT-05")*($A105&gt;=Taches!$H$2:$H$60)*((($A105-Taches!$H$2:$H$60+1)&gt;=Taches!$E$2:$E$60)+(($A105-Taches!$H$2:$H$60+1)&lt;Taches!$E$2:$E$60)*($A105-Taches!$H$2:$H$60+1)/Taches!$E$2:$E$60)*Taches!$G$2:$G$60),0)</f>
        <v>0</v>
      </c>
      <c r="G105" s="0" t="n">
        <f aca="false">ROUND(SUMPRODUCT((Taches!$B$2:$B$60="LOT-06")*($A105&gt;=Taches!$H$2:$H$60)*((($A105-Taches!$H$2:$H$60+1)&gt;=Taches!$E$2:$E$60)+(($A105-Taches!$H$2:$H$60+1)&lt;Taches!$E$2:$E$60)*($A105-Taches!$H$2:$H$60+1)/Taches!$E$2:$E$60)*Taches!$G$2:$G$60),0)</f>
        <v>0</v>
      </c>
      <c r="H105" s="0" t="n">
        <f aca="false">ROUND(SUMPRODUCT((Taches!$B$2:$B$60="LOT-07")*($A105&gt;=Taches!$H$2:$H$60)*((($A105-Taches!$H$2:$H$60+1)&gt;=Taches!$E$2:$E$60)+(($A105-Taches!$H$2:$H$60+1)&lt;Taches!$E$2:$E$60)*($A105-Taches!$H$2:$H$60+1)/Taches!$E$2:$E$60)*Taches!$G$2:$G$60),0)</f>
        <v>0</v>
      </c>
      <c r="I105" s="0" t="n">
        <f aca="false">ROUND(SUMPRODUCT((Taches!$B$2:$B$60="LOT-08")*($A105&gt;=Taches!$H$2:$H$60)*((($A105-Taches!$H$2:$H$60+1)&gt;=Taches!$E$2:$E$60)+(($A105-Taches!$H$2:$H$60+1)&lt;Taches!$E$2:$E$60)*($A105-Taches!$H$2:$H$60+1)/Taches!$E$2:$E$60)*Taches!$G$2:$G$60),0)</f>
        <v>0</v>
      </c>
      <c r="J105" s="0" t="n">
        <f aca="false">SUM(B105:I105)</f>
        <v>207244257</v>
      </c>
    </row>
    <row r="106" customFormat="false" ht="15" hidden="false" customHeight="false" outlineLevel="0" collapsed="false">
      <c r="A106" s="0" t="n">
        <v>104</v>
      </c>
      <c r="B106" s="0" t="n">
        <f aca="false">ROUND(SUMPRODUCT((Taches!$B$2:$B$60="LOT-01")*($A106&gt;=Taches!$H$2:$H$60)*((($A106-Taches!$H$2:$H$60+1)&gt;=Taches!$E$2:$E$60)+(($A106-Taches!$H$2:$H$60+1)&lt;Taches!$E$2:$E$60)*($A106-Taches!$H$2:$H$60+1)/Taches!$E$2:$E$60)*Taches!$G$2:$G$60),0)</f>
        <v>55890000</v>
      </c>
      <c r="C106" s="0" t="n">
        <f aca="false">ROUND(SUMPRODUCT((Taches!$B$2:$B$60="LOT-02")*($A106&gt;=Taches!$H$2:$H$60)*((($A106-Taches!$H$2:$H$60+1)&gt;=Taches!$E$2:$E$60)+(($A106-Taches!$H$2:$H$60+1)&lt;Taches!$E$2:$E$60)*($A106-Taches!$H$2:$H$60+1)/Taches!$E$2:$E$60)*Taches!$G$2:$G$60),0)</f>
        <v>51238400</v>
      </c>
      <c r="D106" s="0" t="n">
        <f aca="false">ROUND(SUMPRODUCT((Taches!$B$2:$B$60="LOT-03")*($A106&gt;=Taches!$H$2:$H$60)*((($A106-Taches!$H$2:$H$60+1)&gt;=Taches!$E$2:$E$60)+(($A106-Taches!$H$2:$H$60+1)&lt;Taches!$E$2:$E$60)*($A106-Taches!$H$2:$H$60+1)/Taches!$E$2:$E$60)*Taches!$G$2:$G$60),0)</f>
        <v>91292000</v>
      </c>
      <c r="E106" s="0" t="n">
        <f aca="false">ROUND(SUMPRODUCT((Taches!$B$2:$B$60="LOT-04")*($A106&gt;=Taches!$H$2:$H$60)*((($A106-Taches!$H$2:$H$60+1)&gt;=Taches!$E$2:$E$60)+(($A106-Taches!$H$2:$H$60+1)&lt;Taches!$E$2:$E$60)*($A106-Taches!$H$2:$H$60+1)/Taches!$E$2:$E$60)*Taches!$G$2:$G$60),0)</f>
        <v>12291952</v>
      </c>
      <c r="F106" s="0" t="n">
        <f aca="false">ROUND(SUMPRODUCT((Taches!$B$2:$B$60="LOT-05")*($A106&gt;=Taches!$H$2:$H$60)*((($A106-Taches!$H$2:$H$60+1)&gt;=Taches!$E$2:$E$60)+(($A106-Taches!$H$2:$H$60+1)&lt;Taches!$E$2:$E$60)*($A106-Taches!$H$2:$H$60+1)/Taches!$E$2:$E$60)*Taches!$G$2:$G$60),0)</f>
        <v>0</v>
      </c>
      <c r="G106" s="0" t="n">
        <f aca="false">ROUND(SUMPRODUCT((Taches!$B$2:$B$60="LOT-06")*($A106&gt;=Taches!$H$2:$H$60)*((($A106-Taches!$H$2:$H$60+1)&gt;=Taches!$E$2:$E$60)+(($A106-Taches!$H$2:$H$60+1)&lt;Taches!$E$2:$E$60)*($A106-Taches!$H$2:$H$60+1)/Taches!$E$2:$E$60)*Taches!$G$2:$G$60),0)</f>
        <v>0</v>
      </c>
      <c r="H106" s="0" t="n">
        <f aca="false">ROUND(SUMPRODUCT((Taches!$B$2:$B$60="LOT-07")*($A106&gt;=Taches!$H$2:$H$60)*((($A106-Taches!$H$2:$H$60+1)&gt;=Taches!$E$2:$E$60)+(($A106-Taches!$H$2:$H$60+1)&lt;Taches!$E$2:$E$60)*($A106-Taches!$H$2:$H$60+1)/Taches!$E$2:$E$60)*Taches!$G$2:$G$60),0)</f>
        <v>0</v>
      </c>
      <c r="I106" s="0" t="n">
        <f aca="false">ROUND(SUMPRODUCT((Taches!$B$2:$B$60="LOT-08")*($A106&gt;=Taches!$H$2:$H$60)*((($A106-Taches!$H$2:$H$60+1)&gt;=Taches!$E$2:$E$60)+(($A106-Taches!$H$2:$H$60+1)&lt;Taches!$E$2:$E$60)*($A106-Taches!$H$2:$H$60+1)/Taches!$E$2:$E$60)*Taches!$G$2:$G$60),0)</f>
        <v>0</v>
      </c>
      <c r="J106" s="0" t="n">
        <f aca="false">SUM(B106:I106)</f>
        <v>210712352</v>
      </c>
    </row>
    <row r="107" customFormat="false" ht="15" hidden="false" customHeight="false" outlineLevel="0" collapsed="false">
      <c r="A107" s="0" t="n">
        <v>105</v>
      </c>
      <c r="B107" s="0" t="n">
        <f aca="false">ROUND(SUMPRODUCT((Taches!$B$2:$B$60="LOT-01")*($A107&gt;=Taches!$H$2:$H$60)*((($A107-Taches!$H$2:$H$60+1)&gt;=Taches!$E$2:$E$60)+(($A107-Taches!$H$2:$H$60+1)&lt;Taches!$E$2:$E$60)*($A107-Taches!$H$2:$H$60+1)/Taches!$E$2:$E$60)*Taches!$G$2:$G$60),0)</f>
        <v>55890000</v>
      </c>
      <c r="C107" s="0" t="n">
        <f aca="false">ROUND(SUMPRODUCT((Taches!$B$2:$B$60="LOT-02")*($A107&gt;=Taches!$H$2:$H$60)*((($A107-Taches!$H$2:$H$60+1)&gt;=Taches!$E$2:$E$60)+(($A107-Taches!$H$2:$H$60+1)&lt;Taches!$E$2:$E$60)*($A107-Taches!$H$2:$H$60+1)/Taches!$E$2:$E$60)*Taches!$G$2:$G$60),0)</f>
        <v>52203400</v>
      </c>
      <c r="D107" s="0" t="n">
        <f aca="false">ROUND(SUMPRODUCT((Taches!$B$2:$B$60="LOT-03")*($A107&gt;=Taches!$H$2:$H$60)*((($A107-Taches!$H$2:$H$60+1)&gt;=Taches!$E$2:$E$60)+(($A107-Taches!$H$2:$H$60+1)&lt;Taches!$E$2:$E$60)*($A107-Taches!$H$2:$H$60+1)/Taches!$E$2:$E$60)*Taches!$G$2:$G$60),0)</f>
        <v>91292000</v>
      </c>
      <c r="E107" s="0" t="n">
        <f aca="false">ROUND(SUMPRODUCT((Taches!$B$2:$B$60="LOT-04")*($A107&gt;=Taches!$H$2:$H$60)*((($A107-Taches!$H$2:$H$60+1)&gt;=Taches!$E$2:$E$60)+(($A107-Taches!$H$2:$H$60+1)&lt;Taches!$E$2:$E$60)*($A107-Taches!$H$2:$H$60+1)/Taches!$E$2:$E$60)*Taches!$G$2:$G$60),0)</f>
        <v>14795048</v>
      </c>
      <c r="F107" s="0" t="n">
        <f aca="false">ROUND(SUMPRODUCT((Taches!$B$2:$B$60="LOT-05")*($A107&gt;=Taches!$H$2:$H$60)*((($A107-Taches!$H$2:$H$60+1)&gt;=Taches!$E$2:$E$60)+(($A107-Taches!$H$2:$H$60+1)&lt;Taches!$E$2:$E$60)*($A107-Taches!$H$2:$H$60+1)/Taches!$E$2:$E$60)*Taches!$G$2:$G$60),0)</f>
        <v>0</v>
      </c>
      <c r="G107" s="0" t="n">
        <f aca="false">ROUND(SUMPRODUCT((Taches!$B$2:$B$60="LOT-06")*($A107&gt;=Taches!$H$2:$H$60)*((($A107-Taches!$H$2:$H$60+1)&gt;=Taches!$E$2:$E$60)+(($A107-Taches!$H$2:$H$60+1)&lt;Taches!$E$2:$E$60)*($A107-Taches!$H$2:$H$60+1)/Taches!$E$2:$E$60)*Taches!$G$2:$G$60),0)</f>
        <v>0</v>
      </c>
      <c r="H107" s="0" t="n">
        <f aca="false">ROUND(SUMPRODUCT((Taches!$B$2:$B$60="LOT-07")*($A107&gt;=Taches!$H$2:$H$60)*((($A107-Taches!$H$2:$H$60+1)&gt;=Taches!$E$2:$E$60)+(($A107-Taches!$H$2:$H$60+1)&lt;Taches!$E$2:$E$60)*($A107-Taches!$H$2:$H$60+1)/Taches!$E$2:$E$60)*Taches!$G$2:$G$60),0)</f>
        <v>0</v>
      </c>
      <c r="I107" s="0" t="n">
        <f aca="false">ROUND(SUMPRODUCT((Taches!$B$2:$B$60="LOT-08")*($A107&gt;=Taches!$H$2:$H$60)*((($A107-Taches!$H$2:$H$60+1)&gt;=Taches!$E$2:$E$60)+(($A107-Taches!$H$2:$H$60+1)&lt;Taches!$E$2:$E$60)*($A107-Taches!$H$2:$H$60+1)/Taches!$E$2:$E$60)*Taches!$G$2:$G$60),0)</f>
        <v>0</v>
      </c>
      <c r="J107" s="0" t="n">
        <f aca="false">SUM(B107:I107)</f>
        <v>214180448</v>
      </c>
    </row>
    <row r="108" customFormat="false" ht="15" hidden="false" customHeight="false" outlineLevel="0" collapsed="false">
      <c r="A108" s="0" t="n">
        <v>106</v>
      </c>
      <c r="B108" s="0" t="n">
        <f aca="false">ROUND(SUMPRODUCT((Taches!$B$2:$B$60="LOT-01")*($A108&gt;=Taches!$H$2:$H$60)*((($A108-Taches!$H$2:$H$60+1)&gt;=Taches!$E$2:$E$60)+(($A108-Taches!$H$2:$H$60+1)&lt;Taches!$E$2:$E$60)*($A108-Taches!$H$2:$H$60+1)/Taches!$E$2:$E$60)*Taches!$G$2:$G$60),0)</f>
        <v>55890000</v>
      </c>
      <c r="C108" s="0" t="n">
        <f aca="false">ROUND(SUMPRODUCT((Taches!$B$2:$B$60="LOT-02")*($A108&gt;=Taches!$H$2:$H$60)*((($A108-Taches!$H$2:$H$60+1)&gt;=Taches!$E$2:$E$60)+(($A108-Taches!$H$2:$H$60+1)&lt;Taches!$E$2:$E$60)*($A108-Taches!$H$2:$H$60+1)/Taches!$E$2:$E$60)*Taches!$G$2:$G$60),0)</f>
        <v>53168400</v>
      </c>
      <c r="D108" s="0" t="n">
        <f aca="false">ROUND(SUMPRODUCT((Taches!$B$2:$B$60="LOT-03")*($A108&gt;=Taches!$H$2:$H$60)*((($A108-Taches!$H$2:$H$60+1)&gt;=Taches!$E$2:$E$60)+(($A108-Taches!$H$2:$H$60+1)&lt;Taches!$E$2:$E$60)*($A108-Taches!$H$2:$H$60+1)/Taches!$E$2:$E$60)*Taches!$G$2:$G$60),0)</f>
        <v>91292000</v>
      </c>
      <c r="E108" s="0" t="n">
        <f aca="false">ROUND(SUMPRODUCT((Taches!$B$2:$B$60="LOT-04")*($A108&gt;=Taches!$H$2:$H$60)*((($A108-Taches!$H$2:$H$60+1)&gt;=Taches!$E$2:$E$60)+(($A108-Taches!$H$2:$H$60+1)&lt;Taches!$E$2:$E$60)*($A108-Taches!$H$2:$H$60+1)/Taches!$E$2:$E$60)*Taches!$G$2:$G$60),0)</f>
        <v>17298143</v>
      </c>
      <c r="F108" s="0" t="n">
        <f aca="false">ROUND(SUMPRODUCT((Taches!$B$2:$B$60="LOT-05")*($A108&gt;=Taches!$H$2:$H$60)*((($A108-Taches!$H$2:$H$60+1)&gt;=Taches!$E$2:$E$60)+(($A108-Taches!$H$2:$H$60+1)&lt;Taches!$E$2:$E$60)*($A108-Taches!$H$2:$H$60+1)/Taches!$E$2:$E$60)*Taches!$G$2:$G$60),0)</f>
        <v>0</v>
      </c>
      <c r="G108" s="0" t="n">
        <f aca="false">ROUND(SUMPRODUCT((Taches!$B$2:$B$60="LOT-06")*($A108&gt;=Taches!$H$2:$H$60)*((($A108-Taches!$H$2:$H$60+1)&gt;=Taches!$E$2:$E$60)+(($A108-Taches!$H$2:$H$60+1)&lt;Taches!$E$2:$E$60)*($A108-Taches!$H$2:$H$60+1)/Taches!$E$2:$E$60)*Taches!$G$2:$G$60),0)</f>
        <v>0</v>
      </c>
      <c r="H108" s="0" t="n">
        <f aca="false">ROUND(SUMPRODUCT((Taches!$B$2:$B$60="LOT-07")*($A108&gt;=Taches!$H$2:$H$60)*((($A108-Taches!$H$2:$H$60+1)&gt;=Taches!$E$2:$E$60)+(($A108-Taches!$H$2:$H$60+1)&lt;Taches!$E$2:$E$60)*($A108-Taches!$H$2:$H$60+1)/Taches!$E$2:$E$60)*Taches!$G$2:$G$60),0)</f>
        <v>0</v>
      </c>
      <c r="I108" s="0" t="n">
        <f aca="false">ROUND(SUMPRODUCT((Taches!$B$2:$B$60="LOT-08")*($A108&gt;=Taches!$H$2:$H$60)*((($A108-Taches!$H$2:$H$60+1)&gt;=Taches!$E$2:$E$60)+(($A108-Taches!$H$2:$H$60+1)&lt;Taches!$E$2:$E$60)*($A108-Taches!$H$2:$H$60+1)/Taches!$E$2:$E$60)*Taches!$G$2:$G$60),0)</f>
        <v>0</v>
      </c>
      <c r="J108" s="0" t="n">
        <f aca="false">SUM(B108:I108)</f>
        <v>217648543</v>
      </c>
    </row>
    <row r="109" customFormat="false" ht="15" hidden="false" customHeight="false" outlineLevel="0" collapsed="false">
      <c r="A109" s="0" t="n">
        <v>107</v>
      </c>
      <c r="B109" s="0" t="n">
        <f aca="false">ROUND(SUMPRODUCT((Taches!$B$2:$B$60="LOT-01")*($A109&gt;=Taches!$H$2:$H$60)*((($A109-Taches!$H$2:$H$60+1)&gt;=Taches!$E$2:$E$60)+(($A109-Taches!$H$2:$H$60+1)&lt;Taches!$E$2:$E$60)*($A109-Taches!$H$2:$H$60+1)/Taches!$E$2:$E$60)*Taches!$G$2:$G$60),0)</f>
        <v>55890000</v>
      </c>
      <c r="C109" s="0" t="n">
        <f aca="false">ROUND(SUMPRODUCT((Taches!$B$2:$B$60="LOT-02")*($A109&gt;=Taches!$H$2:$H$60)*((($A109-Taches!$H$2:$H$60+1)&gt;=Taches!$E$2:$E$60)+(($A109-Taches!$H$2:$H$60+1)&lt;Taches!$E$2:$E$60)*($A109-Taches!$H$2:$H$60+1)/Taches!$E$2:$E$60)*Taches!$G$2:$G$60),0)</f>
        <v>54133400</v>
      </c>
      <c r="D109" s="0" t="n">
        <f aca="false">ROUND(SUMPRODUCT((Taches!$B$2:$B$60="LOT-03")*($A109&gt;=Taches!$H$2:$H$60)*((($A109-Taches!$H$2:$H$60+1)&gt;=Taches!$E$2:$E$60)+(($A109-Taches!$H$2:$H$60+1)&lt;Taches!$E$2:$E$60)*($A109-Taches!$H$2:$H$60+1)/Taches!$E$2:$E$60)*Taches!$G$2:$G$60),0)</f>
        <v>91292000</v>
      </c>
      <c r="E109" s="0" t="n">
        <f aca="false">ROUND(SUMPRODUCT((Taches!$B$2:$B$60="LOT-04")*($A109&gt;=Taches!$H$2:$H$60)*((($A109-Taches!$H$2:$H$60+1)&gt;=Taches!$E$2:$E$60)+(($A109-Taches!$H$2:$H$60+1)&lt;Taches!$E$2:$E$60)*($A109-Taches!$H$2:$H$60+1)/Taches!$E$2:$E$60)*Taches!$G$2:$G$60),0)</f>
        <v>19801238</v>
      </c>
      <c r="F109" s="0" t="n">
        <f aca="false">ROUND(SUMPRODUCT((Taches!$B$2:$B$60="LOT-05")*($A109&gt;=Taches!$H$2:$H$60)*((($A109-Taches!$H$2:$H$60+1)&gt;=Taches!$E$2:$E$60)+(($A109-Taches!$H$2:$H$60+1)&lt;Taches!$E$2:$E$60)*($A109-Taches!$H$2:$H$60+1)/Taches!$E$2:$E$60)*Taches!$G$2:$G$60),0)</f>
        <v>0</v>
      </c>
      <c r="G109" s="0" t="n">
        <f aca="false">ROUND(SUMPRODUCT((Taches!$B$2:$B$60="LOT-06")*($A109&gt;=Taches!$H$2:$H$60)*((($A109-Taches!$H$2:$H$60+1)&gt;=Taches!$E$2:$E$60)+(($A109-Taches!$H$2:$H$60+1)&lt;Taches!$E$2:$E$60)*($A109-Taches!$H$2:$H$60+1)/Taches!$E$2:$E$60)*Taches!$G$2:$G$60),0)</f>
        <v>0</v>
      </c>
      <c r="H109" s="0" t="n">
        <f aca="false">ROUND(SUMPRODUCT((Taches!$B$2:$B$60="LOT-07")*($A109&gt;=Taches!$H$2:$H$60)*((($A109-Taches!$H$2:$H$60+1)&gt;=Taches!$E$2:$E$60)+(($A109-Taches!$H$2:$H$60+1)&lt;Taches!$E$2:$E$60)*($A109-Taches!$H$2:$H$60+1)/Taches!$E$2:$E$60)*Taches!$G$2:$G$60),0)</f>
        <v>0</v>
      </c>
      <c r="I109" s="0" t="n">
        <f aca="false">ROUND(SUMPRODUCT((Taches!$B$2:$B$60="LOT-08")*($A109&gt;=Taches!$H$2:$H$60)*((($A109-Taches!$H$2:$H$60+1)&gt;=Taches!$E$2:$E$60)+(($A109-Taches!$H$2:$H$60+1)&lt;Taches!$E$2:$E$60)*($A109-Taches!$H$2:$H$60+1)/Taches!$E$2:$E$60)*Taches!$G$2:$G$60),0)</f>
        <v>0</v>
      </c>
      <c r="J109" s="0" t="n">
        <f aca="false">SUM(B109:I109)</f>
        <v>221116638</v>
      </c>
    </row>
    <row r="110" customFormat="false" ht="15" hidden="false" customHeight="false" outlineLevel="0" collapsed="false">
      <c r="A110" s="0" t="n">
        <v>108</v>
      </c>
      <c r="B110" s="0" t="n">
        <f aca="false">ROUND(SUMPRODUCT((Taches!$B$2:$B$60="LOT-01")*($A110&gt;=Taches!$H$2:$H$60)*((($A110-Taches!$H$2:$H$60+1)&gt;=Taches!$E$2:$E$60)+(($A110-Taches!$H$2:$H$60+1)&lt;Taches!$E$2:$E$60)*($A110-Taches!$H$2:$H$60+1)/Taches!$E$2:$E$60)*Taches!$G$2:$G$60),0)</f>
        <v>55890000</v>
      </c>
      <c r="C110" s="0" t="n">
        <f aca="false">ROUND(SUMPRODUCT((Taches!$B$2:$B$60="LOT-02")*($A110&gt;=Taches!$H$2:$H$60)*((($A110-Taches!$H$2:$H$60+1)&gt;=Taches!$E$2:$E$60)+(($A110-Taches!$H$2:$H$60+1)&lt;Taches!$E$2:$E$60)*($A110-Taches!$H$2:$H$60+1)/Taches!$E$2:$E$60)*Taches!$G$2:$G$60),0)</f>
        <v>55098400</v>
      </c>
      <c r="D110" s="0" t="n">
        <f aca="false">ROUND(SUMPRODUCT((Taches!$B$2:$B$60="LOT-03")*($A110&gt;=Taches!$H$2:$H$60)*((($A110-Taches!$H$2:$H$60+1)&gt;=Taches!$E$2:$E$60)+(($A110-Taches!$H$2:$H$60+1)&lt;Taches!$E$2:$E$60)*($A110-Taches!$H$2:$H$60+1)/Taches!$E$2:$E$60)*Taches!$G$2:$G$60),0)</f>
        <v>91292000</v>
      </c>
      <c r="E110" s="0" t="n">
        <f aca="false">ROUND(SUMPRODUCT((Taches!$B$2:$B$60="LOT-04")*($A110&gt;=Taches!$H$2:$H$60)*((($A110-Taches!$H$2:$H$60+1)&gt;=Taches!$E$2:$E$60)+(($A110-Taches!$H$2:$H$60+1)&lt;Taches!$E$2:$E$60)*($A110-Taches!$H$2:$H$60+1)/Taches!$E$2:$E$60)*Taches!$G$2:$G$60),0)</f>
        <v>22304333</v>
      </c>
      <c r="F110" s="0" t="n">
        <f aca="false">ROUND(SUMPRODUCT((Taches!$B$2:$B$60="LOT-05")*($A110&gt;=Taches!$H$2:$H$60)*((($A110-Taches!$H$2:$H$60+1)&gt;=Taches!$E$2:$E$60)+(($A110-Taches!$H$2:$H$60+1)&lt;Taches!$E$2:$E$60)*($A110-Taches!$H$2:$H$60+1)/Taches!$E$2:$E$60)*Taches!$G$2:$G$60),0)</f>
        <v>0</v>
      </c>
      <c r="G110" s="0" t="n">
        <f aca="false">ROUND(SUMPRODUCT((Taches!$B$2:$B$60="LOT-06")*($A110&gt;=Taches!$H$2:$H$60)*((($A110-Taches!$H$2:$H$60+1)&gt;=Taches!$E$2:$E$60)+(($A110-Taches!$H$2:$H$60+1)&lt;Taches!$E$2:$E$60)*($A110-Taches!$H$2:$H$60+1)/Taches!$E$2:$E$60)*Taches!$G$2:$G$60),0)</f>
        <v>0</v>
      </c>
      <c r="H110" s="0" t="n">
        <f aca="false">ROUND(SUMPRODUCT((Taches!$B$2:$B$60="LOT-07")*($A110&gt;=Taches!$H$2:$H$60)*((($A110-Taches!$H$2:$H$60+1)&gt;=Taches!$E$2:$E$60)+(($A110-Taches!$H$2:$H$60+1)&lt;Taches!$E$2:$E$60)*($A110-Taches!$H$2:$H$60+1)/Taches!$E$2:$E$60)*Taches!$G$2:$G$60),0)</f>
        <v>0</v>
      </c>
      <c r="I110" s="0" t="n">
        <f aca="false">ROUND(SUMPRODUCT((Taches!$B$2:$B$60="LOT-08")*($A110&gt;=Taches!$H$2:$H$60)*((($A110-Taches!$H$2:$H$60+1)&gt;=Taches!$E$2:$E$60)+(($A110-Taches!$H$2:$H$60+1)&lt;Taches!$E$2:$E$60)*($A110-Taches!$H$2:$H$60+1)/Taches!$E$2:$E$60)*Taches!$G$2:$G$60),0)</f>
        <v>0</v>
      </c>
      <c r="J110" s="0" t="n">
        <f aca="false">SUM(B110:I110)</f>
        <v>224584733</v>
      </c>
    </row>
    <row r="111" customFormat="false" ht="15" hidden="false" customHeight="false" outlineLevel="0" collapsed="false">
      <c r="A111" s="0" t="n">
        <v>109</v>
      </c>
      <c r="B111" s="0" t="n">
        <f aca="false">ROUND(SUMPRODUCT((Taches!$B$2:$B$60="LOT-01")*($A111&gt;=Taches!$H$2:$H$60)*((($A111-Taches!$H$2:$H$60+1)&gt;=Taches!$E$2:$E$60)+(($A111-Taches!$H$2:$H$60+1)&lt;Taches!$E$2:$E$60)*($A111-Taches!$H$2:$H$60+1)/Taches!$E$2:$E$60)*Taches!$G$2:$G$60),0)</f>
        <v>55890000</v>
      </c>
      <c r="C111" s="0" t="n">
        <f aca="false">ROUND(SUMPRODUCT((Taches!$B$2:$B$60="LOT-02")*($A111&gt;=Taches!$H$2:$H$60)*((($A111-Taches!$H$2:$H$60+1)&gt;=Taches!$E$2:$E$60)+(($A111-Taches!$H$2:$H$60+1)&lt;Taches!$E$2:$E$60)*($A111-Taches!$H$2:$H$60+1)/Taches!$E$2:$E$60)*Taches!$G$2:$G$60),0)</f>
        <v>56063400</v>
      </c>
      <c r="D111" s="0" t="n">
        <f aca="false">ROUND(SUMPRODUCT((Taches!$B$2:$B$60="LOT-03")*($A111&gt;=Taches!$H$2:$H$60)*((($A111-Taches!$H$2:$H$60+1)&gt;=Taches!$E$2:$E$60)+(($A111-Taches!$H$2:$H$60+1)&lt;Taches!$E$2:$E$60)*($A111-Taches!$H$2:$H$60+1)/Taches!$E$2:$E$60)*Taches!$G$2:$G$60),0)</f>
        <v>91292000</v>
      </c>
      <c r="E111" s="0" t="n">
        <f aca="false">ROUND(SUMPRODUCT((Taches!$B$2:$B$60="LOT-04")*($A111&gt;=Taches!$H$2:$H$60)*((($A111-Taches!$H$2:$H$60+1)&gt;=Taches!$E$2:$E$60)+(($A111-Taches!$H$2:$H$60+1)&lt;Taches!$E$2:$E$60)*($A111-Taches!$H$2:$H$60+1)/Taches!$E$2:$E$60)*Taches!$G$2:$G$60),0)</f>
        <v>24807429</v>
      </c>
      <c r="F111" s="0" t="n">
        <f aca="false">ROUND(SUMPRODUCT((Taches!$B$2:$B$60="LOT-05")*($A111&gt;=Taches!$H$2:$H$60)*((($A111-Taches!$H$2:$H$60+1)&gt;=Taches!$E$2:$E$60)+(($A111-Taches!$H$2:$H$60+1)&lt;Taches!$E$2:$E$60)*($A111-Taches!$H$2:$H$60+1)/Taches!$E$2:$E$60)*Taches!$G$2:$G$60),0)</f>
        <v>0</v>
      </c>
      <c r="G111" s="0" t="n">
        <f aca="false">ROUND(SUMPRODUCT((Taches!$B$2:$B$60="LOT-06")*($A111&gt;=Taches!$H$2:$H$60)*((($A111-Taches!$H$2:$H$60+1)&gt;=Taches!$E$2:$E$60)+(($A111-Taches!$H$2:$H$60+1)&lt;Taches!$E$2:$E$60)*($A111-Taches!$H$2:$H$60+1)/Taches!$E$2:$E$60)*Taches!$G$2:$G$60),0)</f>
        <v>0</v>
      </c>
      <c r="H111" s="0" t="n">
        <f aca="false">ROUND(SUMPRODUCT((Taches!$B$2:$B$60="LOT-07")*($A111&gt;=Taches!$H$2:$H$60)*((($A111-Taches!$H$2:$H$60+1)&gt;=Taches!$E$2:$E$60)+(($A111-Taches!$H$2:$H$60+1)&lt;Taches!$E$2:$E$60)*($A111-Taches!$H$2:$H$60+1)/Taches!$E$2:$E$60)*Taches!$G$2:$G$60),0)</f>
        <v>0</v>
      </c>
      <c r="I111" s="0" t="n">
        <f aca="false">ROUND(SUMPRODUCT((Taches!$B$2:$B$60="LOT-08")*($A111&gt;=Taches!$H$2:$H$60)*((($A111-Taches!$H$2:$H$60+1)&gt;=Taches!$E$2:$E$60)+(($A111-Taches!$H$2:$H$60+1)&lt;Taches!$E$2:$E$60)*($A111-Taches!$H$2:$H$60+1)/Taches!$E$2:$E$60)*Taches!$G$2:$G$60),0)</f>
        <v>0</v>
      </c>
      <c r="J111" s="0" t="n">
        <f aca="false">SUM(B111:I111)</f>
        <v>228052829</v>
      </c>
    </row>
    <row r="112" customFormat="false" ht="15" hidden="false" customHeight="false" outlineLevel="0" collapsed="false">
      <c r="A112" s="0" t="n">
        <v>110</v>
      </c>
      <c r="B112" s="0" t="n">
        <f aca="false">ROUND(SUMPRODUCT((Taches!$B$2:$B$60="LOT-01")*($A112&gt;=Taches!$H$2:$H$60)*((($A112-Taches!$H$2:$H$60+1)&gt;=Taches!$E$2:$E$60)+(($A112-Taches!$H$2:$H$60+1)&lt;Taches!$E$2:$E$60)*($A112-Taches!$H$2:$H$60+1)/Taches!$E$2:$E$60)*Taches!$G$2:$G$60),0)</f>
        <v>55890000</v>
      </c>
      <c r="C112" s="0" t="n">
        <f aca="false">ROUND(SUMPRODUCT((Taches!$B$2:$B$60="LOT-02")*($A112&gt;=Taches!$H$2:$H$60)*((($A112-Taches!$H$2:$H$60+1)&gt;=Taches!$E$2:$E$60)+(($A112-Taches!$H$2:$H$60+1)&lt;Taches!$E$2:$E$60)*($A112-Taches!$H$2:$H$60+1)/Taches!$E$2:$E$60)*Taches!$G$2:$G$60),0)</f>
        <v>56935600</v>
      </c>
      <c r="D112" s="0" t="n">
        <f aca="false">ROUND(SUMPRODUCT((Taches!$B$2:$B$60="LOT-03")*($A112&gt;=Taches!$H$2:$H$60)*((($A112-Taches!$H$2:$H$60+1)&gt;=Taches!$E$2:$E$60)+(($A112-Taches!$H$2:$H$60+1)&lt;Taches!$E$2:$E$60)*($A112-Taches!$H$2:$H$60+1)/Taches!$E$2:$E$60)*Taches!$G$2:$G$60),0)</f>
        <v>92708000</v>
      </c>
      <c r="E112" s="0" t="n">
        <f aca="false">ROUND(SUMPRODUCT((Taches!$B$2:$B$60="LOT-04")*($A112&gt;=Taches!$H$2:$H$60)*((($A112-Taches!$H$2:$H$60+1)&gt;=Taches!$E$2:$E$60)+(($A112-Taches!$H$2:$H$60+1)&lt;Taches!$E$2:$E$60)*($A112-Taches!$H$2:$H$60+1)/Taches!$E$2:$E$60)*Taches!$G$2:$G$60),0)</f>
        <v>26114857</v>
      </c>
      <c r="F112" s="0" t="n">
        <f aca="false">ROUND(SUMPRODUCT((Taches!$B$2:$B$60="LOT-05")*($A112&gt;=Taches!$H$2:$H$60)*((($A112-Taches!$H$2:$H$60+1)&gt;=Taches!$E$2:$E$60)+(($A112-Taches!$H$2:$H$60+1)&lt;Taches!$E$2:$E$60)*($A112-Taches!$H$2:$H$60+1)/Taches!$E$2:$E$60)*Taches!$G$2:$G$60),0)</f>
        <v>0</v>
      </c>
      <c r="G112" s="0" t="n">
        <f aca="false">ROUND(SUMPRODUCT((Taches!$B$2:$B$60="LOT-06")*($A112&gt;=Taches!$H$2:$H$60)*((($A112-Taches!$H$2:$H$60+1)&gt;=Taches!$E$2:$E$60)+(($A112-Taches!$H$2:$H$60+1)&lt;Taches!$E$2:$E$60)*($A112-Taches!$H$2:$H$60+1)/Taches!$E$2:$E$60)*Taches!$G$2:$G$60),0)</f>
        <v>0</v>
      </c>
      <c r="H112" s="0" t="n">
        <f aca="false">ROUND(SUMPRODUCT((Taches!$B$2:$B$60="LOT-07")*($A112&gt;=Taches!$H$2:$H$60)*((($A112-Taches!$H$2:$H$60+1)&gt;=Taches!$E$2:$E$60)+(($A112-Taches!$H$2:$H$60+1)&lt;Taches!$E$2:$E$60)*($A112-Taches!$H$2:$H$60+1)/Taches!$E$2:$E$60)*Taches!$G$2:$G$60),0)</f>
        <v>0</v>
      </c>
      <c r="I112" s="0" t="n">
        <f aca="false">ROUND(SUMPRODUCT((Taches!$B$2:$B$60="LOT-08")*($A112&gt;=Taches!$H$2:$H$60)*((($A112-Taches!$H$2:$H$60+1)&gt;=Taches!$E$2:$E$60)+(($A112-Taches!$H$2:$H$60+1)&lt;Taches!$E$2:$E$60)*($A112-Taches!$H$2:$H$60+1)/Taches!$E$2:$E$60)*Taches!$G$2:$G$60),0)</f>
        <v>0</v>
      </c>
      <c r="J112" s="0" t="n">
        <f aca="false">SUM(B112:I112)</f>
        <v>231648457</v>
      </c>
    </row>
    <row r="113" customFormat="false" ht="15" hidden="false" customHeight="false" outlineLevel="0" collapsed="false">
      <c r="A113" s="0" t="n">
        <v>111</v>
      </c>
      <c r="B113" s="0" t="n">
        <f aca="false">ROUND(SUMPRODUCT((Taches!$B$2:$B$60="LOT-01")*($A113&gt;=Taches!$H$2:$H$60)*((($A113-Taches!$H$2:$H$60+1)&gt;=Taches!$E$2:$E$60)+(($A113-Taches!$H$2:$H$60+1)&lt;Taches!$E$2:$E$60)*($A113-Taches!$H$2:$H$60+1)/Taches!$E$2:$E$60)*Taches!$G$2:$G$60),0)</f>
        <v>55890000</v>
      </c>
      <c r="C113" s="0" t="n">
        <f aca="false">ROUND(SUMPRODUCT((Taches!$B$2:$B$60="LOT-02")*($A113&gt;=Taches!$H$2:$H$60)*((($A113-Taches!$H$2:$H$60+1)&gt;=Taches!$E$2:$E$60)+(($A113-Taches!$H$2:$H$60+1)&lt;Taches!$E$2:$E$60)*($A113-Taches!$H$2:$H$60+1)/Taches!$E$2:$E$60)*Taches!$G$2:$G$60),0)</f>
        <v>57807800</v>
      </c>
      <c r="D113" s="0" t="n">
        <f aca="false">ROUND(SUMPRODUCT((Taches!$B$2:$B$60="LOT-03")*($A113&gt;=Taches!$H$2:$H$60)*((($A113-Taches!$H$2:$H$60+1)&gt;=Taches!$E$2:$E$60)+(($A113-Taches!$H$2:$H$60+1)&lt;Taches!$E$2:$E$60)*($A113-Taches!$H$2:$H$60+1)/Taches!$E$2:$E$60)*Taches!$G$2:$G$60),0)</f>
        <v>94124000</v>
      </c>
      <c r="E113" s="0" t="n">
        <f aca="false">ROUND(SUMPRODUCT((Taches!$B$2:$B$60="LOT-04")*($A113&gt;=Taches!$H$2:$H$60)*((($A113-Taches!$H$2:$H$60+1)&gt;=Taches!$E$2:$E$60)+(($A113-Taches!$H$2:$H$60+1)&lt;Taches!$E$2:$E$60)*($A113-Taches!$H$2:$H$60+1)/Taches!$E$2:$E$60)*Taches!$G$2:$G$60),0)</f>
        <v>27422286</v>
      </c>
      <c r="F113" s="0" t="n">
        <f aca="false">ROUND(SUMPRODUCT((Taches!$B$2:$B$60="LOT-05")*($A113&gt;=Taches!$H$2:$H$60)*((($A113-Taches!$H$2:$H$60+1)&gt;=Taches!$E$2:$E$60)+(($A113-Taches!$H$2:$H$60+1)&lt;Taches!$E$2:$E$60)*($A113-Taches!$H$2:$H$60+1)/Taches!$E$2:$E$60)*Taches!$G$2:$G$60),0)</f>
        <v>0</v>
      </c>
      <c r="G113" s="0" t="n">
        <f aca="false">ROUND(SUMPRODUCT((Taches!$B$2:$B$60="LOT-06")*($A113&gt;=Taches!$H$2:$H$60)*((($A113-Taches!$H$2:$H$60+1)&gt;=Taches!$E$2:$E$60)+(($A113-Taches!$H$2:$H$60+1)&lt;Taches!$E$2:$E$60)*($A113-Taches!$H$2:$H$60+1)/Taches!$E$2:$E$60)*Taches!$G$2:$G$60),0)</f>
        <v>0</v>
      </c>
      <c r="H113" s="0" t="n">
        <f aca="false">ROUND(SUMPRODUCT((Taches!$B$2:$B$60="LOT-07")*($A113&gt;=Taches!$H$2:$H$60)*((($A113-Taches!$H$2:$H$60+1)&gt;=Taches!$E$2:$E$60)+(($A113-Taches!$H$2:$H$60+1)&lt;Taches!$E$2:$E$60)*($A113-Taches!$H$2:$H$60+1)/Taches!$E$2:$E$60)*Taches!$G$2:$G$60),0)</f>
        <v>0</v>
      </c>
      <c r="I113" s="0" t="n">
        <f aca="false">ROUND(SUMPRODUCT((Taches!$B$2:$B$60="LOT-08")*($A113&gt;=Taches!$H$2:$H$60)*((($A113-Taches!$H$2:$H$60+1)&gt;=Taches!$E$2:$E$60)+(($A113-Taches!$H$2:$H$60+1)&lt;Taches!$E$2:$E$60)*($A113-Taches!$H$2:$H$60+1)/Taches!$E$2:$E$60)*Taches!$G$2:$G$60),0)</f>
        <v>0</v>
      </c>
      <c r="J113" s="0" t="n">
        <f aca="false">SUM(B113:I113)</f>
        <v>235244086</v>
      </c>
    </row>
    <row r="114" customFormat="false" ht="15" hidden="false" customHeight="false" outlineLevel="0" collapsed="false">
      <c r="A114" s="0" t="n">
        <v>112</v>
      </c>
      <c r="B114" s="0" t="n">
        <f aca="false">ROUND(SUMPRODUCT((Taches!$B$2:$B$60="LOT-01")*($A114&gt;=Taches!$H$2:$H$60)*((($A114-Taches!$H$2:$H$60+1)&gt;=Taches!$E$2:$E$60)+(($A114-Taches!$H$2:$H$60+1)&lt;Taches!$E$2:$E$60)*($A114-Taches!$H$2:$H$60+1)/Taches!$E$2:$E$60)*Taches!$G$2:$G$60),0)</f>
        <v>55890000</v>
      </c>
      <c r="C114" s="0" t="n">
        <f aca="false">ROUND(SUMPRODUCT((Taches!$B$2:$B$60="LOT-02")*($A114&gt;=Taches!$H$2:$H$60)*((($A114-Taches!$H$2:$H$60+1)&gt;=Taches!$E$2:$E$60)+(($A114-Taches!$H$2:$H$60+1)&lt;Taches!$E$2:$E$60)*($A114-Taches!$H$2:$H$60+1)/Taches!$E$2:$E$60)*Taches!$G$2:$G$60),0)</f>
        <v>58680000</v>
      </c>
      <c r="D114" s="0" t="n">
        <f aca="false">ROUND(SUMPRODUCT((Taches!$B$2:$B$60="LOT-03")*($A114&gt;=Taches!$H$2:$H$60)*((($A114-Taches!$H$2:$H$60+1)&gt;=Taches!$E$2:$E$60)+(($A114-Taches!$H$2:$H$60+1)&lt;Taches!$E$2:$E$60)*($A114-Taches!$H$2:$H$60+1)/Taches!$E$2:$E$60)*Taches!$G$2:$G$60),0)</f>
        <v>95540000</v>
      </c>
      <c r="E114" s="0" t="n">
        <f aca="false">ROUND(SUMPRODUCT((Taches!$B$2:$B$60="LOT-04")*($A114&gt;=Taches!$H$2:$H$60)*((($A114-Taches!$H$2:$H$60+1)&gt;=Taches!$E$2:$E$60)+(($A114-Taches!$H$2:$H$60+1)&lt;Taches!$E$2:$E$60)*($A114-Taches!$H$2:$H$60+1)/Taches!$E$2:$E$60)*Taches!$G$2:$G$60),0)</f>
        <v>28729714</v>
      </c>
      <c r="F114" s="0" t="n">
        <f aca="false">ROUND(SUMPRODUCT((Taches!$B$2:$B$60="LOT-05")*($A114&gt;=Taches!$H$2:$H$60)*((($A114-Taches!$H$2:$H$60+1)&gt;=Taches!$E$2:$E$60)+(($A114-Taches!$H$2:$H$60+1)&lt;Taches!$E$2:$E$60)*($A114-Taches!$H$2:$H$60+1)/Taches!$E$2:$E$60)*Taches!$G$2:$G$60),0)</f>
        <v>0</v>
      </c>
      <c r="G114" s="0" t="n">
        <f aca="false">ROUND(SUMPRODUCT((Taches!$B$2:$B$60="LOT-06")*($A114&gt;=Taches!$H$2:$H$60)*((($A114-Taches!$H$2:$H$60+1)&gt;=Taches!$E$2:$E$60)+(($A114-Taches!$H$2:$H$60+1)&lt;Taches!$E$2:$E$60)*($A114-Taches!$H$2:$H$60+1)/Taches!$E$2:$E$60)*Taches!$G$2:$G$60),0)</f>
        <v>0</v>
      </c>
      <c r="H114" s="0" t="n">
        <f aca="false">ROUND(SUMPRODUCT((Taches!$B$2:$B$60="LOT-07")*($A114&gt;=Taches!$H$2:$H$60)*((($A114-Taches!$H$2:$H$60+1)&gt;=Taches!$E$2:$E$60)+(($A114-Taches!$H$2:$H$60+1)&lt;Taches!$E$2:$E$60)*($A114-Taches!$H$2:$H$60+1)/Taches!$E$2:$E$60)*Taches!$G$2:$G$60),0)</f>
        <v>0</v>
      </c>
      <c r="I114" s="0" t="n">
        <f aca="false">ROUND(SUMPRODUCT((Taches!$B$2:$B$60="LOT-08")*($A114&gt;=Taches!$H$2:$H$60)*((($A114-Taches!$H$2:$H$60+1)&gt;=Taches!$E$2:$E$60)+(($A114-Taches!$H$2:$H$60+1)&lt;Taches!$E$2:$E$60)*($A114-Taches!$H$2:$H$60+1)/Taches!$E$2:$E$60)*Taches!$G$2:$G$60),0)</f>
        <v>0</v>
      </c>
      <c r="J114" s="0" t="n">
        <f aca="false">SUM(B114:I114)</f>
        <v>238839714</v>
      </c>
    </row>
    <row r="115" customFormat="false" ht="15" hidden="false" customHeight="false" outlineLevel="0" collapsed="false">
      <c r="A115" s="0" t="n">
        <v>113</v>
      </c>
      <c r="B115" s="0" t="n">
        <f aca="false">ROUND(SUMPRODUCT((Taches!$B$2:$B$60="LOT-01")*($A115&gt;=Taches!$H$2:$H$60)*((($A115-Taches!$H$2:$H$60+1)&gt;=Taches!$E$2:$E$60)+(($A115-Taches!$H$2:$H$60+1)&lt;Taches!$E$2:$E$60)*($A115-Taches!$H$2:$H$60+1)/Taches!$E$2:$E$60)*Taches!$G$2:$G$60),0)</f>
        <v>55890000</v>
      </c>
      <c r="C115" s="0" t="n">
        <f aca="false">ROUND(SUMPRODUCT((Taches!$B$2:$B$60="LOT-02")*($A115&gt;=Taches!$H$2:$H$60)*((($A115-Taches!$H$2:$H$60+1)&gt;=Taches!$E$2:$E$60)+(($A115-Taches!$H$2:$H$60+1)&lt;Taches!$E$2:$E$60)*($A115-Taches!$H$2:$H$60+1)/Taches!$E$2:$E$60)*Taches!$G$2:$G$60),0)</f>
        <v>59552200</v>
      </c>
      <c r="D115" s="0" t="n">
        <f aca="false">ROUND(SUMPRODUCT((Taches!$B$2:$B$60="LOT-03")*($A115&gt;=Taches!$H$2:$H$60)*((($A115-Taches!$H$2:$H$60+1)&gt;=Taches!$E$2:$E$60)+(($A115-Taches!$H$2:$H$60+1)&lt;Taches!$E$2:$E$60)*($A115-Taches!$H$2:$H$60+1)/Taches!$E$2:$E$60)*Taches!$G$2:$G$60),0)</f>
        <v>96956000</v>
      </c>
      <c r="E115" s="0" t="n">
        <f aca="false">ROUND(SUMPRODUCT((Taches!$B$2:$B$60="LOT-04")*($A115&gt;=Taches!$H$2:$H$60)*((($A115-Taches!$H$2:$H$60+1)&gt;=Taches!$E$2:$E$60)+(($A115-Taches!$H$2:$H$60+1)&lt;Taches!$E$2:$E$60)*($A115-Taches!$H$2:$H$60+1)/Taches!$E$2:$E$60)*Taches!$G$2:$G$60),0)</f>
        <v>30037143</v>
      </c>
      <c r="F115" s="0" t="n">
        <f aca="false">ROUND(SUMPRODUCT((Taches!$B$2:$B$60="LOT-05")*($A115&gt;=Taches!$H$2:$H$60)*((($A115-Taches!$H$2:$H$60+1)&gt;=Taches!$E$2:$E$60)+(($A115-Taches!$H$2:$H$60+1)&lt;Taches!$E$2:$E$60)*($A115-Taches!$H$2:$H$60+1)/Taches!$E$2:$E$60)*Taches!$G$2:$G$60),0)</f>
        <v>0</v>
      </c>
      <c r="G115" s="0" t="n">
        <f aca="false">ROUND(SUMPRODUCT((Taches!$B$2:$B$60="LOT-06")*($A115&gt;=Taches!$H$2:$H$60)*((($A115-Taches!$H$2:$H$60+1)&gt;=Taches!$E$2:$E$60)+(($A115-Taches!$H$2:$H$60+1)&lt;Taches!$E$2:$E$60)*($A115-Taches!$H$2:$H$60+1)/Taches!$E$2:$E$60)*Taches!$G$2:$G$60),0)</f>
        <v>0</v>
      </c>
      <c r="H115" s="0" t="n">
        <f aca="false">ROUND(SUMPRODUCT((Taches!$B$2:$B$60="LOT-07")*($A115&gt;=Taches!$H$2:$H$60)*((($A115-Taches!$H$2:$H$60+1)&gt;=Taches!$E$2:$E$60)+(($A115-Taches!$H$2:$H$60+1)&lt;Taches!$E$2:$E$60)*($A115-Taches!$H$2:$H$60+1)/Taches!$E$2:$E$60)*Taches!$G$2:$G$60),0)</f>
        <v>0</v>
      </c>
      <c r="I115" s="0" t="n">
        <f aca="false">ROUND(SUMPRODUCT((Taches!$B$2:$B$60="LOT-08")*($A115&gt;=Taches!$H$2:$H$60)*((($A115-Taches!$H$2:$H$60+1)&gt;=Taches!$E$2:$E$60)+(($A115-Taches!$H$2:$H$60+1)&lt;Taches!$E$2:$E$60)*($A115-Taches!$H$2:$H$60+1)/Taches!$E$2:$E$60)*Taches!$G$2:$G$60),0)</f>
        <v>0</v>
      </c>
      <c r="J115" s="0" t="n">
        <f aca="false">SUM(B115:I115)</f>
        <v>242435343</v>
      </c>
    </row>
    <row r="116" customFormat="false" ht="15" hidden="false" customHeight="false" outlineLevel="0" collapsed="false">
      <c r="A116" s="0" t="n">
        <v>114</v>
      </c>
      <c r="B116" s="0" t="n">
        <f aca="false">ROUND(SUMPRODUCT((Taches!$B$2:$B$60="LOT-01")*($A116&gt;=Taches!$H$2:$H$60)*((($A116-Taches!$H$2:$H$60+1)&gt;=Taches!$E$2:$E$60)+(($A116-Taches!$H$2:$H$60+1)&lt;Taches!$E$2:$E$60)*($A116-Taches!$H$2:$H$60+1)/Taches!$E$2:$E$60)*Taches!$G$2:$G$60),0)</f>
        <v>55890000</v>
      </c>
      <c r="C116" s="0" t="n">
        <f aca="false">ROUND(SUMPRODUCT((Taches!$B$2:$B$60="LOT-02")*($A116&gt;=Taches!$H$2:$H$60)*((($A116-Taches!$H$2:$H$60+1)&gt;=Taches!$E$2:$E$60)+(($A116-Taches!$H$2:$H$60+1)&lt;Taches!$E$2:$E$60)*($A116-Taches!$H$2:$H$60+1)/Taches!$E$2:$E$60)*Taches!$G$2:$G$60),0)</f>
        <v>60424400</v>
      </c>
      <c r="D116" s="0" t="n">
        <f aca="false">ROUND(SUMPRODUCT((Taches!$B$2:$B$60="LOT-03")*($A116&gt;=Taches!$H$2:$H$60)*((($A116-Taches!$H$2:$H$60+1)&gt;=Taches!$E$2:$E$60)+(($A116-Taches!$H$2:$H$60+1)&lt;Taches!$E$2:$E$60)*($A116-Taches!$H$2:$H$60+1)/Taches!$E$2:$E$60)*Taches!$G$2:$G$60),0)</f>
        <v>98372000</v>
      </c>
      <c r="E116" s="0" t="n">
        <f aca="false">ROUND(SUMPRODUCT((Taches!$B$2:$B$60="LOT-04")*($A116&gt;=Taches!$H$2:$H$60)*((($A116-Taches!$H$2:$H$60+1)&gt;=Taches!$E$2:$E$60)+(($A116-Taches!$H$2:$H$60+1)&lt;Taches!$E$2:$E$60)*($A116-Taches!$H$2:$H$60+1)/Taches!$E$2:$E$60)*Taches!$G$2:$G$60),0)</f>
        <v>31344571</v>
      </c>
      <c r="F116" s="0" t="n">
        <f aca="false">ROUND(SUMPRODUCT((Taches!$B$2:$B$60="LOT-05")*($A116&gt;=Taches!$H$2:$H$60)*((($A116-Taches!$H$2:$H$60+1)&gt;=Taches!$E$2:$E$60)+(($A116-Taches!$H$2:$H$60+1)&lt;Taches!$E$2:$E$60)*($A116-Taches!$H$2:$H$60+1)/Taches!$E$2:$E$60)*Taches!$G$2:$G$60),0)</f>
        <v>0</v>
      </c>
      <c r="G116" s="0" t="n">
        <f aca="false">ROUND(SUMPRODUCT((Taches!$B$2:$B$60="LOT-06")*($A116&gt;=Taches!$H$2:$H$60)*((($A116-Taches!$H$2:$H$60+1)&gt;=Taches!$E$2:$E$60)+(($A116-Taches!$H$2:$H$60+1)&lt;Taches!$E$2:$E$60)*($A116-Taches!$H$2:$H$60+1)/Taches!$E$2:$E$60)*Taches!$G$2:$G$60),0)</f>
        <v>0</v>
      </c>
      <c r="H116" s="0" t="n">
        <f aca="false">ROUND(SUMPRODUCT((Taches!$B$2:$B$60="LOT-07")*($A116&gt;=Taches!$H$2:$H$60)*((($A116-Taches!$H$2:$H$60+1)&gt;=Taches!$E$2:$E$60)+(($A116-Taches!$H$2:$H$60+1)&lt;Taches!$E$2:$E$60)*($A116-Taches!$H$2:$H$60+1)/Taches!$E$2:$E$60)*Taches!$G$2:$G$60),0)</f>
        <v>0</v>
      </c>
      <c r="I116" s="0" t="n">
        <f aca="false">ROUND(SUMPRODUCT((Taches!$B$2:$B$60="LOT-08")*($A116&gt;=Taches!$H$2:$H$60)*((($A116-Taches!$H$2:$H$60+1)&gt;=Taches!$E$2:$E$60)+(($A116-Taches!$H$2:$H$60+1)&lt;Taches!$E$2:$E$60)*($A116-Taches!$H$2:$H$60+1)/Taches!$E$2:$E$60)*Taches!$G$2:$G$60),0)</f>
        <v>0</v>
      </c>
      <c r="J116" s="0" t="n">
        <f aca="false">SUM(B116:I116)</f>
        <v>246030971</v>
      </c>
    </row>
    <row r="117" customFormat="false" ht="15" hidden="false" customHeight="false" outlineLevel="0" collapsed="false">
      <c r="A117" s="0" t="n">
        <v>115</v>
      </c>
      <c r="B117" s="0" t="n">
        <f aca="false">ROUND(SUMPRODUCT((Taches!$B$2:$B$60="LOT-01")*($A117&gt;=Taches!$H$2:$H$60)*((($A117-Taches!$H$2:$H$60+1)&gt;=Taches!$E$2:$E$60)+(($A117-Taches!$H$2:$H$60+1)&lt;Taches!$E$2:$E$60)*($A117-Taches!$H$2:$H$60+1)/Taches!$E$2:$E$60)*Taches!$G$2:$G$60),0)</f>
        <v>55890000</v>
      </c>
      <c r="C117" s="0" t="n">
        <f aca="false">ROUND(SUMPRODUCT((Taches!$B$2:$B$60="LOT-02")*($A117&gt;=Taches!$H$2:$H$60)*((($A117-Taches!$H$2:$H$60+1)&gt;=Taches!$E$2:$E$60)+(($A117-Taches!$H$2:$H$60+1)&lt;Taches!$E$2:$E$60)*($A117-Taches!$H$2:$H$60+1)/Taches!$E$2:$E$60)*Taches!$G$2:$G$60),0)</f>
        <v>61296600</v>
      </c>
      <c r="D117" s="0" t="n">
        <f aca="false">ROUND(SUMPRODUCT((Taches!$B$2:$B$60="LOT-03")*($A117&gt;=Taches!$H$2:$H$60)*((($A117-Taches!$H$2:$H$60+1)&gt;=Taches!$E$2:$E$60)+(($A117-Taches!$H$2:$H$60+1)&lt;Taches!$E$2:$E$60)*($A117-Taches!$H$2:$H$60+1)/Taches!$E$2:$E$60)*Taches!$G$2:$G$60),0)</f>
        <v>99788000</v>
      </c>
      <c r="E117" s="0" t="n">
        <f aca="false">ROUND(SUMPRODUCT((Taches!$B$2:$B$60="LOT-04")*($A117&gt;=Taches!$H$2:$H$60)*((($A117-Taches!$H$2:$H$60+1)&gt;=Taches!$E$2:$E$60)+(($A117-Taches!$H$2:$H$60+1)&lt;Taches!$E$2:$E$60)*($A117-Taches!$H$2:$H$60+1)/Taches!$E$2:$E$60)*Taches!$G$2:$G$60),0)</f>
        <v>32652000</v>
      </c>
      <c r="F117" s="0" t="n">
        <f aca="false">ROUND(SUMPRODUCT((Taches!$B$2:$B$60="LOT-05")*($A117&gt;=Taches!$H$2:$H$60)*((($A117-Taches!$H$2:$H$60+1)&gt;=Taches!$E$2:$E$60)+(($A117-Taches!$H$2:$H$60+1)&lt;Taches!$E$2:$E$60)*($A117-Taches!$H$2:$H$60+1)/Taches!$E$2:$E$60)*Taches!$G$2:$G$60),0)</f>
        <v>0</v>
      </c>
      <c r="G117" s="0" t="n">
        <f aca="false">ROUND(SUMPRODUCT((Taches!$B$2:$B$60="LOT-06")*($A117&gt;=Taches!$H$2:$H$60)*((($A117-Taches!$H$2:$H$60+1)&gt;=Taches!$E$2:$E$60)+(($A117-Taches!$H$2:$H$60+1)&lt;Taches!$E$2:$E$60)*($A117-Taches!$H$2:$H$60+1)/Taches!$E$2:$E$60)*Taches!$G$2:$G$60),0)</f>
        <v>0</v>
      </c>
      <c r="H117" s="0" t="n">
        <f aca="false">ROUND(SUMPRODUCT((Taches!$B$2:$B$60="LOT-07")*($A117&gt;=Taches!$H$2:$H$60)*((($A117-Taches!$H$2:$H$60+1)&gt;=Taches!$E$2:$E$60)+(($A117-Taches!$H$2:$H$60+1)&lt;Taches!$E$2:$E$60)*($A117-Taches!$H$2:$H$60+1)/Taches!$E$2:$E$60)*Taches!$G$2:$G$60),0)</f>
        <v>0</v>
      </c>
      <c r="I117" s="0" t="n">
        <f aca="false">ROUND(SUMPRODUCT((Taches!$B$2:$B$60="LOT-08")*($A117&gt;=Taches!$H$2:$H$60)*((($A117-Taches!$H$2:$H$60+1)&gt;=Taches!$E$2:$E$60)+(($A117-Taches!$H$2:$H$60+1)&lt;Taches!$E$2:$E$60)*($A117-Taches!$H$2:$H$60+1)/Taches!$E$2:$E$60)*Taches!$G$2:$G$60),0)</f>
        <v>0</v>
      </c>
      <c r="J117" s="0" t="n">
        <f aca="false">SUM(B117:I117)</f>
        <v>249626600</v>
      </c>
    </row>
    <row r="118" customFormat="false" ht="15" hidden="false" customHeight="false" outlineLevel="0" collapsed="false">
      <c r="A118" s="0" t="n">
        <v>116</v>
      </c>
      <c r="B118" s="0" t="n">
        <f aca="false">ROUND(SUMPRODUCT((Taches!$B$2:$B$60="LOT-01")*($A118&gt;=Taches!$H$2:$H$60)*((($A118-Taches!$H$2:$H$60+1)&gt;=Taches!$E$2:$E$60)+(($A118-Taches!$H$2:$H$60+1)&lt;Taches!$E$2:$E$60)*($A118-Taches!$H$2:$H$60+1)/Taches!$E$2:$E$60)*Taches!$G$2:$G$60),0)</f>
        <v>55890000</v>
      </c>
      <c r="C118" s="0" t="n">
        <f aca="false">ROUND(SUMPRODUCT((Taches!$B$2:$B$60="LOT-02")*($A118&gt;=Taches!$H$2:$H$60)*((($A118-Taches!$H$2:$H$60+1)&gt;=Taches!$E$2:$E$60)+(($A118-Taches!$H$2:$H$60+1)&lt;Taches!$E$2:$E$60)*($A118-Taches!$H$2:$H$60+1)/Taches!$E$2:$E$60)*Taches!$G$2:$G$60),0)</f>
        <v>62168800</v>
      </c>
      <c r="D118" s="0" t="n">
        <f aca="false">ROUND(SUMPRODUCT((Taches!$B$2:$B$60="LOT-03")*($A118&gt;=Taches!$H$2:$H$60)*((($A118-Taches!$H$2:$H$60+1)&gt;=Taches!$E$2:$E$60)+(($A118-Taches!$H$2:$H$60+1)&lt;Taches!$E$2:$E$60)*($A118-Taches!$H$2:$H$60+1)/Taches!$E$2:$E$60)*Taches!$G$2:$G$60),0)</f>
        <v>101204000</v>
      </c>
      <c r="E118" s="0" t="n">
        <f aca="false">ROUND(SUMPRODUCT((Taches!$B$2:$B$60="LOT-04")*($A118&gt;=Taches!$H$2:$H$60)*((($A118-Taches!$H$2:$H$60+1)&gt;=Taches!$E$2:$E$60)+(($A118-Taches!$H$2:$H$60+1)&lt;Taches!$E$2:$E$60)*($A118-Taches!$H$2:$H$60+1)/Taches!$E$2:$E$60)*Taches!$G$2:$G$60),0)</f>
        <v>34265722</v>
      </c>
      <c r="F118" s="0" t="n">
        <f aca="false">ROUND(SUMPRODUCT((Taches!$B$2:$B$60="LOT-05")*($A118&gt;=Taches!$H$2:$H$60)*((($A118-Taches!$H$2:$H$60+1)&gt;=Taches!$E$2:$E$60)+(($A118-Taches!$H$2:$H$60+1)&lt;Taches!$E$2:$E$60)*($A118-Taches!$H$2:$H$60+1)/Taches!$E$2:$E$60)*Taches!$G$2:$G$60),0)</f>
        <v>0</v>
      </c>
      <c r="G118" s="0" t="n">
        <f aca="false">ROUND(SUMPRODUCT((Taches!$B$2:$B$60="LOT-06")*($A118&gt;=Taches!$H$2:$H$60)*((($A118-Taches!$H$2:$H$60+1)&gt;=Taches!$E$2:$E$60)+(($A118-Taches!$H$2:$H$60+1)&lt;Taches!$E$2:$E$60)*($A118-Taches!$H$2:$H$60+1)/Taches!$E$2:$E$60)*Taches!$G$2:$G$60),0)</f>
        <v>0</v>
      </c>
      <c r="H118" s="0" t="n">
        <f aca="false">ROUND(SUMPRODUCT((Taches!$B$2:$B$60="LOT-07")*($A118&gt;=Taches!$H$2:$H$60)*((($A118-Taches!$H$2:$H$60+1)&gt;=Taches!$E$2:$E$60)+(($A118-Taches!$H$2:$H$60+1)&lt;Taches!$E$2:$E$60)*($A118-Taches!$H$2:$H$60+1)/Taches!$E$2:$E$60)*Taches!$G$2:$G$60),0)</f>
        <v>0</v>
      </c>
      <c r="I118" s="0" t="n">
        <f aca="false">ROUND(SUMPRODUCT((Taches!$B$2:$B$60="LOT-08")*($A118&gt;=Taches!$H$2:$H$60)*((($A118-Taches!$H$2:$H$60+1)&gt;=Taches!$E$2:$E$60)+(($A118-Taches!$H$2:$H$60+1)&lt;Taches!$E$2:$E$60)*($A118-Taches!$H$2:$H$60+1)/Taches!$E$2:$E$60)*Taches!$G$2:$G$60),0)</f>
        <v>0</v>
      </c>
      <c r="J118" s="0" t="n">
        <f aca="false">SUM(B118:I118)</f>
        <v>253528522</v>
      </c>
    </row>
    <row r="119" customFormat="false" ht="15" hidden="false" customHeight="false" outlineLevel="0" collapsed="false">
      <c r="A119" s="0" t="n">
        <v>117</v>
      </c>
      <c r="B119" s="0" t="n">
        <f aca="false">ROUND(SUMPRODUCT((Taches!$B$2:$B$60="LOT-01")*($A119&gt;=Taches!$H$2:$H$60)*((($A119-Taches!$H$2:$H$60+1)&gt;=Taches!$E$2:$E$60)+(($A119-Taches!$H$2:$H$60+1)&lt;Taches!$E$2:$E$60)*($A119-Taches!$H$2:$H$60+1)/Taches!$E$2:$E$60)*Taches!$G$2:$G$60),0)</f>
        <v>55890000</v>
      </c>
      <c r="C119" s="0" t="n">
        <f aca="false">ROUND(SUMPRODUCT((Taches!$B$2:$B$60="LOT-02")*($A119&gt;=Taches!$H$2:$H$60)*((($A119-Taches!$H$2:$H$60+1)&gt;=Taches!$E$2:$E$60)+(($A119-Taches!$H$2:$H$60+1)&lt;Taches!$E$2:$E$60)*($A119-Taches!$H$2:$H$60+1)/Taches!$E$2:$E$60)*Taches!$G$2:$G$60),0)</f>
        <v>63041000</v>
      </c>
      <c r="D119" s="0" t="n">
        <f aca="false">ROUND(SUMPRODUCT((Taches!$B$2:$B$60="LOT-03")*($A119&gt;=Taches!$H$2:$H$60)*((($A119-Taches!$H$2:$H$60+1)&gt;=Taches!$E$2:$E$60)+(($A119-Taches!$H$2:$H$60+1)&lt;Taches!$E$2:$E$60)*($A119-Taches!$H$2:$H$60+1)/Taches!$E$2:$E$60)*Taches!$G$2:$G$60),0)</f>
        <v>102620000</v>
      </c>
      <c r="E119" s="0" t="n">
        <f aca="false">ROUND(SUMPRODUCT((Taches!$B$2:$B$60="LOT-04")*($A119&gt;=Taches!$H$2:$H$60)*((($A119-Taches!$H$2:$H$60+1)&gt;=Taches!$E$2:$E$60)+(($A119-Taches!$H$2:$H$60+1)&lt;Taches!$E$2:$E$60)*($A119-Taches!$H$2:$H$60+1)/Taches!$E$2:$E$60)*Taches!$G$2:$G$60),0)</f>
        <v>35879444</v>
      </c>
      <c r="F119" s="0" t="n">
        <f aca="false">ROUND(SUMPRODUCT((Taches!$B$2:$B$60="LOT-05")*($A119&gt;=Taches!$H$2:$H$60)*((($A119-Taches!$H$2:$H$60+1)&gt;=Taches!$E$2:$E$60)+(($A119-Taches!$H$2:$H$60+1)&lt;Taches!$E$2:$E$60)*($A119-Taches!$H$2:$H$60+1)/Taches!$E$2:$E$60)*Taches!$G$2:$G$60),0)</f>
        <v>0</v>
      </c>
      <c r="G119" s="0" t="n">
        <f aca="false">ROUND(SUMPRODUCT((Taches!$B$2:$B$60="LOT-06")*($A119&gt;=Taches!$H$2:$H$60)*((($A119-Taches!$H$2:$H$60+1)&gt;=Taches!$E$2:$E$60)+(($A119-Taches!$H$2:$H$60+1)&lt;Taches!$E$2:$E$60)*($A119-Taches!$H$2:$H$60+1)/Taches!$E$2:$E$60)*Taches!$G$2:$G$60),0)</f>
        <v>0</v>
      </c>
      <c r="H119" s="0" t="n">
        <f aca="false">ROUND(SUMPRODUCT((Taches!$B$2:$B$60="LOT-07")*($A119&gt;=Taches!$H$2:$H$60)*((($A119-Taches!$H$2:$H$60+1)&gt;=Taches!$E$2:$E$60)+(($A119-Taches!$H$2:$H$60+1)&lt;Taches!$E$2:$E$60)*($A119-Taches!$H$2:$H$60+1)/Taches!$E$2:$E$60)*Taches!$G$2:$G$60),0)</f>
        <v>0</v>
      </c>
      <c r="I119" s="0" t="n">
        <f aca="false">ROUND(SUMPRODUCT((Taches!$B$2:$B$60="LOT-08")*($A119&gt;=Taches!$H$2:$H$60)*((($A119-Taches!$H$2:$H$60+1)&gt;=Taches!$E$2:$E$60)+(($A119-Taches!$H$2:$H$60+1)&lt;Taches!$E$2:$E$60)*($A119-Taches!$H$2:$H$60+1)/Taches!$E$2:$E$60)*Taches!$G$2:$G$60),0)</f>
        <v>0</v>
      </c>
      <c r="J119" s="0" t="n">
        <f aca="false">SUM(B119:I119)</f>
        <v>257430444</v>
      </c>
    </row>
    <row r="120" customFormat="false" ht="15" hidden="false" customHeight="false" outlineLevel="0" collapsed="false">
      <c r="A120" s="0" t="n">
        <v>118</v>
      </c>
      <c r="B120" s="0" t="n">
        <f aca="false">ROUND(SUMPRODUCT((Taches!$B$2:$B$60="LOT-01")*($A120&gt;=Taches!$H$2:$H$60)*((($A120-Taches!$H$2:$H$60+1)&gt;=Taches!$E$2:$E$60)+(($A120-Taches!$H$2:$H$60+1)&lt;Taches!$E$2:$E$60)*($A120-Taches!$H$2:$H$60+1)/Taches!$E$2:$E$60)*Taches!$G$2:$G$60),0)</f>
        <v>55890000</v>
      </c>
      <c r="C120" s="0" t="n">
        <f aca="false">ROUND(SUMPRODUCT((Taches!$B$2:$B$60="LOT-02")*($A120&gt;=Taches!$H$2:$H$60)*((($A120-Taches!$H$2:$H$60+1)&gt;=Taches!$E$2:$E$60)+(($A120-Taches!$H$2:$H$60+1)&lt;Taches!$E$2:$E$60)*($A120-Taches!$H$2:$H$60+1)/Taches!$E$2:$E$60)*Taches!$G$2:$G$60),0)</f>
        <v>63913200</v>
      </c>
      <c r="D120" s="0" t="n">
        <f aca="false">ROUND(SUMPRODUCT((Taches!$B$2:$B$60="LOT-03")*($A120&gt;=Taches!$H$2:$H$60)*((($A120-Taches!$H$2:$H$60+1)&gt;=Taches!$E$2:$E$60)+(($A120-Taches!$H$2:$H$60+1)&lt;Taches!$E$2:$E$60)*($A120-Taches!$H$2:$H$60+1)/Taches!$E$2:$E$60)*Taches!$G$2:$G$60),0)</f>
        <v>104036000</v>
      </c>
      <c r="E120" s="0" t="n">
        <f aca="false">ROUND(SUMPRODUCT((Taches!$B$2:$B$60="LOT-04")*($A120&gt;=Taches!$H$2:$H$60)*((($A120-Taches!$H$2:$H$60+1)&gt;=Taches!$E$2:$E$60)+(($A120-Taches!$H$2:$H$60+1)&lt;Taches!$E$2:$E$60)*($A120-Taches!$H$2:$H$60+1)/Taches!$E$2:$E$60)*Taches!$G$2:$G$60),0)</f>
        <v>37493167</v>
      </c>
      <c r="F120" s="0" t="n">
        <f aca="false">ROUND(SUMPRODUCT((Taches!$B$2:$B$60="LOT-05")*($A120&gt;=Taches!$H$2:$H$60)*((($A120-Taches!$H$2:$H$60+1)&gt;=Taches!$E$2:$E$60)+(($A120-Taches!$H$2:$H$60+1)&lt;Taches!$E$2:$E$60)*($A120-Taches!$H$2:$H$60+1)/Taches!$E$2:$E$60)*Taches!$G$2:$G$60),0)</f>
        <v>0</v>
      </c>
      <c r="G120" s="0" t="n">
        <f aca="false">ROUND(SUMPRODUCT((Taches!$B$2:$B$60="LOT-06")*($A120&gt;=Taches!$H$2:$H$60)*((($A120-Taches!$H$2:$H$60+1)&gt;=Taches!$E$2:$E$60)+(($A120-Taches!$H$2:$H$60+1)&lt;Taches!$E$2:$E$60)*($A120-Taches!$H$2:$H$60+1)/Taches!$E$2:$E$60)*Taches!$G$2:$G$60),0)</f>
        <v>0</v>
      </c>
      <c r="H120" s="0" t="n">
        <f aca="false">ROUND(SUMPRODUCT((Taches!$B$2:$B$60="LOT-07")*($A120&gt;=Taches!$H$2:$H$60)*((($A120-Taches!$H$2:$H$60+1)&gt;=Taches!$E$2:$E$60)+(($A120-Taches!$H$2:$H$60+1)&lt;Taches!$E$2:$E$60)*($A120-Taches!$H$2:$H$60+1)/Taches!$E$2:$E$60)*Taches!$G$2:$G$60),0)</f>
        <v>0</v>
      </c>
      <c r="I120" s="0" t="n">
        <f aca="false">ROUND(SUMPRODUCT((Taches!$B$2:$B$60="LOT-08")*($A120&gt;=Taches!$H$2:$H$60)*((($A120-Taches!$H$2:$H$60+1)&gt;=Taches!$E$2:$E$60)+(($A120-Taches!$H$2:$H$60+1)&lt;Taches!$E$2:$E$60)*($A120-Taches!$H$2:$H$60+1)/Taches!$E$2:$E$60)*Taches!$G$2:$G$60),0)</f>
        <v>0</v>
      </c>
      <c r="J120" s="0" t="n">
        <f aca="false">SUM(B120:I120)</f>
        <v>261332367</v>
      </c>
    </row>
    <row r="121" customFormat="false" ht="15" hidden="false" customHeight="false" outlineLevel="0" collapsed="false">
      <c r="A121" s="0" t="n">
        <v>119</v>
      </c>
      <c r="B121" s="0" t="n">
        <f aca="false">ROUND(SUMPRODUCT((Taches!$B$2:$B$60="LOT-01")*($A121&gt;=Taches!$H$2:$H$60)*((($A121-Taches!$H$2:$H$60+1)&gt;=Taches!$E$2:$E$60)+(($A121-Taches!$H$2:$H$60+1)&lt;Taches!$E$2:$E$60)*($A121-Taches!$H$2:$H$60+1)/Taches!$E$2:$E$60)*Taches!$G$2:$G$60),0)</f>
        <v>55890000</v>
      </c>
      <c r="C121" s="0" t="n">
        <f aca="false">ROUND(SUMPRODUCT((Taches!$B$2:$B$60="LOT-02")*($A121&gt;=Taches!$H$2:$H$60)*((($A121-Taches!$H$2:$H$60+1)&gt;=Taches!$E$2:$E$60)+(($A121-Taches!$H$2:$H$60+1)&lt;Taches!$E$2:$E$60)*($A121-Taches!$H$2:$H$60+1)/Taches!$E$2:$E$60)*Taches!$G$2:$G$60),0)</f>
        <v>64785400</v>
      </c>
      <c r="D121" s="0" t="n">
        <f aca="false">ROUND(SUMPRODUCT((Taches!$B$2:$B$60="LOT-03")*($A121&gt;=Taches!$H$2:$H$60)*((($A121-Taches!$H$2:$H$60+1)&gt;=Taches!$E$2:$E$60)+(($A121-Taches!$H$2:$H$60+1)&lt;Taches!$E$2:$E$60)*($A121-Taches!$H$2:$H$60+1)/Taches!$E$2:$E$60)*Taches!$G$2:$G$60),0)</f>
        <v>105452000</v>
      </c>
      <c r="E121" s="0" t="n">
        <f aca="false">ROUND(SUMPRODUCT((Taches!$B$2:$B$60="LOT-04")*($A121&gt;=Taches!$H$2:$H$60)*((($A121-Taches!$H$2:$H$60+1)&gt;=Taches!$E$2:$E$60)+(($A121-Taches!$H$2:$H$60+1)&lt;Taches!$E$2:$E$60)*($A121-Taches!$H$2:$H$60+1)/Taches!$E$2:$E$60)*Taches!$G$2:$G$60),0)</f>
        <v>39106889</v>
      </c>
      <c r="F121" s="0" t="n">
        <f aca="false">ROUND(SUMPRODUCT((Taches!$B$2:$B$60="LOT-05")*($A121&gt;=Taches!$H$2:$H$60)*((($A121-Taches!$H$2:$H$60+1)&gt;=Taches!$E$2:$E$60)+(($A121-Taches!$H$2:$H$60+1)&lt;Taches!$E$2:$E$60)*($A121-Taches!$H$2:$H$60+1)/Taches!$E$2:$E$60)*Taches!$G$2:$G$60),0)</f>
        <v>0</v>
      </c>
      <c r="G121" s="0" t="n">
        <f aca="false">ROUND(SUMPRODUCT((Taches!$B$2:$B$60="LOT-06")*($A121&gt;=Taches!$H$2:$H$60)*((($A121-Taches!$H$2:$H$60+1)&gt;=Taches!$E$2:$E$60)+(($A121-Taches!$H$2:$H$60+1)&lt;Taches!$E$2:$E$60)*($A121-Taches!$H$2:$H$60+1)/Taches!$E$2:$E$60)*Taches!$G$2:$G$60),0)</f>
        <v>0</v>
      </c>
      <c r="H121" s="0" t="n">
        <f aca="false">ROUND(SUMPRODUCT((Taches!$B$2:$B$60="LOT-07")*($A121&gt;=Taches!$H$2:$H$60)*((($A121-Taches!$H$2:$H$60+1)&gt;=Taches!$E$2:$E$60)+(($A121-Taches!$H$2:$H$60+1)&lt;Taches!$E$2:$E$60)*($A121-Taches!$H$2:$H$60+1)/Taches!$E$2:$E$60)*Taches!$G$2:$G$60),0)</f>
        <v>0</v>
      </c>
      <c r="I121" s="0" t="n">
        <f aca="false">ROUND(SUMPRODUCT((Taches!$B$2:$B$60="LOT-08")*($A121&gt;=Taches!$H$2:$H$60)*((($A121-Taches!$H$2:$H$60+1)&gt;=Taches!$E$2:$E$60)+(($A121-Taches!$H$2:$H$60+1)&lt;Taches!$E$2:$E$60)*($A121-Taches!$H$2:$H$60+1)/Taches!$E$2:$E$60)*Taches!$G$2:$G$60),0)</f>
        <v>0</v>
      </c>
      <c r="J121" s="0" t="n">
        <f aca="false">SUM(B121:I121)</f>
        <v>265234289</v>
      </c>
    </row>
    <row r="122" customFormat="false" ht="15" hidden="false" customHeight="false" outlineLevel="0" collapsed="false">
      <c r="A122" s="0" t="n">
        <v>120</v>
      </c>
      <c r="B122" s="0" t="n">
        <f aca="false">ROUND(SUMPRODUCT((Taches!$B$2:$B$60="LOT-01")*($A122&gt;=Taches!$H$2:$H$60)*((($A122-Taches!$H$2:$H$60+1)&gt;=Taches!$E$2:$E$60)+(($A122-Taches!$H$2:$H$60+1)&lt;Taches!$E$2:$E$60)*($A122-Taches!$H$2:$H$60+1)/Taches!$E$2:$E$60)*Taches!$G$2:$G$60),0)</f>
        <v>55890000</v>
      </c>
      <c r="C122" s="0" t="n">
        <f aca="false">ROUND(SUMPRODUCT((Taches!$B$2:$B$60="LOT-02")*($A122&gt;=Taches!$H$2:$H$60)*((($A122-Taches!$H$2:$H$60+1)&gt;=Taches!$E$2:$E$60)+(($A122-Taches!$H$2:$H$60+1)&lt;Taches!$E$2:$E$60)*($A122-Taches!$H$2:$H$60+1)/Taches!$E$2:$E$60)*Taches!$G$2:$G$60),0)</f>
        <v>66051200</v>
      </c>
      <c r="D122" s="0" t="n">
        <f aca="false">ROUND(SUMPRODUCT((Taches!$B$2:$B$60="LOT-03")*($A122&gt;=Taches!$H$2:$H$60)*((($A122-Taches!$H$2:$H$60+1)&gt;=Taches!$E$2:$E$60)+(($A122-Taches!$H$2:$H$60+1)&lt;Taches!$E$2:$E$60)*($A122-Taches!$H$2:$H$60+1)/Taches!$E$2:$E$60)*Taches!$G$2:$G$60),0)</f>
        <v>106868000</v>
      </c>
      <c r="E122" s="0" t="n">
        <f aca="false">ROUND(SUMPRODUCT((Taches!$B$2:$B$60="LOT-04")*($A122&gt;=Taches!$H$2:$H$60)*((($A122-Taches!$H$2:$H$60+1)&gt;=Taches!$E$2:$E$60)+(($A122-Taches!$H$2:$H$60+1)&lt;Taches!$E$2:$E$60)*($A122-Taches!$H$2:$H$60+1)/Taches!$E$2:$E$60)*Taches!$G$2:$G$60),0)</f>
        <v>40720611</v>
      </c>
      <c r="F122" s="0" t="n">
        <f aca="false">ROUND(SUMPRODUCT((Taches!$B$2:$B$60="LOT-05")*($A122&gt;=Taches!$H$2:$H$60)*((($A122-Taches!$H$2:$H$60+1)&gt;=Taches!$E$2:$E$60)+(($A122-Taches!$H$2:$H$60+1)&lt;Taches!$E$2:$E$60)*($A122-Taches!$H$2:$H$60+1)/Taches!$E$2:$E$60)*Taches!$G$2:$G$60),0)</f>
        <v>0</v>
      </c>
      <c r="G122" s="0" t="n">
        <f aca="false">ROUND(SUMPRODUCT((Taches!$B$2:$B$60="LOT-06")*($A122&gt;=Taches!$H$2:$H$60)*((($A122-Taches!$H$2:$H$60+1)&gt;=Taches!$E$2:$E$60)+(($A122-Taches!$H$2:$H$60+1)&lt;Taches!$E$2:$E$60)*($A122-Taches!$H$2:$H$60+1)/Taches!$E$2:$E$60)*Taches!$G$2:$G$60),0)</f>
        <v>0</v>
      </c>
      <c r="H122" s="0" t="n">
        <f aca="false">ROUND(SUMPRODUCT((Taches!$B$2:$B$60="LOT-07")*($A122&gt;=Taches!$H$2:$H$60)*((($A122-Taches!$H$2:$H$60+1)&gt;=Taches!$E$2:$E$60)+(($A122-Taches!$H$2:$H$60+1)&lt;Taches!$E$2:$E$60)*($A122-Taches!$H$2:$H$60+1)/Taches!$E$2:$E$60)*Taches!$G$2:$G$60),0)</f>
        <v>0</v>
      </c>
      <c r="I122" s="0" t="n">
        <f aca="false">ROUND(SUMPRODUCT((Taches!$B$2:$B$60="LOT-08")*($A122&gt;=Taches!$H$2:$H$60)*((($A122-Taches!$H$2:$H$60+1)&gt;=Taches!$E$2:$E$60)+(($A122-Taches!$H$2:$H$60+1)&lt;Taches!$E$2:$E$60)*($A122-Taches!$H$2:$H$60+1)/Taches!$E$2:$E$60)*Taches!$G$2:$G$60),0)</f>
        <v>0</v>
      </c>
      <c r="J122" s="0" t="n">
        <f aca="false">SUM(B122:I122)</f>
        <v>269529811</v>
      </c>
    </row>
    <row r="123" customFormat="false" ht="15" hidden="false" customHeight="false" outlineLevel="0" collapsed="false">
      <c r="A123" s="0" t="n">
        <v>121</v>
      </c>
      <c r="B123" s="0" t="n">
        <f aca="false">ROUND(SUMPRODUCT((Taches!$B$2:$B$60="LOT-01")*($A123&gt;=Taches!$H$2:$H$60)*((($A123-Taches!$H$2:$H$60+1)&gt;=Taches!$E$2:$E$60)+(($A123-Taches!$H$2:$H$60+1)&lt;Taches!$E$2:$E$60)*($A123-Taches!$H$2:$H$60+1)/Taches!$E$2:$E$60)*Taches!$G$2:$G$60),0)</f>
        <v>55890000</v>
      </c>
      <c r="C123" s="0" t="n">
        <f aca="false">ROUND(SUMPRODUCT((Taches!$B$2:$B$60="LOT-02")*($A123&gt;=Taches!$H$2:$H$60)*((($A123-Taches!$H$2:$H$60+1)&gt;=Taches!$E$2:$E$60)+(($A123-Taches!$H$2:$H$60+1)&lt;Taches!$E$2:$E$60)*($A123-Taches!$H$2:$H$60+1)/Taches!$E$2:$E$60)*Taches!$G$2:$G$60),0)</f>
        <v>67317000</v>
      </c>
      <c r="D123" s="0" t="n">
        <f aca="false">ROUND(SUMPRODUCT((Taches!$B$2:$B$60="LOT-03")*($A123&gt;=Taches!$H$2:$H$60)*((($A123-Taches!$H$2:$H$60+1)&gt;=Taches!$E$2:$E$60)+(($A123-Taches!$H$2:$H$60+1)&lt;Taches!$E$2:$E$60)*($A123-Taches!$H$2:$H$60+1)/Taches!$E$2:$E$60)*Taches!$G$2:$G$60),0)</f>
        <v>108284000</v>
      </c>
      <c r="E123" s="0" t="n">
        <f aca="false">ROUND(SUMPRODUCT((Taches!$B$2:$B$60="LOT-04")*($A123&gt;=Taches!$H$2:$H$60)*((($A123-Taches!$H$2:$H$60+1)&gt;=Taches!$E$2:$E$60)+(($A123-Taches!$H$2:$H$60+1)&lt;Taches!$E$2:$E$60)*($A123-Taches!$H$2:$H$60+1)/Taches!$E$2:$E$60)*Taches!$G$2:$G$60),0)</f>
        <v>42334333</v>
      </c>
      <c r="F123" s="0" t="n">
        <f aca="false">ROUND(SUMPRODUCT((Taches!$B$2:$B$60="LOT-05")*($A123&gt;=Taches!$H$2:$H$60)*((($A123-Taches!$H$2:$H$60+1)&gt;=Taches!$E$2:$E$60)+(($A123-Taches!$H$2:$H$60+1)&lt;Taches!$E$2:$E$60)*($A123-Taches!$H$2:$H$60+1)/Taches!$E$2:$E$60)*Taches!$G$2:$G$60),0)</f>
        <v>0</v>
      </c>
      <c r="G123" s="0" t="n">
        <f aca="false">ROUND(SUMPRODUCT((Taches!$B$2:$B$60="LOT-06")*($A123&gt;=Taches!$H$2:$H$60)*((($A123-Taches!$H$2:$H$60+1)&gt;=Taches!$E$2:$E$60)+(($A123-Taches!$H$2:$H$60+1)&lt;Taches!$E$2:$E$60)*($A123-Taches!$H$2:$H$60+1)/Taches!$E$2:$E$60)*Taches!$G$2:$G$60),0)</f>
        <v>0</v>
      </c>
      <c r="H123" s="0" t="n">
        <f aca="false">ROUND(SUMPRODUCT((Taches!$B$2:$B$60="LOT-07")*($A123&gt;=Taches!$H$2:$H$60)*((($A123-Taches!$H$2:$H$60+1)&gt;=Taches!$E$2:$E$60)+(($A123-Taches!$H$2:$H$60+1)&lt;Taches!$E$2:$E$60)*($A123-Taches!$H$2:$H$60+1)/Taches!$E$2:$E$60)*Taches!$G$2:$G$60),0)</f>
        <v>0</v>
      </c>
      <c r="I123" s="0" t="n">
        <f aca="false">ROUND(SUMPRODUCT((Taches!$B$2:$B$60="LOT-08")*($A123&gt;=Taches!$H$2:$H$60)*((($A123-Taches!$H$2:$H$60+1)&gt;=Taches!$E$2:$E$60)+(($A123-Taches!$H$2:$H$60+1)&lt;Taches!$E$2:$E$60)*($A123-Taches!$H$2:$H$60+1)/Taches!$E$2:$E$60)*Taches!$G$2:$G$60),0)</f>
        <v>0</v>
      </c>
      <c r="J123" s="0" t="n">
        <f aca="false">SUM(B123:I123)</f>
        <v>273825333</v>
      </c>
    </row>
    <row r="124" customFormat="false" ht="15" hidden="false" customHeight="false" outlineLevel="0" collapsed="false">
      <c r="A124" s="0" t="n">
        <v>122</v>
      </c>
      <c r="B124" s="0" t="n">
        <f aca="false">ROUND(SUMPRODUCT((Taches!$B$2:$B$60="LOT-01")*($A124&gt;=Taches!$H$2:$H$60)*((($A124-Taches!$H$2:$H$60+1)&gt;=Taches!$E$2:$E$60)+(($A124-Taches!$H$2:$H$60+1)&lt;Taches!$E$2:$E$60)*($A124-Taches!$H$2:$H$60+1)/Taches!$E$2:$E$60)*Taches!$G$2:$G$60),0)</f>
        <v>55890000</v>
      </c>
      <c r="C124" s="0" t="n">
        <f aca="false">ROUND(SUMPRODUCT((Taches!$B$2:$B$60="LOT-02")*($A124&gt;=Taches!$H$2:$H$60)*((($A124-Taches!$H$2:$H$60+1)&gt;=Taches!$E$2:$E$60)+(($A124-Taches!$H$2:$H$60+1)&lt;Taches!$E$2:$E$60)*($A124-Taches!$H$2:$H$60+1)/Taches!$E$2:$E$60)*Taches!$G$2:$G$60),0)</f>
        <v>68582800</v>
      </c>
      <c r="D124" s="0" t="n">
        <f aca="false">ROUND(SUMPRODUCT((Taches!$B$2:$B$60="LOT-03")*($A124&gt;=Taches!$H$2:$H$60)*((($A124-Taches!$H$2:$H$60+1)&gt;=Taches!$E$2:$E$60)+(($A124-Taches!$H$2:$H$60+1)&lt;Taches!$E$2:$E$60)*($A124-Taches!$H$2:$H$60+1)/Taches!$E$2:$E$60)*Taches!$G$2:$G$60),0)</f>
        <v>109700000</v>
      </c>
      <c r="E124" s="0" t="n">
        <f aca="false">ROUND(SUMPRODUCT((Taches!$B$2:$B$60="LOT-04")*($A124&gt;=Taches!$H$2:$H$60)*((($A124-Taches!$H$2:$H$60+1)&gt;=Taches!$E$2:$E$60)+(($A124-Taches!$H$2:$H$60+1)&lt;Taches!$E$2:$E$60)*($A124-Taches!$H$2:$H$60+1)/Taches!$E$2:$E$60)*Taches!$G$2:$G$60),0)</f>
        <v>43948056</v>
      </c>
      <c r="F124" s="0" t="n">
        <f aca="false">ROUND(SUMPRODUCT((Taches!$B$2:$B$60="LOT-05")*($A124&gt;=Taches!$H$2:$H$60)*((($A124-Taches!$H$2:$H$60+1)&gt;=Taches!$E$2:$E$60)+(($A124-Taches!$H$2:$H$60+1)&lt;Taches!$E$2:$E$60)*($A124-Taches!$H$2:$H$60+1)/Taches!$E$2:$E$60)*Taches!$G$2:$G$60),0)</f>
        <v>0</v>
      </c>
      <c r="G124" s="0" t="n">
        <f aca="false">ROUND(SUMPRODUCT((Taches!$B$2:$B$60="LOT-06")*($A124&gt;=Taches!$H$2:$H$60)*((($A124-Taches!$H$2:$H$60+1)&gt;=Taches!$E$2:$E$60)+(($A124-Taches!$H$2:$H$60+1)&lt;Taches!$E$2:$E$60)*($A124-Taches!$H$2:$H$60+1)/Taches!$E$2:$E$60)*Taches!$G$2:$G$60),0)</f>
        <v>0</v>
      </c>
      <c r="H124" s="0" t="n">
        <f aca="false">ROUND(SUMPRODUCT((Taches!$B$2:$B$60="LOT-07")*($A124&gt;=Taches!$H$2:$H$60)*((($A124-Taches!$H$2:$H$60+1)&gt;=Taches!$E$2:$E$60)+(($A124-Taches!$H$2:$H$60+1)&lt;Taches!$E$2:$E$60)*($A124-Taches!$H$2:$H$60+1)/Taches!$E$2:$E$60)*Taches!$G$2:$G$60),0)</f>
        <v>0</v>
      </c>
      <c r="I124" s="0" t="n">
        <f aca="false">ROUND(SUMPRODUCT((Taches!$B$2:$B$60="LOT-08")*($A124&gt;=Taches!$H$2:$H$60)*((($A124-Taches!$H$2:$H$60+1)&gt;=Taches!$E$2:$E$60)+(($A124-Taches!$H$2:$H$60+1)&lt;Taches!$E$2:$E$60)*($A124-Taches!$H$2:$H$60+1)/Taches!$E$2:$E$60)*Taches!$G$2:$G$60),0)</f>
        <v>0</v>
      </c>
      <c r="J124" s="0" t="n">
        <f aca="false">SUM(B124:I124)</f>
        <v>278120856</v>
      </c>
    </row>
    <row r="125" customFormat="false" ht="15" hidden="false" customHeight="false" outlineLevel="0" collapsed="false">
      <c r="A125" s="0" t="n">
        <v>123</v>
      </c>
      <c r="B125" s="0" t="n">
        <f aca="false">ROUND(SUMPRODUCT((Taches!$B$2:$B$60="LOT-01")*($A125&gt;=Taches!$H$2:$H$60)*((($A125-Taches!$H$2:$H$60+1)&gt;=Taches!$E$2:$E$60)+(($A125-Taches!$H$2:$H$60+1)&lt;Taches!$E$2:$E$60)*($A125-Taches!$H$2:$H$60+1)/Taches!$E$2:$E$60)*Taches!$G$2:$G$60),0)</f>
        <v>55890000</v>
      </c>
      <c r="C125" s="0" t="n">
        <f aca="false">ROUND(SUMPRODUCT((Taches!$B$2:$B$60="LOT-02")*($A125&gt;=Taches!$H$2:$H$60)*((($A125-Taches!$H$2:$H$60+1)&gt;=Taches!$E$2:$E$60)+(($A125-Taches!$H$2:$H$60+1)&lt;Taches!$E$2:$E$60)*($A125-Taches!$H$2:$H$60+1)/Taches!$E$2:$E$60)*Taches!$G$2:$G$60),0)</f>
        <v>69848600</v>
      </c>
      <c r="D125" s="0" t="n">
        <f aca="false">ROUND(SUMPRODUCT((Taches!$B$2:$B$60="LOT-03")*($A125&gt;=Taches!$H$2:$H$60)*((($A125-Taches!$H$2:$H$60+1)&gt;=Taches!$E$2:$E$60)+(($A125-Taches!$H$2:$H$60+1)&lt;Taches!$E$2:$E$60)*($A125-Taches!$H$2:$H$60+1)/Taches!$E$2:$E$60)*Taches!$G$2:$G$60),0)</f>
        <v>111116000</v>
      </c>
      <c r="E125" s="0" t="n">
        <f aca="false">ROUND(SUMPRODUCT((Taches!$B$2:$B$60="LOT-04")*($A125&gt;=Taches!$H$2:$H$60)*((($A125-Taches!$H$2:$H$60+1)&gt;=Taches!$E$2:$E$60)+(($A125-Taches!$H$2:$H$60+1)&lt;Taches!$E$2:$E$60)*($A125-Taches!$H$2:$H$60+1)/Taches!$E$2:$E$60)*Taches!$G$2:$G$60),0)</f>
        <v>45561778</v>
      </c>
      <c r="F125" s="0" t="n">
        <f aca="false">ROUND(SUMPRODUCT((Taches!$B$2:$B$60="LOT-05")*($A125&gt;=Taches!$H$2:$H$60)*((($A125-Taches!$H$2:$H$60+1)&gt;=Taches!$E$2:$E$60)+(($A125-Taches!$H$2:$H$60+1)&lt;Taches!$E$2:$E$60)*($A125-Taches!$H$2:$H$60+1)/Taches!$E$2:$E$60)*Taches!$G$2:$G$60),0)</f>
        <v>0</v>
      </c>
      <c r="G125" s="0" t="n">
        <f aca="false">ROUND(SUMPRODUCT((Taches!$B$2:$B$60="LOT-06")*($A125&gt;=Taches!$H$2:$H$60)*((($A125-Taches!$H$2:$H$60+1)&gt;=Taches!$E$2:$E$60)+(($A125-Taches!$H$2:$H$60+1)&lt;Taches!$E$2:$E$60)*($A125-Taches!$H$2:$H$60+1)/Taches!$E$2:$E$60)*Taches!$G$2:$G$60),0)</f>
        <v>0</v>
      </c>
      <c r="H125" s="0" t="n">
        <f aca="false">ROUND(SUMPRODUCT((Taches!$B$2:$B$60="LOT-07")*($A125&gt;=Taches!$H$2:$H$60)*((($A125-Taches!$H$2:$H$60+1)&gt;=Taches!$E$2:$E$60)+(($A125-Taches!$H$2:$H$60+1)&lt;Taches!$E$2:$E$60)*($A125-Taches!$H$2:$H$60+1)/Taches!$E$2:$E$60)*Taches!$G$2:$G$60),0)</f>
        <v>0</v>
      </c>
      <c r="I125" s="0" t="n">
        <f aca="false">ROUND(SUMPRODUCT((Taches!$B$2:$B$60="LOT-08")*($A125&gt;=Taches!$H$2:$H$60)*((($A125-Taches!$H$2:$H$60+1)&gt;=Taches!$E$2:$E$60)+(($A125-Taches!$H$2:$H$60+1)&lt;Taches!$E$2:$E$60)*($A125-Taches!$H$2:$H$60+1)/Taches!$E$2:$E$60)*Taches!$G$2:$G$60),0)</f>
        <v>0</v>
      </c>
      <c r="J125" s="0" t="n">
        <f aca="false">SUM(B125:I125)</f>
        <v>282416378</v>
      </c>
    </row>
    <row r="126" customFormat="false" ht="15" hidden="false" customHeight="false" outlineLevel="0" collapsed="false">
      <c r="A126" s="0" t="n">
        <v>124</v>
      </c>
      <c r="B126" s="0" t="n">
        <f aca="false">ROUND(SUMPRODUCT((Taches!$B$2:$B$60="LOT-01")*($A126&gt;=Taches!$H$2:$H$60)*((($A126-Taches!$H$2:$H$60+1)&gt;=Taches!$E$2:$E$60)+(($A126-Taches!$H$2:$H$60+1)&lt;Taches!$E$2:$E$60)*($A126-Taches!$H$2:$H$60+1)/Taches!$E$2:$E$60)*Taches!$G$2:$G$60),0)</f>
        <v>55890000</v>
      </c>
      <c r="C126" s="0" t="n">
        <f aca="false">ROUND(SUMPRODUCT((Taches!$B$2:$B$60="LOT-02")*($A126&gt;=Taches!$H$2:$H$60)*((($A126-Taches!$H$2:$H$60+1)&gt;=Taches!$E$2:$E$60)+(($A126-Taches!$H$2:$H$60+1)&lt;Taches!$E$2:$E$60)*($A126-Taches!$H$2:$H$60+1)/Taches!$E$2:$E$60)*Taches!$G$2:$G$60),0)</f>
        <v>71114400</v>
      </c>
      <c r="D126" s="0" t="n">
        <f aca="false">ROUND(SUMPRODUCT((Taches!$B$2:$B$60="LOT-03")*($A126&gt;=Taches!$H$2:$H$60)*((($A126-Taches!$H$2:$H$60+1)&gt;=Taches!$E$2:$E$60)+(($A126-Taches!$H$2:$H$60+1)&lt;Taches!$E$2:$E$60)*($A126-Taches!$H$2:$H$60+1)/Taches!$E$2:$E$60)*Taches!$G$2:$G$60),0)</f>
        <v>111116000</v>
      </c>
      <c r="E126" s="0" t="n">
        <f aca="false">ROUND(SUMPRODUCT((Taches!$B$2:$B$60="LOT-04")*($A126&gt;=Taches!$H$2:$H$60)*((($A126-Taches!$H$2:$H$60+1)&gt;=Taches!$E$2:$E$60)+(($A126-Taches!$H$2:$H$60+1)&lt;Taches!$E$2:$E$60)*($A126-Taches!$H$2:$H$60+1)/Taches!$E$2:$E$60)*Taches!$G$2:$G$60),0)</f>
        <v>47175500</v>
      </c>
      <c r="F126" s="0" t="n">
        <f aca="false">ROUND(SUMPRODUCT((Taches!$B$2:$B$60="LOT-05")*($A126&gt;=Taches!$H$2:$H$60)*((($A126-Taches!$H$2:$H$60+1)&gt;=Taches!$E$2:$E$60)+(($A126-Taches!$H$2:$H$60+1)&lt;Taches!$E$2:$E$60)*($A126-Taches!$H$2:$H$60+1)/Taches!$E$2:$E$60)*Taches!$G$2:$G$60),0)</f>
        <v>0</v>
      </c>
      <c r="G126" s="0" t="n">
        <f aca="false">ROUND(SUMPRODUCT((Taches!$B$2:$B$60="LOT-06")*($A126&gt;=Taches!$H$2:$H$60)*((($A126-Taches!$H$2:$H$60+1)&gt;=Taches!$E$2:$E$60)+(($A126-Taches!$H$2:$H$60+1)&lt;Taches!$E$2:$E$60)*($A126-Taches!$H$2:$H$60+1)/Taches!$E$2:$E$60)*Taches!$G$2:$G$60),0)</f>
        <v>0</v>
      </c>
      <c r="H126" s="0" t="n">
        <f aca="false">ROUND(SUMPRODUCT((Taches!$B$2:$B$60="LOT-07")*($A126&gt;=Taches!$H$2:$H$60)*((($A126-Taches!$H$2:$H$60+1)&gt;=Taches!$E$2:$E$60)+(($A126-Taches!$H$2:$H$60+1)&lt;Taches!$E$2:$E$60)*($A126-Taches!$H$2:$H$60+1)/Taches!$E$2:$E$60)*Taches!$G$2:$G$60),0)</f>
        <v>0</v>
      </c>
      <c r="I126" s="0" t="n">
        <f aca="false">ROUND(SUMPRODUCT((Taches!$B$2:$B$60="LOT-08")*($A126&gt;=Taches!$H$2:$H$60)*((($A126-Taches!$H$2:$H$60+1)&gt;=Taches!$E$2:$E$60)+(($A126-Taches!$H$2:$H$60+1)&lt;Taches!$E$2:$E$60)*($A126-Taches!$H$2:$H$60+1)/Taches!$E$2:$E$60)*Taches!$G$2:$G$60),0)</f>
        <v>0</v>
      </c>
      <c r="J126" s="0" t="n">
        <f aca="false">SUM(B126:I126)</f>
        <v>285295900</v>
      </c>
    </row>
    <row r="127" customFormat="false" ht="15" hidden="false" customHeight="false" outlineLevel="0" collapsed="false">
      <c r="A127" s="0" t="n">
        <v>125</v>
      </c>
      <c r="B127" s="0" t="n">
        <f aca="false">ROUND(SUMPRODUCT((Taches!$B$2:$B$60="LOT-01")*($A127&gt;=Taches!$H$2:$H$60)*((($A127-Taches!$H$2:$H$60+1)&gt;=Taches!$E$2:$E$60)+(($A127-Taches!$H$2:$H$60+1)&lt;Taches!$E$2:$E$60)*($A127-Taches!$H$2:$H$60+1)/Taches!$E$2:$E$60)*Taches!$G$2:$G$60),0)</f>
        <v>55890000</v>
      </c>
      <c r="C127" s="0" t="n">
        <f aca="false">ROUND(SUMPRODUCT((Taches!$B$2:$B$60="LOT-02")*($A127&gt;=Taches!$H$2:$H$60)*((($A127-Taches!$H$2:$H$60+1)&gt;=Taches!$E$2:$E$60)+(($A127-Taches!$H$2:$H$60+1)&lt;Taches!$E$2:$E$60)*($A127-Taches!$H$2:$H$60+1)/Taches!$E$2:$E$60)*Taches!$G$2:$G$60),0)</f>
        <v>72435000</v>
      </c>
      <c r="D127" s="0" t="n">
        <f aca="false">ROUND(SUMPRODUCT((Taches!$B$2:$B$60="LOT-03")*($A127&gt;=Taches!$H$2:$H$60)*((($A127-Taches!$H$2:$H$60+1)&gt;=Taches!$E$2:$E$60)+(($A127-Taches!$H$2:$H$60+1)&lt;Taches!$E$2:$E$60)*($A127-Taches!$H$2:$H$60+1)/Taches!$E$2:$E$60)*Taches!$G$2:$G$60),0)</f>
        <v>111116000</v>
      </c>
      <c r="E127" s="0" t="n">
        <f aca="false">ROUND(SUMPRODUCT((Taches!$B$2:$B$60="LOT-04")*($A127&gt;=Taches!$H$2:$H$60)*((($A127-Taches!$H$2:$H$60+1)&gt;=Taches!$E$2:$E$60)+(($A127-Taches!$H$2:$H$60+1)&lt;Taches!$E$2:$E$60)*($A127-Taches!$H$2:$H$60+1)/Taches!$E$2:$E$60)*Taches!$G$2:$G$60),0)</f>
        <v>48789222</v>
      </c>
      <c r="F127" s="0" t="n">
        <f aca="false">ROUND(SUMPRODUCT((Taches!$B$2:$B$60="LOT-05")*($A127&gt;=Taches!$H$2:$H$60)*((($A127-Taches!$H$2:$H$60+1)&gt;=Taches!$E$2:$E$60)+(($A127-Taches!$H$2:$H$60+1)&lt;Taches!$E$2:$E$60)*($A127-Taches!$H$2:$H$60+1)/Taches!$E$2:$E$60)*Taches!$G$2:$G$60),0)</f>
        <v>0</v>
      </c>
      <c r="G127" s="0" t="n">
        <f aca="false">ROUND(SUMPRODUCT((Taches!$B$2:$B$60="LOT-06")*($A127&gt;=Taches!$H$2:$H$60)*((($A127-Taches!$H$2:$H$60+1)&gt;=Taches!$E$2:$E$60)+(($A127-Taches!$H$2:$H$60+1)&lt;Taches!$E$2:$E$60)*($A127-Taches!$H$2:$H$60+1)/Taches!$E$2:$E$60)*Taches!$G$2:$G$60),0)</f>
        <v>0</v>
      </c>
      <c r="H127" s="0" t="n">
        <f aca="false">ROUND(SUMPRODUCT((Taches!$B$2:$B$60="LOT-07")*($A127&gt;=Taches!$H$2:$H$60)*((($A127-Taches!$H$2:$H$60+1)&gt;=Taches!$E$2:$E$60)+(($A127-Taches!$H$2:$H$60+1)&lt;Taches!$E$2:$E$60)*($A127-Taches!$H$2:$H$60+1)/Taches!$E$2:$E$60)*Taches!$G$2:$G$60),0)</f>
        <v>0</v>
      </c>
      <c r="I127" s="0" t="n">
        <f aca="false">ROUND(SUMPRODUCT((Taches!$B$2:$B$60="LOT-08")*($A127&gt;=Taches!$H$2:$H$60)*((($A127-Taches!$H$2:$H$60+1)&gt;=Taches!$E$2:$E$60)+(($A127-Taches!$H$2:$H$60+1)&lt;Taches!$E$2:$E$60)*($A127-Taches!$H$2:$H$60+1)/Taches!$E$2:$E$60)*Taches!$G$2:$G$60),0)</f>
        <v>0</v>
      </c>
      <c r="J127" s="0" t="n">
        <f aca="false">SUM(B127:I127)</f>
        <v>288230222</v>
      </c>
    </row>
    <row r="128" customFormat="false" ht="15" hidden="false" customHeight="false" outlineLevel="0" collapsed="false">
      <c r="A128" s="0" t="n">
        <v>126</v>
      </c>
      <c r="B128" s="0" t="n">
        <f aca="false">ROUND(SUMPRODUCT((Taches!$B$2:$B$60="LOT-01")*($A128&gt;=Taches!$H$2:$H$60)*((($A128-Taches!$H$2:$H$60+1)&gt;=Taches!$E$2:$E$60)+(($A128-Taches!$H$2:$H$60+1)&lt;Taches!$E$2:$E$60)*($A128-Taches!$H$2:$H$60+1)/Taches!$E$2:$E$60)*Taches!$G$2:$G$60),0)</f>
        <v>55890000</v>
      </c>
      <c r="C128" s="0" t="n">
        <f aca="false">ROUND(SUMPRODUCT((Taches!$B$2:$B$60="LOT-02")*($A128&gt;=Taches!$H$2:$H$60)*((($A128-Taches!$H$2:$H$60+1)&gt;=Taches!$E$2:$E$60)+(($A128-Taches!$H$2:$H$60+1)&lt;Taches!$E$2:$E$60)*($A128-Taches!$H$2:$H$60+1)/Taches!$E$2:$E$60)*Taches!$G$2:$G$60),0)</f>
        <v>73755600</v>
      </c>
      <c r="D128" s="0" t="n">
        <f aca="false">ROUND(SUMPRODUCT((Taches!$B$2:$B$60="LOT-03")*($A128&gt;=Taches!$H$2:$H$60)*((($A128-Taches!$H$2:$H$60+1)&gt;=Taches!$E$2:$E$60)+(($A128-Taches!$H$2:$H$60+1)&lt;Taches!$E$2:$E$60)*($A128-Taches!$H$2:$H$60+1)/Taches!$E$2:$E$60)*Taches!$G$2:$G$60),0)</f>
        <v>111116000</v>
      </c>
      <c r="E128" s="0" t="n">
        <f aca="false">ROUND(SUMPRODUCT((Taches!$B$2:$B$60="LOT-04")*($A128&gt;=Taches!$H$2:$H$60)*((($A128-Taches!$H$2:$H$60+1)&gt;=Taches!$E$2:$E$60)+(($A128-Taches!$H$2:$H$60+1)&lt;Taches!$E$2:$E$60)*($A128-Taches!$H$2:$H$60+1)/Taches!$E$2:$E$60)*Taches!$G$2:$G$60),0)</f>
        <v>50402944</v>
      </c>
      <c r="F128" s="0" t="n">
        <f aca="false">ROUND(SUMPRODUCT((Taches!$B$2:$B$60="LOT-05")*($A128&gt;=Taches!$H$2:$H$60)*((($A128-Taches!$H$2:$H$60+1)&gt;=Taches!$E$2:$E$60)+(($A128-Taches!$H$2:$H$60+1)&lt;Taches!$E$2:$E$60)*($A128-Taches!$H$2:$H$60+1)/Taches!$E$2:$E$60)*Taches!$G$2:$G$60),0)</f>
        <v>0</v>
      </c>
      <c r="G128" s="0" t="n">
        <f aca="false">ROUND(SUMPRODUCT((Taches!$B$2:$B$60="LOT-06")*($A128&gt;=Taches!$H$2:$H$60)*((($A128-Taches!$H$2:$H$60+1)&gt;=Taches!$E$2:$E$60)+(($A128-Taches!$H$2:$H$60+1)&lt;Taches!$E$2:$E$60)*($A128-Taches!$H$2:$H$60+1)/Taches!$E$2:$E$60)*Taches!$G$2:$G$60),0)</f>
        <v>0</v>
      </c>
      <c r="H128" s="0" t="n">
        <f aca="false">ROUND(SUMPRODUCT((Taches!$B$2:$B$60="LOT-07")*($A128&gt;=Taches!$H$2:$H$60)*((($A128-Taches!$H$2:$H$60+1)&gt;=Taches!$E$2:$E$60)+(($A128-Taches!$H$2:$H$60+1)&lt;Taches!$E$2:$E$60)*($A128-Taches!$H$2:$H$60+1)/Taches!$E$2:$E$60)*Taches!$G$2:$G$60),0)</f>
        <v>0</v>
      </c>
      <c r="I128" s="0" t="n">
        <f aca="false">ROUND(SUMPRODUCT((Taches!$B$2:$B$60="LOT-08")*($A128&gt;=Taches!$H$2:$H$60)*((($A128-Taches!$H$2:$H$60+1)&gt;=Taches!$E$2:$E$60)+(($A128-Taches!$H$2:$H$60+1)&lt;Taches!$E$2:$E$60)*($A128-Taches!$H$2:$H$60+1)/Taches!$E$2:$E$60)*Taches!$G$2:$G$60),0)</f>
        <v>0</v>
      </c>
      <c r="J128" s="0" t="n">
        <f aca="false">SUM(B128:I128)</f>
        <v>291164544</v>
      </c>
    </row>
    <row r="129" customFormat="false" ht="15" hidden="false" customHeight="false" outlineLevel="0" collapsed="false">
      <c r="A129" s="0" t="n">
        <v>127</v>
      </c>
      <c r="B129" s="0" t="n">
        <f aca="false">ROUND(SUMPRODUCT((Taches!$B$2:$B$60="LOT-01")*($A129&gt;=Taches!$H$2:$H$60)*((($A129-Taches!$H$2:$H$60+1)&gt;=Taches!$E$2:$E$60)+(($A129-Taches!$H$2:$H$60+1)&lt;Taches!$E$2:$E$60)*($A129-Taches!$H$2:$H$60+1)/Taches!$E$2:$E$60)*Taches!$G$2:$G$60),0)</f>
        <v>55890000</v>
      </c>
      <c r="C129" s="0" t="n">
        <f aca="false">ROUND(SUMPRODUCT((Taches!$B$2:$B$60="LOT-02")*($A129&gt;=Taches!$H$2:$H$60)*((($A129-Taches!$H$2:$H$60+1)&gt;=Taches!$E$2:$E$60)+(($A129-Taches!$H$2:$H$60+1)&lt;Taches!$E$2:$E$60)*($A129-Taches!$H$2:$H$60+1)/Taches!$E$2:$E$60)*Taches!$G$2:$G$60),0)</f>
        <v>75076200</v>
      </c>
      <c r="D129" s="0" t="n">
        <f aca="false">ROUND(SUMPRODUCT((Taches!$B$2:$B$60="LOT-03")*($A129&gt;=Taches!$H$2:$H$60)*((($A129-Taches!$H$2:$H$60+1)&gt;=Taches!$E$2:$E$60)+(($A129-Taches!$H$2:$H$60+1)&lt;Taches!$E$2:$E$60)*($A129-Taches!$H$2:$H$60+1)/Taches!$E$2:$E$60)*Taches!$G$2:$G$60),0)</f>
        <v>111116000</v>
      </c>
      <c r="E129" s="0" t="n">
        <f aca="false">ROUND(SUMPRODUCT((Taches!$B$2:$B$60="LOT-04")*($A129&gt;=Taches!$H$2:$H$60)*((($A129-Taches!$H$2:$H$60+1)&gt;=Taches!$E$2:$E$60)+(($A129-Taches!$H$2:$H$60+1)&lt;Taches!$E$2:$E$60)*($A129-Taches!$H$2:$H$60+1)/Taches!$E$2:$E$60)*Taches!$G$2:$G$60),0)</f>
        <v>52016667</v>
      </c>
      <c r="F129" s="0" t="n">
        <f aca="false">ROUND(SUMPRODUCT((Taches!$B$2:$B$60="LOT-05")*($A129&gt;=Taches!$H$2:$H$60)*((($A129-Taches!$H$2:$H$60+1)&gt;=Taches!$E$2:$E$60)+(($A129-Taches!$H$2:$H$60+1)&lt;Taches!$E$2:$E$60)*($A129-Taches!$H$2:$H$60+1)/Taches!$E$2:$E$60)*Taches!$G$2:$G$60),0)</f>
        <v>0</v>
      </c>
      <c r="G129" s="0" t="n">
        <f aca="false">ROUND(SUMPRODUCT((Taches!$B$2:$B$60="LOT-06")*($A129&gt;=Taches!$H$2:$H$60)*((($A129-Taches!$H$2:$H$60+1)&gt;=Taches!$E$2:$E$60)+(($A129-Taches!$H$2:$H$60+1)&lt;Taches!$E$2:$E$60)*($A129-Taches!$H$2:$H$60+1)/Taches!$E$2:$E$60)*Taches!$G$2:$G$60),0)</f>
        <v>0</v>
      </c>
      <c r="H129" s="0" t="n">
        <f aca="false">ROUND(SUMPRODUCT((Taches!$B$2:$B$60="LOT-07")*($A129&gt;=Taches!$H$2:$H$60)*((($A129-Taches!$H$2:$H$60+1)&gt;=Taches!$E$2:$E$60)+(($A129-Taches!$H$2:$H$60+1)&lt;Taches!$E$2:$E$60)*($A129-Taches!$H$2:$H$60+1)/Taches!$E$2:$E$60)*Taches!$G$2:$G$60),0)</f>
        <v>0</v>
      </c>
      <c r="I129" s="0" t="n">
        <f aca="false">ROUND(SUMPRODUCT((Taches!$B$2:$B$60="LOT-08")*($A129&gt;=Taches!$H$2:$H$60)*((($A129-Taches!$H$2:$H$60+1)&gt;=Taches!$E$2:$E$60)+(($A129-Taches!$H$2:$H$60+1)&lt;Taches!$E$2:$E$60)*($A129-Taches!$H$2:$H$60+1)/Taches!$E$2:$E$60)*Taches!$G$2:$G$60),0)</f>
        <v>0</v>
      </c>
      <c r="J129" s="0" t="n">
        <f aca="false">SUM(B129:I129)</f>
        <v>294098867</v>
      </c>
    </row>
    <row r="130" customFormat="false" ht="15" hidden="false" customHeight="false" outlineLevel="0" collapsed="false">
      <c r="A130" s="0" t="n">
        <v>128</v>
      </c>
      <c r="B130" s="0" t="n">
        <f aca="false">ROUND(SUMPRODUCT((Taches!$B$2:$B$60="LOT-01")*($A130&gt;=Taches!$H$2:$H$60)*((($A130-Taches!$H$2:$H$60+1)&gt;=Taches!$E$2:$E$60)+(($A130-Taches!$H$2:$H$60+1)&lt;Taches!$E$2:$E$60)*($A130-Taches!$H$2:$H$60+1)/Taches!$E$2:$E$60)*Taches!$G$2:$G$60),0)</f>
        <v>55890000</v>
      </c>
      <c r="C130" s="0" t="n">
        <f aca="false">ROUND(SUMPRODUCT((Taches!$B$2:$B$60="LOT-02")*($A130&gt;=Taches!$H$2:$H$60)*((($A130-Taches!$H$2:$H$60+1)&gt;=Taches!$E$2:$E$60)+(($A130-Taches!$H$2:$H$60+1)&lt;Taches!$E$2:$E$60)*($A130-Taches!$H$2:$H$60+1)/Taches!$E$2:$E$60)*Taches!$G$2:$G$60),0)</f>
        <v>76396800</v>
      </c>
      <c r="D130" s="0" t="n">
        <f aca="false">ROUND(SUMPRODUCT((Taches!$B$2:$B$60="LOT-03")*($A130&gt;=Taches!$H$2:$H$60)*((($A130-Taches!$H$2:$H$60+1)&gt;=Taches!$E$2:$E$60)+(($A130-Taches!$H$2:$H$60+1)&lt;Taches!$E$2:$E$60)*($A130-Taches!$H$2:$H$60+1)/Taches!$E$2:$E$60)*Taches!$G$2:$G$60),0)</f>
        <v>111116000</v>
      </c>
      <c r="E130" s="0" t="n">
        <f aca="false">ROUND(SUMPRODUCT((Taches!$B$2:$B$60="LOT-04")*($A130&gt;=Taches!$H$2:$H$60)*((($A130-Taches!$H$2:$H$60+1)&gt;=Taches!$E$2:$E$60)+(($A130-Taches!$H$2:$H$60+1)&lt;Taches!$E$2:$E$60)*($A130-Taches!$H$2:$H$60+1)/Taches!$E$2:$E$60)*Taches!$G$2:$G$60),0)</f>
        <v>53630389</v>
      </c>
      <c r="F130" s="0" t="n">
        <f aca="false">ROUND(SUMPRODUCT((Taches!$B$2:$B$60="LOT-05")*($A130&gt;=Taches!$H$2:$H$60)*((($A130-Taches!$H$2:$H$60+1)&gt;=Taches!$E$2:$E$60)+(($A130-Taches!$H$2:$H$60+1)&lt;Taches!$E$2:$E$60)*($A130-Taches!$H$2:$H$60+1)/Taches!$E$2:$E$60)*Taches!$G$2:$G$60),0)</f>
        <v>0</v>
      </c>
      <c r="G130" s="0" t="n">
        <f aca="false">ROUND(SUMPRODUCT((Taches!$B$2:$B$60="LOT-06")*($A130&gt;=Taches!$H$2:$H$60)*((($A130-Taches!$H$2:$H$60+1)&gt;=Taches!$E$2:$E$60)+(($A130-Taches!$H$2:$H$60+1)&lt;Taches!$E$2:$E$60)*($A130-Taches!$H$2:$H$60+1)/Taches!$E$2:$E$60)*Taches!$G$2:$G$60),0)</f>
        <v>0</v>
      </c>
      <c r="H130" s="0" t="n">
        <f aca="false">ROUND(SUMPRODUCT((Taches!$B$2:$B$60="LOT-07")*($A130&gt;=Taches!$H$2:$H$60)*((($A130-Taches!$H$2:$H$60+1)&gt;=Taches!$E$2:$E$60)+(($A130-Taches!$H$2:$H$60+1)&lt;Taches!$E$2:$E$60)*($A130-Taches!$H$2:$H$60+1)/Taches!$E$2:$E$60)*Taches!$G$2:$G$60),0)</f>
        <v>0</v>
      </c>
      <c r="I130" s="0" t="n">
        <f aca="false">ROUND(SUMPRODUCT((Taches!$B$2:$B$60="LOT-08")*($A130&gt;=Taches!$H$2:$H$60)*((($A130-Taches!$H$2:$H$60+1)&gt;=Taches!$E$2:$E$60)+(($A130-Taches!$H$2:$H$60+1)&lt;Taches!$E$2:$E$60)*($A130-Taches!$H$2:$H$60+1)/Taches!$E$2:$E$60)*Taches!$G$2:$G$60),0)</f>
        <v>0</v>
      </c>
      <c r="J130" s="0" t="n">
        <f aca="false">SUM(B130:I130)</f>
        <v>297033189</v>
      </c>
    </row>
    <row r="131" customFormat="false" ht="15" hidden="false" customHeight="false" outlineLevel="0" collapsed="false">
      <c r="A131" s="0" t="n">
        <v>129</v>
      </c>
      <c r="B131" s="0" t="n">
        <f aca="false">ROUND(SUMPRODUCT((Taches!$B$2:$B$60="LOT-01")*($A131&gt;=Taches!$H$2:$H$60)*((($A131-Taches!$H$2:$H$60+1)&gt;=Taches!$E$2:$E$60)+(($A131-Taches!$H$2:$H$60+1)&lt;Taches!$E$2:$E$60)*($A131-Taches!$H$2:$H$60+1)/Taches!$E$2:$E$60)*Taches!$G$2:$G$60),0)</f>
        <v>55890000</v>
      </c>
      <c r="C131" s="0" t="n">
        <f aca="false">ROUND(SUMPRODUCT((Taches!$B$2:$B$60="LOT-02")*($A131&gt;=Taches!$H$2:$H$60)*((($A131-Taches!$H$2:$H$60+1)&gt;=Taches!$E$2:$E$60)+(($A131-Taches!$H$2:$H$60+1)&lt;Taches!$E$2:$E$60)*($A131-Taches!$H$2:$H$60+1)/Taches!$E$2:$E$60)*Taches!$G$2:$G$60),0)</f>
        <v>77717400</v>
      </c>
      <c r="D131" s="0" t="n">
        <f aca="false">ROUND(SUMPRODUCT((Taches!$B$2:$B$60="LOT-03")*($A131&gt;=Taches!$H$2:$H$60)*((($A131-Taches!$H$2:$H$60+1)&gt;=Taches!$E$2:$E$60)+(($A131-Taches!$H$2:$H$60+1)&lt;Taches!$E$2:$E$60)*($A131-Taches!$H$2:$H$60+1)/Taches!$E$2:$E$60)*Taches!$G$2:$G$60),0)</f>
        <v>111116000</v>
      </c>
      <c r="E131" s="0" t="n">
        <f aca="false">ROUND(SUMPRODUCT((Taches!$B$2:$B$60="LOT-04")*($A131&gt;=Taches!$H$2:$H$60)*((($A131-Taches!$H$2:$H$60+1)&gt;=Taches!$E$2:$E$60)+(($A131-Taches!$H$2:$H$60+1)&lt;Taches!$E$2:$E$60)*($A131-Taches!$H$2:$H$60+1)/Taches!$E$2:$E$60)*Taches!$G$2:$G$60),0)</f>
        <v>55244111</v>
      </c>
      <c r="F131" s="0" t="n">
        <f aca="false">ROUND(SUMPRODUCT((Taches!$B$2:$B$60="LOT-05")*($A131&gt;=Taches!$H$2:$H$60)*((($A131-Taches!$H$2:$H$60+1)&gt;=Taches!$E$2:$E$60)+(($A131-Taches!$H$2:$H$60+1)&lt;Taches!$E$2:$E$60)*($A131-Taches!$H$2:$H$60+1)/Taches!$E$2:$E$60)*Taches!$G$2:$G$60),0)</f>
        <v>0</v>
      </c>
      <c r="G131" s="0" t="n">
        <f aca="false">ROUND(SUMPRODUCT((Taches!$B$2:$B$60="LOT-06")*($A131&gt;=Taches!$H$2:$H$60)*((($A131-Taches!$H$2:$H$60+1)&gt;=Taches!$E$2:$E$60)+(($A131-Taches!$H$2:$H$60+1)&lt;Taches!$E$2:$E$60)*($A131-Taches!$H$2:$H$60+1)/Taches!$E$2:$E$60)*Taches!$G$2:$G$60),0)</f>
        <v>0</v>
      </c>
      <c r="H131" s="0" t="n">
        <f aca="false">ROUND(SUMPRODUCT((Taches!$B$2:$B$60="LOT-07")*($A131&gt;=Taches!$H$2:$H$60)*((($A131-Taches!$H$2:$H$60+1)&gt;=Taches!$E$2:$E$60)+(($A131-Taches!$H$2:$H$60+1)&lt;Taches!$E$2:$E$60)*($A131-Taches!$H$2:$H$60+1)/Taches!$E$2:$E$60)*Taches!$G$2:$G$60),0)</f>
        <v>0</v>
      </c>
      <c r="I131" s="0" t="n">
        <f aca="false">ROUND(SUMPRODUCT((Taches!$B$2:$B$60="LOT-08")*($A131&gt;=Taches!$H$2:$H$60)*((($A131-Taches!$H$2:$H$60+1)&gt;=Taches!$E$2:$E$60)+(($A131-Taches!$H$2:$H$60+1)&lt;Taches!$E$2:$E$60)*($A131-Taches!$H$2:$H$60+1)/Taches!$E$2:$E$60)*Taches!$G$2:$G$60),0)</f>
        <v>0</v>
      </c>
      <c r="J131" s="0" t="n">
        <f aca="false">SUM(B131:I131)</f>
        <v>299967511</v>
      </c>
    </row>
    <row r="132" customFormat="false" ht="15" hidden="false" customHeight="false" outlineLevel="0" collapsed="false">
      <c r="A132" s="0" t="n">
        <v>130</v>
      </c>
      <c r="B132" s="0" t="n">
        <f aca="false">ROUND(SUMPRODUCT((Taches!$B$2:$B$60="LOT-01")*($A132&gt;=Taches!$H$2:$H$60)*((($A132-Taches!$H$2:$H$60+1)&gt;=Taches!$E$2:$E$60)+(($A132-Taches!$H$2:$H$60+1)&lt;Taches!$E$2:$E$60)*($A132-Taches!$H$2:$H$60+1)/Taches!$E$2:$E$60)*Taches!$G$2:$G$60),0)</f>
        <v>55890000</v>
      </c>
      <c r="C132" s="0" t="n">
        <f aca="false">ROUND(SUMPRODUCT((Taches!$B$2:$B$60="LOT-02")*($A132&gt;=Taches!$H$2:$H$60)*((($A132-Taches!$H$2:$H$60+1)&gt;=Taches!$E$2:$E$60)+(($A132-Taches!$H$2:$H$60+1)&lt;Taches!$E$2:$E$60)*($A132-Taches!$H$2:$H$60+1)/Taches!$E$2:$E$60)*Taches!$G$2:$G$60),0)</f>
        <v>78644400</v>
      </c>
      <c r="D132" s="0" t="n">
        <f aca="false">ROUND(SUMPRODUCT((Taches!$B$2:$B$60="LOT-03")*($A132&gt;=Taches!$H$2:$H$60)*((($A132-Taches!$H$2:$H$60+1)&gt;=Taches!$E$2:$E$60)+(($A132-Taches!$H$2:$H$60+1)&lt;Taches!$E$2:$E$60)*($A132-Taches!$H$2:$H$60+1)/Taches!$E$2:$E$60)*Taches!$G$2:$G$60),0)</f>
        <v>111116000</v>
      </c>
      <c r="E132" s="0" t="n">
        <f aca="false">ROUND(SUMPRODUCT((Taches!$B$2:$B$60="LOT-04")*($A132&gt;=Taches!$H$2:$H$60)*((($A132-Taches!$H$2:$H$60+1)&gt;=Taches!$E$2:$E$60)+(($A132-Taches!$H$2:$H$60+1)&lt;Taches!$E$2:$E$60)*($A132-Taches!$H$2:$H$60+1)/Taches!$E$2:$E$60)*Taches!$G$2:$G$60),0)</f>
        <v>56857833</v>
      </c>
      <c r="F132" s="0" t="n">
        <f aca="false">ROUND(SUMPRODUCT((Taches!$B$2:$B$60="LOT-05")*($A132&gt;=Taches!$H$2:$H$60)*((($A132-Taches!$H$2:$H$60+1)&gt;=Taches!$E$2:$E$60)+(($A132-Taches!$H$2:$H$60+1)&lt;Taches!$E$2:$E$60)*($A132-Taches!$H$2:$H$60+1)/Taches!$E$2:$E$60)*Taches!$G$2:$G$60),0)</f>
        <v>0</v>
      </c>
      <c r="G132" s="0" t="n">
        <f aca="false">ROUND(SUMPRODUCT((Taches!$B$2:$B$60="LOT-06")*($A132&gt;=Taches!$H$2:$H$60)*((($A132-Taches!$H$2:$H$60+1)&gt;=Taches!$E$2:$E$60)+(($A132-Taches!$H$2:$H$60+1)&lt;Taches!$E$2:$E$60)*($A132-Taches!$H$2:$H$60+1)/Taches!$E$2:$E$60)*Taches!$G$2:$G$60),0)</f>
        <v>0</v>
      </c>
      <c r="H132" s="0" t="n">
        <f aca="false">ROUND(SUMPRODUCT((Taches!$B$2:$B$60="LOT-07")*($A132&gt;=Taches!$H$2:$H$60)*((($A132-Taches!$H$2:$H$60+1)&gt;=Taches!$E$2:$E$60)+(($A132-Taches!$H$2:$H$60+1)&lt;Taches!$E$2:$E$60)*($A132-Taches!$H$2:$H$60+1)/Taches!$E$2:$E$60)*Taches!$G$2:$G$60),0)</f>
        <v>0</v>
      </c>
      <c r="I132" s="0" t="n">
        <f aca="false">ROUND(SUMPRODUCT((Taches!$B$2:$B$60="LOT-08")*($A132&gt;=Taches!$H$2:$H$60)*((($A132-Taches!$H$2:$H$60+1)&gt;=Taches!$E$2:$E$60)+(($A132-Taches!$H$2:$H$60+1)&lt;Taches!$E$2:$E$60)*($A132-Taches!$H$2:$H$60+1)/Taches!$E$2:$E$60)*Taches!$G$2:$G$60),0)</f>
        <v>0</v>
      </c>
      <c r="J132" s="0" t="n">
        <f aca="false">SUM(B132:I132)</f>
        <v>302508233</v>
      </c>
    </row>
    <row r="133" customFormat="false" ht="15" hidden="false" customHeight="false" outlineLevel="0" collapsed="false">
      <c r="A133" s="0" t="n">
        <v>131</v>
      </c>
      <c r="B133" s="0" t="n">
        <f aca="false">ROUND(SUMPRODUCT((Taches!$B$2:$B$60="LOT-01")*($A133&gt;=Taches!$H$2:$H$60)*((($A133-Taches!$H$2:$H$60+1)&gt;=Taches!$E$2:$E$60)+(($A133-Taches!$H$2:$H$60+1)&lt;Taches!$E$2:$E$60)*($A133-Taches!$H$2:$H$60+1)/Taches!$E$2:$E$60)*Taches!$G$2:$G$60),0)</f>
        <v>55890000</v>
      </c>
      <c r="C133" s="0" t="n">
        <f aca="false">ROUND(SUMPRODUCT((Taches!$B$2:$B$60="LOT-02")*($A133&gt;=Taches!$H$2:$H$60)*((($A133-Taches!$H$2:$H$60+1)&gt;=Taches!$E$2:$E$60)+(($A133-Taches!$H$2:$H$60+1)&lt;Taches!$E$2:$E$60)*($A133-Taches!$H$2:$H$60+1)/Taches!$E$2:$E$60)*Taches!$G$2:$G$60),0)</f>
        <v>79571400</v>
      </c>
      <c r="D133" s="0" t="n">
        <f aca="false">ROUND(SUMPRODUCT((Taches!$B$2:$B$60="LOT-03")*($A133&gt;=Taches!$H$2:$H$60)*((($A133-Taches!$H$2:$H$60+1)&gt;=Taches!$E$2:$E$60)+(($A133-Taches!$H$2:$H$60+1)&lt;Taches!$E$2:$E$60)*($A133-Taches!$H$2:$H$60+1)/Taches!$E$2:$E$60)*Taches!$G$2:$G$60),0)</f>
        <v>111116000</v>
      </c>
      <c r="E133" s="0" t="n">
        <f aca="false">ROUND(SUMPRODUCT((Taches!$B$2:$B$60="LOT-04")*($A133&gt;=Taches!$H$2:$H$60)*((($A133-Taches!$H$2:$H$60+1)&gt;=Taches!$E$2:$E$60)+(($A133-Taches!$H$2:$H$60+1)&lt;Taches!$E$2:$E$60)*($A133-Taches!$H$2:$H$60+1)/Taches!$E$2:$E$60)*Taches!$G$2:$G$60),0)</f>
        <v>58471556</v>
      </c>
      <c r="F133" s="0" t="n">
        <f aca="false">ROUND(SUMPRODUCT((Taches!$B$2:$B$60="LOT-05")*($A133&gt;=Taches!$H$2:$H$60)*((($A133-Taches!$H$2:$H$60+1)&gt;=Taches!$E$2:$E$60)+(($A133-Taches!$H$2:$H$60+1)&lt;Taches!$E$2:$E$60)*($A133-Taches!$H$2:$H$60+1)/Taches!$E$2:$E$60)*Taches!$G$2:$G$60),0)</f>
        <v>0</v>
      </c>
      <c r="G133" s="0" t="n">
        <f aca="false">ROUND(SUMPRODUCT((Taches!$B$2:$B$60="LOT-06")*($A133&gt;=Taches!$H$2:$H$60)*((($A133-Taches!$H$2:$H$60+1)&gt;=Taches!$E$2:$E$60)+(($A133-Taches!$H$2:$H$60+1)&lt;Taches!$E$2:$E$60)*($A133-Taches!$H$2:$H$60+1)/Taches!$E$2:$E$60)*Taches!$G$2:$G$60),0)</f>
        <v>0</v>
      </c>
      <c r="H133" s="0" t="n">
        <f aca="false">ROUND(SUMPRODUCT((Taches!$B$2:$B$60="LOT-07")*($A133&gt;=Taches!$H$2:$H$60)*((($A133-Taches!$H$2:$H$60+1)&gt;=Taches!$E$2:$E$60)+(($A133-Taches!$H$2:$H$60+1)&lt;Taches!$E$2:$E$60)*($A133-Taches!$H$2:$H$60+1)/Taches!$E$2:$E$60)*Taches!$G$2:$G$60),0)</f>
        <v>0</v>
      </c>
      <c r="I133" s="0" t="n">
        <f aca="false">ROUND(SUMPRODUCT((Taches!$B$2:$B$60="LOT-08")*($A133&gt;=Taches!$H$2:$H$60)*((($A133-Taches!$H$2:$H$60+1)&gt;=Taches!$E$2:$E$60)+(($A133-Taches!$H$2:$H$60+1)&lt;Taches!$E$2:$E$60)*($A133-Taches!$H$2:$H$60+1)/Taches!$E$2:$E$60)*Taches!$G$2:$G$60),0)</f>
        <v>0</v>
      </c>
      <c r="J133" s="0" t="n">
        <f aca="false">SUM(B133:I133)</f>
        <v>305048956</v>
      </c>
    </row>
    <row r="134" customFormat="false" ht="15" hidden="false" customHeight="false" outlineLevel="0" collapsed="false">
      <c r="A134" s="0" t="n">
        <v>132</v>
      </c>
      <c r="B134" s="0" t="n">
        <f aca="false">ROUND(SUMPRODUCT((Taches!$B$2:$B$60="LOT-01")*($A134&gt;=Taches!$H$2:$H$60)*((($A134-Taches!$H$2:$H$60+1)&gt;=Taches!$E$2:$E$60)+(($A134-Taches!$H$2:$H$60+1)&lt;Taches!$E$2:$E$60)*($A134-Taches!$H$2:$H$60+1)/Taches!$E$2:$E$60)*Taches!$G$2:$G$60),0)</f>
        <v>55890000</v>
      </c>
      <c r="C134" s="0" t="n">
        <f aca="false">ROUND(SUMPRODUCT((Taches!$B$2:$B$60="LOT-02")*($A134&gt;=Taches!$H$2:$H$60)*((($A134-Taches!$H$2:$H$60+1)&gt;=Taches!$E$2:$E$60)+(($A134-Taches!$H$2:$H$60+1)&lt;Taches!$E$2:$E$60)*($A134-Taches!$H$2:$H$60+1)/Taches!$E$2:$E$60)*Taches!$G$2:$G$60),0)</f>
        <v>80498400</v>
      </c>
      <c r="D134" s="0" t="n">
        <f aca="false">ROUND(SUMPRODUCT((Taches!$B$2:$B$60="LOT-03")*($A134&gt;=Taches!$H$2:$H$60)*((($A134-Taches!$H$2:$H$60+1)&gt;=Taches!$E$2:$E$60)+(($A134-Taches!$H$2:$H$60+1)&lt;Taches!$E$2:$E$60)*($A134-Taches!$H$2:$H$60+1)/Taches!$E$2:$E$60)*Taches!$G$2:$G$60),0)</f>
        <v>111116000</v>
      </c>
      <c r="E134" s="0" t="n">
        <f aca="false">ROUND(SUMPRODUCT((Taches!$B$2:$B$60="LOT-04")*($A134&gt;=Taches!$H$2:$H$60)*((($A134-Taches!$H$2:$H$60+1)&gt;=Taches!$E$2:$E$60)+(($A134-Taches!$H$2:$H$60+1)&lt;Taches!$E$2:$E$60)*($A134-Taches!$H$2:$H$60+1)/Taches!$E$2:$E$60)*Taches!$G$2:$G$60),0)</f>
        <v>60085278</v>
      </c>
      <c r="F134" s="0" t="n">
        <f aca="false">ROUND(SUMPRODUCT((Taches!$B$2:$B$60="LOT-05")*($A134&gt;=Taches!$H$2:$H$60)*((($A134-Taches!$H$2:$H$60+1)&gt;=Taches!$E$2:$E$60)+(($A134-Taches!$H$2:$H$60+1)&lt;Taches!$E$2:$E$60)*($A134-Taches!$H$2:$H$60+1)/Taches!$E$2:$E$60)*Taches!$G$2:$G$60),0)</f>
        <v>0</v>
      </c>
      <c r="G134" s="0" t="n">
        <f aca="false">ROUND(SUMPRODUCT((Taches!$B$2:$B$60="LOT-06")*($A134&gt;=Taches!$H$2:$H$60)*((($A134-Taches!$H$2:$H$60+1)&gt;=Taches!$E$2:$E$60)+(($A134-Taches!$H$2:$H$60+1)&lt;Taches!$E$2:$E$60)*($A134-Taches!$H$2:$H$60+1)/Taches!$E$2:$E$60)*Taches!$G$2:$G$60),0)</f>
        <v>0</v>
      </c>
      <c r="H134" s="0" t="n">
        <f aca="false">ROUND(SUMPRODUCT((Taches!$B$2:$B$60="LOT-07")*($A134&gt;=Taches!$H$2:$H$60)*((($A134-Taches!$H$2:$H$60+1)&gt;=Taches!$E$2:$E$60)+(($A134-Taches!$H$2:$H$60+1)&lt;Taches!$E$2:$E$60)*($A134-Taches!$H$2:$H$60+1)/Taches!$E$2:$E$60)*Taches!$G$2:$G$60),0)</f>
        <v>0</v>
      </c>
      <c r="I134" s="0" t="n">
        <f aca="false">ROUND(SUMPRODUCT((Taches!$B$2:$B$60="LOT-08")*($A134&gt;=Taches!$H$2:$H$60)*((($A134-Taches!$H$2:$H$60+1)&gt;=Taches!$E$2:$E$60)+(($A134-Taches!$H$2:$H$60+1)&lt;Taches!$E$2:$E$60)*($A134-Taches!$H$2:$H$60+1)/Taches!$E$2:$E$60)*Taches!$G$2:$G$60),0)</f>
        <v>0</v>
      </c>
      <c r="J134" s="0" t="n">
        <f aca="false">SUM(B134:I134)</f>
        <v>307589678</v>
      </c>
    </row>
    <row r="135" customFormat="false" ht="15" hidden="false" customHeight="false" outlineLevel="0" collapsed="false">
      <c r="A135" s="0" t="n">
        <v>133</v>
      </c>
      <c r="B135" s="0" t="n">
        <f aca="false">ROUND(SUMPRODUCT((Taches!$B$2:$B$60="LOT-01")*($A135&gt;=Taches!$H$2:$H$60)*((($A135-Taches!$H$2:$H$60+1)&gt;=Taches!$E$2:$E$60)+(($A135-Taches!$H$2:$H$60+1)&lt;Taches!$E$2:$E$60)*($A135-Taches!$H$2:$H$60+1)/Taches!$E$2:$E$60)*Taches!$G$2:$G$60),0)</f>
        <v>55890000</v>
      </c>
      <c r="C135" s="0" t="n">
        <f aca="false">ROUND(SUMPRODUCT((Taches!$B$2:$B$60="LOT-02")*($A135&gt;=Taches!$H$2:$H$60)*((($A135-Taches!$H$2:$H$60+1)&gt;=Taches!$E$2:$E$60)+(($A135-Taches!$H$2:$H$60+1)&lt;Taches!$E$2:$E$60)*($A135-Taches!$H$2:$H$60+1)/Taches!$E$2:$E$60)*Taches!$G$2:$G$60),0)</f>
        <v>81425400</v>
      </c>
      <c r="D135" s="0" t="n">
        <f aca="false">ROUND(SUMPRODUCT((Taches!$B$2:$B$60="LOT-03")*($A135&gt;=Taches!$H$2:$H$60)*((($A135-Taches!$H$2:$H$60+1)&gt;=Taches!$E$2:$E$60)+(($A135-Taches!$H$2:$H$60+1)&lt;Taches!$E$2:$E$60)*($A135-Taches!$H$2:$H$60+1)/Taches!$E$2:$E$60)*Taches!$G$2:$G$60),0)</f>
        <v>111116000</v>
      </c>
      <c r="E135" s="0" t="n">
        <f aca="false">ROUND(SUMPRODUCT((Taches!$B$2:$B$60="LOT-04")*($A135&gt;=Taches!$H$2:$H$60)*((($A135-Taches!$H$2:$H$60+1)&gt;=Taches!$E$2:$E$60)+(($A135-Taches!$H$2:$H$60+1)&lt;Taches!$E$2:$E$60)*($A135-Taches!$H$2:$H$60+1)/Taches!$E$2:$E$60)*Taches!$G$2:$G$60),0)</f>
        <v>61699000</v>
      </c>
      <c r="F135" s="0" t="n">
        <f aca="false">ROUND(SUMPRODUCT((Taches!$B$2:$B$60="LOT-05")*($A135&gt;=Taches!$H$2:$H$60)*((($A135-Taches!$H$2:$H$60+1)&gt;=Taches!$E$2:$E$60)+(($A135-Taches!$H$2:$H$60+1)&lt;Taches!$E$2:$E$60)*($A135-Taches!$H$2:$H$60+1)/Taches!$E$2:$E$60)*Taches!$G$2:$G$60),0)</f>
        <v>0</v>
      </c>
      <c r="G135" s="0" t="n">
        <f aca="false">ROUND(SUMPRODUCT((Taches!$B$2:$B$60="LOT-06")*($A135&gt;=Taches!$H$2:$H$60)*((($A135-Taches!$H$2:$H$60+1)&gt;=Taches!$E$2:$E$60)+(($A135-Taches!$H$2:$H$60+1)&lt;Taches!$E$2:$E$60)*($A135-Taches!$H$2:$H$60+1)/Taches!$E$2:$E$60)*Taches!$G$2:$G$60),0)</f>
        <v>0</v>
      </c>
      <c r="H135" s="0" t="n">
        <f aca="false">ROUND(SUMPRODUCT((Taches!$B$2:$B$60="LOT-07")*($A135&gt;=Taches!$H$2:$H$60)*((($A135-Taches!$H$2:$H$60+1)&gt;=Taches!$E$2:$E$60)+(($A135-Taches!$H$2:$H$60+1)&lt;Taches!$E$2:$E$60)*($A135-Taches!$H$2:$H$60+1)/Taches!$E$2:$E$60)*Taches!$G$2:$G$60),0)</f>
        <v>0</v>
      </c>
      <c r="I135" s="0" t="n">
        <f aca="false">ROUND(SUMPRODUCT((Taches!$B$2:$B$60="LOT-08")*($A135&gt;=Taches!$H$2:$H$60)*((($A135-Taches!$H$2:$H$60+1)&gt;=Taches!$E$2:$E$60)+(($A135-Taches!$H$2:$H$60+1)&lt;Taches!$E$2:$E$60)*($A135-Taches!$H$2:$H$60+1)/Taches!$E$2:$E$60)*Taches!$G$2:$G$60),0)</f>
        <v>0</v>
      </c>
      <c r="J135" s="0" t="n">
        <f aca="false">SUM(B135:I135)</f>
        <v>310130400</v>
      </c>
    </row>
    <row r="136" customFormat="false" ht="15" hidden="false" customHeight="false" outlineLevel="0" collapsed="false">
      <c r="A136" s="0" t="n">
        <v>134</v>
      </c>
      <c r="B136" s="0" t="n">
        <f aca="false">ROUND(SUMPRODUCT((Taches!$B$2:$B$60="LOT-01")*($A136&gt;=Taches!$H$2:$H$60)*((($A136-Taches!$H$2:$H$60+1)&gt;=Taches!$E$2:$E$60)+(($A136-Taches!$H$2:$H$60+1)&lt;Taches!$E$2:$E$60)*($A136-Taches!$H$2:$H$60+1)/Taches!$E$2:$E$60)*Taches!$G$2:$G$60),0)</f>
        <v>55890000</v>
      </c>
      <c r="C136" s="0" t="n">
        <f aca="false">ROUND(SUMPRODUCT((Taches!$B$2:$B$60="LOT-02")*($A136&gt;=Taches!$H$2:$H$60)*((($A136-Taches!$H$2:$H$60+1)&gt;=Taches!$E$2:$E$60)+(($A136-Taches!$H$2:$H$60+1)&lt;Taches!$E$2:$E$60)*($A136-Taches!$H$2:$H$60+1)/Taches!$E$2:$E$60)*Taches!$G$2:$G$60),0)</f>
        <v>82352400</v>
      </c>
      <c r="D136" s="0" t="n">
        <f aca="false">ROUND(SUMPRODUCT((Taches!$B$2:$B$60="LOT-03")*($A136&gt;=Taches!$H$2:$H$60)*((($A136-Taches!$H$2:$H$60+1)&gt;=Taches!$E$2:$E$60)+(($A136-Taches!$H$2:$H$60+1)&lt;Taches!$E$2:$E$60)*($A136-Taches!$H$2:$H$60+1)/Taches!$E$2:$E$60)*Taches!$G$2:$G$60),0)</f>
        <v>111116000</v>
      </c>
      <c r="E136" s="0" t="n">
        <f aca="false">ROUND(SUMPRODUCT((Taches!$B$2:$B$60="LOT-04")*($A136&gt;=Taches!$H$2:$H$60)*((($A136-Taches!$H$2:$H$60+1)&gt;=Taches!$E$2:$E$60)+(($A136-Taches!$H$2:$H$60+1)&lt;Taches!$E$2:$E$60)*($A136-Taches!$H$2:$H$60+1)/Taches!$E$2:$E$60)*Taches!$G$2:$G$60),0)</f>
        <v>62841833</v>
      </c>
      <c r="F136" s="0" t="n">
        <f aca="false">ROUND(SUMPRODUCT((Taches!$B$2:$B$60="LOT-05")*($A136&gt;=Taches!$H$2:$H$60)*((($A136-Taches!$H$2:$H$60+1)&gt;=Taches!$E$2:$E$60)+(($A136-Taches!$H$2:$H$60+1)&lt;Taches!$E$2:$E$60)*($A136-Taches!$H$2:$H$60+1)/Taches!$E$2:$E$60)*Taches!$G$2:$G$60),0)</f>
        <v>0</v>
      </c>
      <c r="G136" s="0" t="n">
        <f aca="false">ROUND(SUMPRODUCT((Taches!$B$2:$B$60="LOT-06")*($A136&gt;=Taches!$H$2:$H$60)*((($A136-Taches!$H$2:$H$60+1)&gt;=Taches!$E$2:$E$60)+(($A136-Taches!$H$2:$H$60+1)&lt;Taches!$E$2:$E$60)*($A136-Taches!$H$2:$H$60+1)/Taches!$E$2:$E$60)*Taches!$G$2:$G$60),0)</f>
        <v>0</v>
      </c>
      <c r="H136" s="0" t="n">
        <f aca="false">ROUND(SUMPRODUCT((Taches!$B$2:$B$60="LOT-07")*($A136&gt;=Taches!$H$2:$H$60)*((($A136-Taches!$H$2:$H$60+1)&gt;=Taches!$E$2:$E$60)+(($A136-Taches!$H$2:$H$60+1)&lt;Taches!$E$2:$E$60)*($A136-Taches!$H$2:$H$60+1)/Taches!$E$2:$E$60)*Taches!$G$2:$G$60),0)</f>
        <v>0</v>
      </c>
      <c r="I136" s="0" t="n">
        <f aca="false">ROUND(SUMPRODUCT((Taches!$B$2:$B$60="LOT-08")*($A136&gt;=Taches!$H$2:$H$60)*((($A136-Taches!$H$2:$H$60+1)&gt;=Taches!$E$2:$E$60)+(($A136-Taches!$H$2:$H$60+1)&lt;Taches!$E$2:$E$60)*($A136-Taches!$H$2:$H$60+1)/Taches!$E$2:$E$60)*Taches!$G$2:$G$60),0)</f>
        <v>0</v>
      </c>
      <c r="J136" s="0" t="n">
        <f aca="false">SUM(B136:I136)</f>
        <v>312200233</v>
      </c>
    </row>
    <row r="137" customFormat="false" ht="15" hidden="false" customHeight="false" outlineLevel="0" collapsed="false">
      <c r="A137" s="0" t="n">
        <v>135</v>
      </c>
      <c r="B137" s="0" t="n">
        <f aca="false">ROUND(SUMPRODUCT((Taches!$B$2:$B$60="LOT-01")*($A137&gt;=Taches!$H$2:$H$60)*((($A137-Taches!$H$2:$H$60+1)&gt;=Taches!$E$2:$E$60)+(($A137-Taches!$H$2:$H$60+1)&lt;Taches!$E$2:$E$60)*($A137-Taches!$H$2:$H$60+1)/Taches!$E$2:$E$60)*Taches!$G$2:$G$60),0)</f>
        <v>55890000</v>
      </c>
      <c r="C137" s="0" t="n">
        <f aca="false">ROUND(SUMPRODUCT((Taches!$B$2:$B$60="LOT-02")*($A137&gt;=Taches!$H$2:$H$60)*((($A137-Taches!$H$2:$H$60+1)&gt;=Taches!$E$2:$E$60)+(($A137-Taches!$H$2:$H$60+1)&lt;Taches!$E$2:$E$60)*($A137-Taches!$H$2:$H$60+1)/Taches!$E$2:$E$60)*Taches!$G$2:$G$60),0)</f>
        <v>83279400</v>
      </c>
      <c r="D137" s="0" t="n">
        <f aca="false">ROUND(SUMPRODUCT((Taches!$B$2:$B$60="LOT-03")*($A137&gt;=Taches!$H$2:$H$60)*((($A137-Taches!$H$2:$H$60+1)&gt;=Taches!$E$2:$E$60)+(($A137-Taches!$H$2:$H$60+1)&lt;Taches!$E$2:$E$60)*($A137-Taches!$H$2:$H$60+1)/Taches!$E$2:$E$60)*Taches!$G$2:$G$60),0)</f>
        <v>111116000</v>
      </c>
      <c r="E137" s="0" t="n">
        <f aca="false">ROUND(SUMPRODUCT((Taches!$B$2:$B$60="LOT-04")*($A137&gt;=Taches!$H$2:$H$60)*((($A137-Taches!$H$2:$H$60+1)&gt;=Taches!$E$2:$E$60)+(($A137-Taches!$H$2:$H$60+1)&lt;Taches!$E$2:$E$60)*($A137-Taches!$H$2:$H$60+1)/Taches!$E$2:$E$60)*Taches!$G$2:$G$60),0)</f>
        <v>63984667</v>
      </c>
      <c r="F137" s="0" t="n">
        <f aca="false">ROUND(SUMPRODUCT((Taches!$B$2:$B$60="LOT-05")*($A137&gt;=Taches!$H$2:$H$60)*((($A137-Taches!$H$2:$H$60+1)&gt;=Taches!$E$2:$E$60)+(($A137-Taches!$H$2:$H$60+1)&lt;Taches!$E$2:$E$60)*($A137-Taches!$H$2:$H$60+1)/Taches!$E$2:$E$60)*Taches!$G$2:$G$60),0)</f>
        <v>0</v>
      </c>
      <c r="G137" s="0" t="n">
        <f aca="false">ROUND(SUMPRODUCT((Taches!$B$2:$B$60="LOT-06")*($A137&gt;=Taches!$H$2:$H$60)*((($A137-Taches!$H$2:$H$60+1)&gt;=Taches!$E$2:$E$60)+(($A137-Taches!$H$2:$H$60+1)&lt;Taches!$E$2:$E$60)*($A137-Taches!$H$2:$H$60+1)/Taches!$E$2:$E$60)*Taches!$G$2:$G$60),0)</f>
        <v>0</v>
      </c>
      <c r="H137" s="0" t="n">
        <f aca="false">ROUND(SUMPRODUCT((Taches!$B$2:$B$60="LOT-07")*($A137&gt;=Taches!$H$2:$H$60)*((($A137-Taches!$H$2:$H$60+1)&gt;=Taches!$E$2:$E$60)+(($A137-Taches!$H$2:$H$60+1)&lt;Taches!$E$2:$E$60)*($A137-Taches!$H$2:$H$60+1)/Taches!$E$2:$E$60)*Taches!$G$2:$G$60),0)</f>
        <v>0</v>
      </c>
      <c r="I137" s="0" t="n">
        <f aca="false">ROUND(SUMPRODUCT((Taches!$B$2:$B$60="LOT-08")*($A137&gt;=Taches!$H$2:$H$60)*((($A137-Taches!$H$2:$H$60+1)&gt;=Taches!$E$2:$E$60)+(($A137-Taches!$H$2:$H$60+1)&lt;Taches!$E$2:$E$60)*($A137-Taches!$H$2:$H$60+1)/Taches!$E$2:$E$60)*Taches!$G$2:$G$60),0)</f>
        <v>0</v>
      </c>
      <c r="J137" s="0" t="n">
        <f aca="false">SUM(B137:I137)</f>
        <v>314270067</v>
      </c>
    </row>
    <row r="138" customFormat="false" ht="15" hidden="false" customHeight="false" outlineLevel="0" collapsed="false">
      <c r="A138" s="0" t="n">
        <v>136</v>
      </c>
      <c r="B138" s="0" t="n">
        <f aca="false">ROUND(SUMPRODUCT((Taches!$B$2:$B$60="LOT-01")*($A138&gt;=Taches!$H$2:$H$60)*((($A138-Taches!$H$2:$H$60+1)&gt;=Taches!$E$2:$E$60)+(($A138-Taches!$H$2:$H$60+1)&lt;Taches!$E$2:$E$60)*($A138-Taches!$H$2:$H$60+1)/Taches!$E$2:$E$60)*Taches!$G$2:$G$60),0)</f>
        <v>55890000</v>
      </c>
      <c r="C138" s="0" t="n">
        <f aca="false">ROUND(SUMPRODUCT((Taches!$B$2:$B$60="LOT-02")*($A138&gt;=Taches!$H$2:$H$60)*((($A138-Taches!$H$2:$H$60+1)&gt;=Taches!$E$2:$E$60)+(($A138-Taches!$H$2:$H$60+1)&lt;Taches!$E$2:$E$60)*($A138-Taches!$H$2:$H$60+1)/Taches!$E$2:$E$60)*Taches!$G$2:$G$60),0)</f>
        <v>84206400</v>
      </c>
      <c r="D138" s="0" t="n">
        <f aca="false">ROUND(SUMPRODUCT((Taches!$B$2:$B$60="LOT-03")*($A138&gt;=Taches!$H$2:$H$60)*((($A138-Taches!$H$2:$H$60+1)&gt;=Taches!$E$2:$E$60)+(($A138-Taches!$H$2:$H$60+1)&lt;Taches!$E$2:$E$60)*($A138-Taches!$H$2:$H$60+1)/Taches!$E$2:$E$60)*Taches!$G$2:$G$60),0)</f>
        <v>111116000</v>
      </c>
      <c r="E138" s="0" t="n">
        <f aca="false">ROUND(SUMPRODUCT((Taches!$B$2:$B$60="LOT-04")*($A138&gt;=Taches!$H$2:$H$60)*((($A138-Taches!$H$2:$H$60+1)&gt;=Taches!$E$2:$E$60)+(($A138-Taches!$H$2:$H$60+1)&lt;Taches!$E$2:$E$60)*($A138-Taches!$H$2:$H$60+1)/Taches!$E$2:$E$60)*Taches!$G$2:$G$60),0)</f>
        <v>65127500</v>
      </c>
      <c r="F138" s="0" t="n">
        <f aca="false">ROUND(SUMPRODUCT((Taches!$B$2:$B$60="LOT-05")*($A138&gt;=Taches!$H$2:$H$60)*((($A138-Taches!$H$2:$H$60+1)&gt;=Taches!$E$2:$E$60)+(($A138-Taches!$H$2:$H$60+1)&lt;Taches!$E$2:$E$60)*($A138-Taches!$H$2:$H$60+1)/Taches!$E$2:$E$60)*Taches!$G$2:$G$60),0)</f>
        <v>0</v>
      </c>
      <c r="G138" s="0" t="n">
        <f aca="false">ROUND(SUMPRODUCT((Taches!$B$2:$B$60="LOT-06")*($A138&gt;=Taches!$H$2:$H$60)*((($A138-Taches!$H$2:$H$60+1)&gt;=Taches!$E$2:$E$60)+(($A138-Taches!$H$2:$H$60+1)&lt;Taches!$E$2:$E$60)*($A138-Taches!$H$2:$H$60+1)/Taches!$E$2:$E$60)*Taches!$G$2:$G$60),0)</f>
        <v>0</v>
      </c>
      <c r="H138" s="0" t="n">
        <f aca="false">ROUND(SUMPRODUCT((Taches!$B$2:$B$60="LOT-07")*($A138&gt;=Taches!$H$2:$H$60)*((($A138-Taches!$H$2:$H$60+1)&gt;=Taches!$E$2:$E$60)+(($A138-Taches!$H$2:$H$60+1)&lt;Taches!$E$2:$E$60)*($A138-Taches!$H$2:$H$60+1)/Taches!$E$2:$E$60)*Taches!$G$2:$G$60),0)</f>
        <v>0</v>
      </c>
      <c r="I138" s="0" t="n">
        <f aca="false">ROUND(SUMPRODUCT((Taches!$B$2:$B$60="LOT-08")*($A138&gt;=Taches!$H$2:$H$60)*((($A138-Taches!$H$2:$H$60+1)&gt;=Taches!$E$2:$E$60)+(($A138-Taches!$H$2:$H$60+1)&lt;Taches!$E$2:$E$60)*($A138-Taches!$H$2:$H$60+1)/Taches!$E$2:$E$60)*Taches!$G$2:$G$60),0)</f>
        <v>0</v>
      </c>
      <c r="J138" s="0" t="n">
        <f aca="false">SUM(B138:I138)</f>
        <v>316339900</v>
      </c>
    </row>
    <row r="139" customFormat="false" ht="15" hidden="false" customHeight="false" outlineLevel="0" collapsed="false">
      <c r="A139" s="0" t="n">
        <v>137</v>
      </c>
      <c r="B139" s="0" t="n">
        <f aca="false">ROUND(SUMPRODUCT((Taches!$B$2:$B$60="LOT-01")*($A139&gt;=Taches!$H$2:$H$60)*((($A139-Taches!$H$2:$H$60+1)&gt;=Taches!$E$2:$E$60)+(($A139-Taches!$H$2:$H$60+1)&lt;Taches!$E$2:$E$60)*($A139-Taches!$H$2:$H$60+1)/Taches!$E$2:$E$60)*Taches!$G$2:$G$60),0)</f>
        <v>55890000</v>
      </c>
      <c r="C139" s="0" t="n">
        <f aca="false">ROUND(SUMPRODUCT((Taches!$B$2:$B$60="LOT-02")*($A139&gt;=Taches!$H$2:$H$60)*((($A139-Taches!$H$2:$H$60+1)&gt;=Taches!$E$2:$E$60)+(($A139-Taches!$H$2:$H$60+1)&lt;Taches!$E$2:$E$60)*($A139-Taches!$H$2:$H$60+1)/Taches!$E$2:$E$60)*Taches!$G$2:$G$60),0)</f>
        <v>84481800</v>
      </c>
      <c r="D139" s="0" t="n">
        <f aca="false">ROUND(SUMPRODUCT((Taches!$B$2:$B$60="LOT-03")*($A139&gt;=Taches!$H$2:$H$60)*((($A139-Taches!$H$2:$H$60+1)&gt;=Taches!$E$2:$E$60)+(($A139-Taches!$H$2:$H$60+1)&lt;Taches!$E$2:$E$60)*($A139-Taches!$H$2:$H$60+1)/Taches!$E$2:$E$60)*Taches!$G$2:$G$60),0)</f>
        <v>111116000</v>
      </c>
      <c r="E139" s="0" t="n">
        <f aca="false">ROUND(SUMPRODUCT((Taches!$B$2:$B$60="LOT-04")*($A139&gt;=Taches!$H$2:$H$60)*((($A139-Taches!$H$2:$H$60+1)&gt;=Taches!$E$2:$E$60)+(($A139-Taches!$H$2:$H$60+1)&lt;Taches!$E$2:$E$60)*($A139-Taches!$H$2:$H$60+1)/Taches!$E$2:$E$60)*Taches!$G$2:$G$60),0)</f>
        <v>66270333</v>
      </c>
      <c r="F139" s="0" t="n">
        <f aca="false">ROUND(SUMPRODUCT((Taches!$B$2:$B$60="LOT-05")*($A139&gt;=Taches!$H$2:$H$60)*((($A139-Taches!$H$2:$H$60+1)&gt;=Taches!$E$2:$E$60)+(($A139-Taches!$H$2:$H$60+1)&lt;Taches!$E$2:$E$60)*($A139-Taches!$H$2:$H$60+1)/Taches!$E$2:$E$60)*Taches!$G$2:$G$60),0)</f>
        <v>0</v>
      </c>
      <c r="G139" s="0" t="n">
        <f aca="false">ROUND(SUMPRODUCT((Taches!$B$2:$B$60="LOT-06")*($A139&gt;=Taches!$H$2:$H$60)*((($A139-Taches!$H$2:$H$60+1)&gt;=Taches!$E$2:$E$60)+(($A139-Taches!$H$2:$H$60+1)&lt;Taches!$E$2:$E$60)*($A139-Taches!$H$2:$H$60+1)/Taches!$E$2:$E$60)*Taches!$G$2:$G$60),0)</f>
        <v>0</v>
      </c>
      <c r="H139" s="0" t="n">
        <f aca="false">ROUND(SUMPRODUCT((Taches!$B$2:$B$60="LOT-07")*($A139&gt;=Taches!$H$2:$H$60)*((($A139-Taches!$H$2:$H$60+1)&gt;=Taches!$E$2:$E$60)+(($A139-Taches!$H$2:$H$60+1)&lt;Taches!$E$2:$E$60)*($A139-Taches!$H$2:$H$60+1)/Taches!$E$2:$E$60)*Taches!$G$2:$G$60),0)</f>
        <v>0</v>
      </c>
      <c r="I139" s="0" t="n">
        <f aca="false">ROUND(SUMPRODUCT((Taches!$B$2:$B$60="LOT-08")*($A139&gt;=Taches!$H$2:$H$60)*((($A139-Taches!$H$2:$H$60+1)&gt;=Taches!$E$2:$E$60)+(($A139-Taches!$H$2:$H$60+1)&lt;Taches!$E$2:$E$60)*($A139-Taches!$H$2:$H$60+1)/Taches!$E$2:$E$60)*Taches!$G$2:$G$60),0)</f>
        <v>0</v>
      </c>
      <c r="J139" s="0" t="n">
        <f aca="false">SUM(B139:I139)</f>
        <v>317758133</v>
      </c>
    </row>
    <row r="140" customFormat="false" ht="15" hidden="false" customHeight="false" outlineLevel="0" collapsed="false">
      <c r="A140" s="0" t="n">
        <v>138</v>
      </c>
      <c r="B140" s="0" t="n">
        <f aca="false">ROUND(SUMPRODUCT((Taches!$B$2:$B$60="LOT-01")*($A140&gt;=Taches!$H$2:$H$60)*((($A140-Taches!$H$2:$H$60+1)&gt;=Taches!$E$2:$E$60)+(($A140-Taches!$H$2:$H$60+1)&lt;Taches!$E$2:$E$60)*($A140-Taches!$H$2:$H$60+1)/Taches!$E$2:$E$60)*Taches!$G$2:$G$60),0)</f>
        <v>55890000</v>
      </c>
      <c r="C140" s="0" t="n">
        <f aca="false">ROUND(SUMPRODUCT((Taches!$B$2:$B$60="LOT-02")*($A140&gt;=Taches!$H$2:$H$60)*((($A140-Taches!$H$2:$H$60+1)&gt;=Taches!$E$2:$E$60)+(($A140-Taches!$H$2:$H$60+1)&lt;Taches!$E$2:$E$60)*($A140-Taches!$H$2:$H$60+1)/Taches!$E$2:$E$60)*Taches!$G$2:$G$60),0)</f>
        <v>84757200</v>
      </c>
      <c r="D140" s="0" t="n">
        <f aca="false">ROUND(SUMPRODUCT((Taches!$B$2:$B$60="LOT-03")*($A140&gt;=Taches!$H$2:$H$60)*((($A140-Taches!$H$2:$H$60+1)&gt;=Taches!$E$2:$E$60)+(($A140-Taches!$H$2:$H$60+1)&lt;Taches!$E$2:$E$60)*($A140-Taches!$H$2:$H$60+1)/Taches!$E$2:$E$60)*Taches!$G$2:$G$60),0)</f>
        <v>111116000</v>
      </c>
      <c r="E140" s="0" t="n">
        <f aca="false">ROUND(SUMPRODUCT((Taches!$B$2:$B$60="LOT-04")*($A140&gt;=Taches!$H$2:$H$60)*((($A140-Taches!$H$2:$H$60+1)&gt;=Taches!$E$2:$E$60)+(($A140-Taches!$H$2:$H$60+1)&lt;Taches!$E$2:$E$60)*($A140-Taches!$H$2:$H$60+1)/Taches!$E$2:$E$60)*Taches!$G$2:$G$60),0)</f>
        <v>68676595</v>
      </c>
      <c r="F140" s="0" t="n">
        <f aca="false">ROUND(SUMPRODUCT((Taches!$B$2:$B$60="LOT-05")*($A140&gt;=Taches!$H$2:$H$60)*((($A140-Taches!$H$2:$H$60+1)&gt;=Taches!$E$2:$E$60)+(($A140-Taches!$H$2:$H$60+1)&lt;Taches!$E$2:$E$60)*($A140-Taches!$H$2:$H$60+1)/Taches!$E$2:$E$60)*Taches!$G$2:$G$60),0)</f>
        <v>0</v>
      </c>
      <c r="G140" s="0" t="n">
        <f aca="false">ROUND(SUMPRODUCT((Taches!$B$2:$B$60="LOT-06")*($A140&gt;=Taches!$H$2:$H$60)*((($A140-Taches!$H$2:$H$60+1)&gt;=Taches!$E$2:$E$60)+(($A140-Taches!$H$2:$H$60+1)&lt;Taches!$E$2:$E$60)*($A140-Taches!$H$2:$H$60+1)/Taches!$E$2:$E$60)*Taches!$G$2:$G$60),0)</f>
        <v>0</v>
      </c>
      <c r="H140" s="0" t="n">
        <f aca="false">ROUND(SUMPRODUCT((Taches!$B$2:$B$60="LOT-07")*($A140&gt;=Taches!$H$2:$H$60)*((($A140-Taches!$H$2:$H$60+1)&gt;=Taches!$E$2:$E$60)+(($A140-Taches!$H$2:$H$60+1)&lt;Taches!$E$2:$E$60)*($A140-Taches!$H$2:$H$60+1)/Taches!$E$2:$E$60)*Taches!$G$2:$G$60),0)</f>
        <v>0</v>
      </c>
      <c r="I140" s="0" t="n">
        <f aca="false">ROUND(SUMPRODUCT((Taches!$B$2:$B$60="LOT-08")*($A140&gt;=Taches!$H$2:$H$60)*((($A140-Taches!$H$2:$H$60+1)&gt;=Taches!$E$2:$E$60)+(($A140-Taches!$H$2:$H$60+1)&lt;Taches!$E$2:$E$60)*($A140-Taches!$H$2:$H$60+1)/Taches!$E$2:$E$60)*Taches!$G$2:$G$60),0)</f>
        <v>0</v>
      </c>
      <c r="J140" s="0" t="n">
        <f aca="false">SUM(B140:I140)</f>
        <v>320439795</v>
      </c>
    </row>
    <row r="141" customFormat="false" ht="15" hidden="false" customHeight="false" outlineLevel="0" collapsed="false">
      <c r="A141" s="0" t="n">
        <v>139</v>
      </c>
      <c r="B141" s="0" t="n">
        <f aca="false">ROUND(SUMPRODUCT((Taches!$B$2:$B$60="LOT-01")*($A141&gt;=Taches!$H$2:$H$60)*((($A141-Taches!$H$2:$H$60+1)&gt;=Taches!$E$2:$E$60)+(($A141-Taches!$H$2:$H$60+1)&lt;Taches!$E$2:$E$60)*($A141-Taches!$H$2:$H$60+1)/Taches!$E$2:$E$60)*Taches!$G$2:$G$60),0)</f>
        <v>55890000</v>
      </c>
      <c r="C141" s="0" t="n">
        <f aca="false">ROUND(SUMPRODUCT((Taches!$B$2:$B$60="LOT-02")*($A141&gt;=Taches!$H$2:$H$60)*((($A141-Taches!$H$2:$H$60+1)&gt;=Taches!$E$2:$E$60)+(($A141-Taches!$H$2:$H$60+1)&lt;Taches!$E$2:$E$60)*($A141-Taches!$H$2:$H$60+1)/Taches!$E$2:$E$60)*Taches!$G$2:$G$60),0)</f>
        <v>85032600</v>
      </c>
      <c r="D141" s="0" t="n">
        <f aca="false">ROUND(SUMPRODUCT((Taches!$B$2:$B$60="LOT-03")*($A141&gt;=Taches!$H$2:$H$60)*((($A141-Taches!$H$2:$H$60+1)&gt;=Taches!$E$2:$E$60)+(($A141-Taches!$H$2:$H$60+1)&lt;Taches!$E$2:$E$60)*($A141-Taches!$H$2:$H$60+1)/Taches!$E$2:$E$60)*Taches!$G$2:$G$60),0)</f>
        <v>111116000</v>
      </c>
      <c r="E141" s="0" t="n">
        <f aca="false">ROUND(SUMPRODUCT((Taches!$B$2:$B$60="LOT-04")*($A141&gt;=Taches!$H$2:$H$60)*((($A141-Taches!$H$2:$H$60+1)&gt;=Taches!$E$2:$E$60)+(($A141-Taches!$H$2:$H$60+1)&lt;Taches!$E$2:$E$60)*($A141-Taches!$H$2:$H$60+1)/Taches!$E$2:$E$60)*Taches!$G$2:$G$60),0)</f>
        <v>71082857</v>
      </c>
      <c r="F141" s="0" t="n">
        <f aca="false">ROUND(SUMPRODUCT((Taches!$B$2:$B$60="LOT-05")*($A141&gt;=Taches!$H$2:$H$60)*((($A141-Taches!$H$2:$H$60+1)&gt;=Taches!$E$2:$E$60)+(($A141-Taches!$H$2:$H$60+1)&lt;Taches!$E$2:$E$60)*($A141-Taches!$H$2:$H$60+1)/Taches!$E$2:$E$60)*Taches!$G$2:$G$60),0)</f>
        <v>0</v>
      </c>
      <c r="G141" s="0" t="n">
        <f aca="false">ROUND(SUMPRODUCT((Taches!$B$2:$B$60="LOT-06")*($A141&gt;=Taches!$H$2:$H$60)*((($A141-Taches!$H$2:$H$60+1)&gt;=Taches!$E$2:$E$60)+(($A141-Taches!$H$2:$H$60+1)&lt;Taches!$E$2:$E$60)*($A141-Taches!$H$2:$H$60+1)/Taches!$E$2:$E$60)*Taches!$G$2:$G$60),0)</f>
        <v>0</v>
      </c>
      <c r="H141" s="0" t="n">
        <f aca="false">ROUND(SUMPRODUCT((Taches!$B$2:$B$60="LOT-07")*($A141&gt;=Taches!$H$2:$H$60)*((($A141-Taches!$H$2:$H$60+1)&gt;=Taches!$E$2:$E$60)+(($A141-Taches!$H$2:$H$60+1)&lt;Taches!$E$2:$E$60)*($A141-Taches!$H$2:$H$60+1)/Taches!$E$2:$E$60)*Taches!$G$2:$G$60),0)</f>
        <v>0</v>
      </c>
      <c r="I141" s="0" t="n">
        <f aca="false">ROUND(SUMPRODUCT((Taches!$B$2:$B$60="LOT-08")*($A141&gt;=Taches!$H$2:$H$60)*((($A141-Taches!$H$2:$H$60+1)&gt;=Taches!$E$2:$E$60)+(($A141-Taches!$H$2:$H$60+1)&lt;Taches!$E$2:$E$60)*($A141-Taches!$H$2:$H$60+1)/Taches!$E$2:$E$60)*Taches!$G$2:$G$60),0)</f>
        <v>0</v>
      </c>
      <c r="J141" s="0" t="n">
        <f aca="false">SUM(B141:I141)</f>
        <v>323121457</v>
      </c>
    </row>
    <row r="142" customFormat="false" ht="15" hidden="false" customHeight="false" outlineLevel="0" collapsed="false">
      <c r="A142" s="0" t="n">
        <v>140</v>
      </c>
      <c r="B142" s="0" t="n">
        <f aca="false">ROUND(SUMPRODUCT((Taches!$B$2:$B$60="LOT-01")*($A142&gt;=Taches!$H$2:$H$60)*((($A142-Taches!$H$2:$H$60+1)&gt;=Taches!$E$2:$E$60)+(($A142-Taches!$H$2:$H$60+1)&lt;Taches!$E$2:$E$60)*($A142-Taches!$H$2:$H$60+1)/Taches!$E$2:$E$60)*Taches!$G$2:$G$60),0)</f>
        <v>55890000</v>
      </c>
      <c r="C142" s="0" t="n">
        <f aca="false">ROUND(SUMPRODUCT((Taches!$B$2:$B$60="LOT-02")*($A142&gt;=Taches!$H$2:$H$60)*((($A142-Taches!$H$2:$H$60+1)&gt;=Taches!$E$2:$E$60)+(($A142-Taches!$H$2:$H$60+1)&lt;Taches!$E$2:$E$60)*($A142-Taches!$H$2:$H$60+1)/Taches!$E$2:$E$60)*Taches!$G$2:$G$60),0)</f>
        <v>85308000</v>
      </c>
      <c r="D142" s="0" t="n">
        <f aca="false">ROUND(SUMPRODUCT((Taches!$B$2:$B$60="LOT-03")*($A142&gt;=Taches!$H$2:$H$60)*((($A142-Taches!$H$2:$H$60+1)&gt;=Taches!$E$2:$E$60)+(($A142-Taches!$H$2:$H$60+1)&lt;Taches!$E$2:$E$60)*($A142-Taches!$H$2:$H$60+1)/Taches!$E$2:$E$60)*Taches!$G$2:$G$60),0)</f>
        <v>111116000</v>
      </c>
      <c r="E142" s="0" t="n">
        <f aca="false">ROUND(SUMPRODUCT((Taches!$B$2:$B$60="LOT-04")*($A142&gt;=Taches!$H$2:$H$60)*((($A142-Taches!$H$2:$H$60+1)&gt;=Taches!$E$2:$E$60)+(($A142-Taches!$H$2:$H$60+1)&lt;Taches!$E$2:$E$60)*($A142-Taches!$H$2:$H$60+1)/Taches!$E$2:$E$60)*Taches!$G$2:$G$60),0)</f>
        <v>73489119</v>
      </c>
      <c r="F142" s="0" t="n">
        <f aca="false">ROUND(SUMPRODUCT((Taches!$B$2:$B$60="LOT-05")*($A142&gt;=Taches!$H$2:$H$60)*((($A142-Taches!$H$2:$H$60+1)&gt;=Taches!$E$2:$E$60)+(($A142-Taches!$H$2:$H$60+1)&lt;Taches!$E$2:$E$60)*($A142-Taches!$H$2:$H$60+1)/Taches!$E$2:$E$60)*Taches!$G$2:$G$60),0)</f>
        <v>0</v>
      </c>
      <c r="G142" s="0" t="n">
        <f aca="false">ROUND(SUMPRODUCT((Taches!$B$2:$B$60="LOT-06")*($A142&gt;=Taches!$H$2:$H$60)*((($A142-Taches!$H$2:$H$60+1)&gt;=Taches!$E$2:$E$60)+(($A142-Taches!$H$2:$H$60+1)&lt;Taches!$E$2:$E$60)*($A142-Taches!$H$2:$H$60+1)/Taches!$E$2:$E$60)*Taches!$G$2:$G$60),0)</f>
        <v>0</v>
      </c>
      <c r="H142" s="0" t="n">
        <f aca="false">ROUND(SUMPRODUCT((Taches!$B$2:$B$60="LOT-07")*($A142&gt;=Taches!$H$2:$H$60)*((($A142-Taches!$H$2:$H$60+1)&gt;=Taches!$E$2:$E$60)+(($A142-Taches!$H$2:$H$60+1)&lt;Taches!$E$2:$E$60)*($A142-Taches!$H$2:$H$60+1)/Taches!$E$2:$E$60)*Taches!$G$2:$G$60),0)</f>
        <v>0</v>
      </c>
      <c r="I142" s="0" t="n">
        <f aca="false">ROUND(SUMPRODUCT((Taches!$B$2:$B$60="LOT-08")*($A142&gt;=Taches!$H$2:$H$60)*((($A142-Taches!$H$2:$H$60+1)&gt;=Taches!$E$2:$E$60)+(($A142-Taches!$H$2:$H$60+1)&lt;Taches!$E$2:$E$60)*($A142-Taches!$H$2:$H$60+1)/Taches!$E$2:$E$60)*Taches!$G$2:$G$60),0)</f>
        <v>0</v>
      </c>
      <c r="J142" s="0" t="n">
        <f aca="false">SUM(B142:I142)</f>
        <v>325803119</v>
      </c>
    </row>
    <row r="143" customFormat="false" ht="15" hidden="false" customHeight="false" outlineLevel="0" collapsed="false">
      <c r="A143" s="0" t="n">
        <v>141</v>
      </c>
      <c r="B143" s="0" t="n">
        <f aca="false">ROUND(SUMPRODUCT((Taches!$B$2:$B$60="LOT-01")*($A143&gt;=Taches!$H$2:$H$60)*((($A143-Taches!$H$2:$H$60+1)&gt;=Taches!$E$2:$E$60)+(($A143-Taches!$H$2:$H$60+1)&lt;Taches!$E$2:$E$60)*($A143-Taches!$H$2:$H$60+1)/Taches!$E$2:$E$60)*Taches!$G$2:$G$60),0)</f>
        <v>55890000</v>
      </c>
      <c r="C143" s="0" t="n">
        <f aca="false">ROUND(SUMPRODUCT((Taches!$B$2:$B$60="LOT-02")*($A143&gt;=Taches!$H$2:$H$60)*((($A143-Taches!$H$2:$H$60+1)&gt;=Taches!$E$2:$E$60)+(($A143-Taches!$H$2:$H$60+1)&lt;Taches!$E$2:$E$60)*($A143-Taches!$H$2:$H$60+1)/Taches!$E$2:$E$60)*Taches!$G$2:$G$60),0)</f>
        <v>85583400</v>
      </c>
      <c r="D143" s="0" t="n">
        <f aca="false">ROUND(SUMPRODUCT((Taches!$B$2:$B$60="LOT-03")*($A143&gt;=Taches!$H$2:$H$60)*((($A143-Taches!$H$2:$H$60+1)&gt;=Taches!$E$2:$E$60)+(($A143-Taches!$H$2:$H$60+1)&lt;Taches!$E$2:$E$60)*($A143-Taches!$H$2:$H$60+1)/Taches!$E$2:$E$60)*Taches!$G$2:$G$60),0)</f>
        <v>111116000</v>
      </c>
      <c r="E143" s="0" t="n">
        <f aca="false">ROUND(SUMPRODUCT((Taches!$B$2:$B$60="LOT-04")*($A143&gt;=Taches!$H$2:$H$60)*((($A143-Taches!$H$2:$H$60+1)&gt;=Taches!$E$2:$E$60)+(($A143-Taches!$H$2:$H$60+1)&lt;Taches!$E$2:$E$60)*($A143-Taches!$H$2:$H$60+1)/Taches!$E$2:$E$60)*Taches!$G$2:$G$60),0)</f>
        <v>75895381</v>
      </c>
      <c r="F143" s="0" t="n">
        <f aca="false">ROUND(SUMPRODUCT((Taches!$B$2:$B$60="LOT-05")*($A143&gt;=Taches!$H$2:$H$60)*((($A143-Taches!$H$2:$H$60+1)&gt;=Taches!$E$2:$E$60)+(($A143-Taches!$H$2:$H$60+1)&lt;Taches!$E$2:$E$60)*($A143-Taches!$H$2:$H$60+1)/Taches!$E$2:$E$60)*Taches!$G$2:$G$60),0)</f>
        <v>0</v>
      </c>
      <c r="G143" s="0" t="n">
        <f aca="false">ROUND(SUMPRODUCT((Taches!$B$2:$B$60="LOT-06")*($A143&gt;=Taches!$H$2:$H$60)*((($A143-Taches!$H$2:$H$60+1)&gt;=Taches!$E$2:$E$60)+(($A143-Taches!$H$2:$H$60+1)&lt;Taches!$E$2:$E$60)*($A143-Taches!$H$2:$H$60+1)/Taches!$E$2:$E$60)*Taches!$G$2:$G$60),0)</f>
        <v>0</v>
      </c>
      <c r="H143" s="0" t="n">
        <f aca="false">ROUND(SUMPRODUCT((Taches!$B$2:$B$60="LOT-07")*($A143&gt;=Taches!$H$2:$H$60)*((($A143-Taches!$H$2:$H$60+1)&gt;=Taches!$E$2:$E$60)+(($A143-Taches!$H$2:$H$60+1)&lt;Taches!$E$2:$E$60)*($A143-Taches!$H$2:$H$60+1)/Taches!$E$2:$E$60)*Taches!$G$2:$G$60),0)</f>
        <v>0</v>
      </c>
      <c r="I143" s="0" t="n">
        <f aca="false">ROUND(SUMPRODUCT((Taches!$B$2:$B$60="LOT-08")*($A143&gt;=Taches!$H$2:$H$60)*((($A143-Taches!$H$2:$H$60+1)&gt;=Taches!$E$2:$E$60)+(($A143-Taches!$H$2:$H$60+1)&lt;Taches!$E$2:$E$60)*($A143-Taches!$H$2:$H$60+1)/Taches!$E$2:$E$60)*Taches!$G$2:$G$60),0)</f>
        <v>0</v>
      </c>
      <c r="J143" s="0" t="n">
        <f aca="false">SUM(B143:I143)</f>
        <v>328484781</v>
      </c>
    </row>
    <row r="144" customFormat="false" ht="15" hidden="false" customHeight="false" outlineLevel="0" collapsed="false">
      <c r="A144" s="0" t="n">
        <v>142</v>
      </c>
      <c r="B144" s="0" t="n">
        <f aca="false">ROUND(SUMPRODUCT((Taches!$B$2:$B$60="LOT-01")*($A144&gt;=Taches!$H$2:$H$60)*((($A144-Taches!$H$2:$H$60+1)&gt;=Taches!$E$2:$E$60)+(($A144-Taches!$H$2:$H$60+1)&lt;Taches!$E$2:$E$60)*($A144-Taches!$H$2:$H$60+1)/Taches!$E$2:$E$60)*Taches!$G$2:$G$60),0)</f>
        <v>55890000</v>
      </c>
      <c r="C144" s="0" t="n">
        <f aca="false">ROUND(SUMPRODUCT((Taches!$B$2:$B$60="LOT-02")*($A144&gt;=Taches!$H$2:$H$60)*((($A144-Taches!$H$2:$H$60+1)&gt;=Taches!$E$2:$E$60)+(($A144-Taches!$H$2:$H$60+1)&lt;Taches!$E$2:$E$60)*($A144-Taches!$H$2:$H$60+1)/Taches!$E$2:$E$60)*Taches!$G$2:$G$60),0)</f>
        <v>85858800</v>
      </c>
      <c r="D144" s="0" t="n">
        <f aca="false">ROUND(SUMPRODUCT((Taches!$B$2:$B$60="LOT-03")*($A144&gt;=Taches!$H$2:$H$60)*((($A144-Taches!$H$2:$H$60+1)&gt;=Taches!$E$2:$E$60)+(($A144-Taches!$H$2:$H$60+1)&lt;Taches!$E$2:$E$60)*($A144-Taches!$H$2:$H$60+1)/Taches!$E$2:$E$60)*Taches!$G$2:$G$60),0)</f>
        <v>111116000</v>
      </c>
      <c r="E144" s="0" t="n">
        <f aca="false">ROUND(SUMPRODUCT((Taches!$B$2:$B$60="LOT-04")*($A144&gt;=Taches!$H$2:$H$60)*((($A144-Taches!$H$2:$H$60+1)&gt;=Taches!$E$2:$E$60)+(($A144-Taches!$H$2:$H$60+1)&lt;Taches!$E$2:$E$60)*($A144-Taches!$H$2:$H$60+1)/Taches!$E$2:$E$60)*Taches!$G$2:$G$60),0)</f>
        <v>78301643</v>
      </c>
      <c r="F144" s="0" t="n">
        <f aca="false">ROUND(SUMPRODUCT((Taches!$B$2:$B$60="LOT-05")*($A144&gt;=Taches!$H$2:$H$60)*((($A144-Taches!$H$2:$H$60+1)&gt;=Taches!$E$2:$E$60)+(($A144-Taches!$H$2:$H$60+1)&lt;Taches!$E$2:$E$60)*($A144-Taches!$H$2:$H$60+1)/Taches!$E$2:$E$60)*Taches!$G$2:$G$60),0)</f>
        <v>0</v>
      </c>
      <c r="G144" s="0" t="n">
        <f aca="false">ROUND(SUMPRODUCT((Taches!$B$2:$B$60="LOT-06")*($A144&gt;=Taches!$H$2:$H$60)*((($A144-Taches!$H$2:$H$60+1)&gt;=Taches!$E$2:$E$60)+(($A144-Taches!$H$2:$H$60+1)&lt;Taches!$E$2:$E$60)*($A144-Taches!$H$2:$H$60+1)/Taches!$E$2:$E$60)*Taches!$G$2:$G$60),0)</f>
        <v>0</v>
      </c>
      <c r="H144" s="0" t="n">
        <f aca="false">ROUND(SUMPRODUCT((Taches!$B$2:$B$60="LOT-07")*($A144&gt;=Taches!$H$2:$H$60)*((($A144-Taches!$H$2:$H$60+1)&gt;=Taches!$E$2:$E$60)+(($A144-Taches!$H$2:$H$60+1)&lt;Taches!$E$2:$E$60)*($A144-Taches!$H$2:$H$60+1)/Taches!$E$2:$E$60)*Taches!$G$2:$G$60),0)</f>
        <v>0</v>
      </c>
      <c r="I144" s="0" t="n">
        <f aca="false">ROUND(SUMPRODUCT((Taches!$B$2:$B$60="LOT-08")*($A144&gt;=Taches!$H$2:$H$60)*((($A144-Taches!$H$2:$H$60+1)&gt;=Taches!$E$2:$E$60)+(($A144-Taches!$H$2:$H$60+1)&lt;Taches!$E$2:$E$60)*($A144-Taches!$H$2:$H$60+1)/Taches!$E$2:$E$60)*Taches!$G$2:$G$60),0)</f>
        <v>0</v>
      </c>
      <c r="J144" s="0" t="n">
        <f aca="false">SUM(B144:I144)</f>
        <v>331166443</v>
      </c>
    </row>
    <row r="145" customFormat="false" ht="15" hidden="false" customHeight="false" outlineLevel="0" collapsed="false">
      <c r="A145" s="0" t="n">
        <v>143</v>
      </c>
      <c r="B145" s="0" t="n">
        <f aca="false">ROUND(SUMPRODUCT((Taches!$B$2:$B$60="LOT-01")*($A145&gt;=Taches!$H$2:$H$60)*((($A145-Taches!$H$2:$H$60+1)&gt;=Taches!$E$2:$E$60)+(($A145-Taches!$H$2:$H$60+1)&lt;Taches!$E$2:$E$60)*($A145-Taches!$H$2:$H$60+1)/Taches!$E$2:$E$60)*Taches!$G$2:$G$60),0)</f>
        <v>55890000</v>
      </c>
      <c r="C145" s="0" t="n">
        <f aca="false">ROUND(SUMPRODUCT((Taches!$B$2:$B$60="LOT-02")*($A145&gt;=Taches!$H$2:$H$60)*((($A145-Taches!$H$2:$H$60+1)&gt;=Taches!$E$2:$E$60)+(($A145-Taches!$H$2:$H$60+1)&lt;Taches!$E$2:$E$60)*($A145-Taches!$H$2:$H$60+1)/Taches!$E$2:$E$60)*Taches!$G$2:$G$60),0)</f>
        <v>86134200</v>
      </c>
      <c r="D145" s="0" t="n">
        <f aca="false">ROUND(SUMPRODUCT((Taches!$B$2:$B$60="LOT-03")*($A145&gt;=Taches!$H$2:$H$60)*((($A145-Taches!$H$2:$H$60+1)&gt;=Taches!$E$2:$E$60)+(($A145-Taches!$H$2:$H$60+1)&lt;Taches!$E$2:$E$60)*($A145-Taches!$H$2:$H$60+1)/Taches!$E$2:$E$60)*Taches!$G$2:$G$60),0)</f>
        <v>111116000</v>
      </c>
      <c r="E145" s="0" t="n">
        <f aca="false">ROUND(SUMPRODUCT((Taches!$B$2:$B$60="LOT-04")*($A145&gt;=Taches!$H$2:$H$60)*((($A145-Taches!$H$2:$H$60+1)&gt;=Taches!$E$2:$E$60)+(($A145-Taches!$H$2:$H$60+1)&lt;Taches!$E$2:$E$60)*($A145-Taches!$H$2:$H$60+1)/Taches!$E$2:$E$60)*Taches!$G$2:$G$60),0)</f>
        <v>80707905</v>
      </c>
      <c r="F145" s="0" t="n">
        <f aca="false">ROUND(SUMPRODUCT((Taches!$B$2:$B$60="LOT-05")*($A145&gt;=Taches!$H$2:$H$60)*((($A145-Taches!$H$2:$H$60+1)&gt;=Taches!$E$2:$E$60)+(($A145-Taches!$H$2:$H$60+1)&lt;Taches!$E$2:$E$60)*($A145-Taches!$H$2:$H$60+1)/Taches!$E$2:$E$60)*Taches!$G$2:$G$60),0)</f>
        <v>0</v>
      </c>
      <c r="G145" s="0" t="n">
        <f aca="false">ROUND(SUMPRODUCT((Taches!$B$2:$B$60="LOT-06")*($A145&gt;=Taches!$H$2:$H$60)*((($A145-Taches!$H$2:$H$60+1)&gt;=Taches!$E$2:$E$60)+(($A145-Taches!$H$2:$H$60+1)&lt;Taches!$E$2:$E$60)*($A145-Taches!$H$2:$H$60+1)/Taches!$E$2:$E$60)*Taches!$G$2:$G$60),0)</f>
        <v>0</v>
      </c>
      <c r="H145" s="0" t="n">
        <f aca="false">ROUND(SUMPRODUCT((Taches!$B$2:$B$60="LOT-07")*($A145&gt;=Taches!$H$2:$H$60)*((($A145-Taches!$H$2:$H$60+1)&gt;=Taches!$E$2:$E$60)+(($A145-Taches!$H$2:$H$60+1)&lt;Taches!$E$2:$E$60)*($A145-Taches!$H$2:$H$60+1)/Taches!$E$2:$E$60)*Taches!$G$2:$G$60),0)</f>
        <v>0</v>
      </c>
      <c r="I145" s="0" t="n">
        <f aca="false">ROUND(SUMPRODUCT((Taches!$B$2:$B$60="LOT-08")*($A145&gt;=Taches!$H$2:$H$60)*((($A145-Taches!$H$2:$H$60+1)&gt;=Taches!$E$2:$E$60)+(($A145-Taches!$H$2:$H$60+1)&lt;Taches!$E$2:$E$60)*($A145-Taches!$H$2:$H$60+1)/Taches!$E$2:$E$60)*Taches!$G$2:$G$60),0)</f>
        <v>0</v>
      </c>
      <c r="J145" s="0" t="n">
        <f aca="false">SUM(B145:I145)</f>
        <v>333848105</v>
      </c>
    </row>
    <row r="146" customFormat="false" ht="15" hidden="false" customHeight="false" outlineLevel="0" collapsed="false">
      <c r="A146" s="0" t="n">
        <v>144</v>
      </c>
      <c r="B146" s="0" t="n">
        <f aca="false">ROUND(SUMPRODUCT((Taches!$B$2:$B$60="LOT-01")*($A146&gt;=Taches!$H$2:$H$60)*((($A146-Taches!$H$2:$H$60+1)&gt;=Taches!$E$2:$E$60)+(($A146-Taches!$H$2:$H$60+1)&lt;Taches!$E$2:$E$60)*($A146-Taches!$H$2:$H$60+1)/Taches!$E$2:$E$60)*Taches!$G$2:$G$60),0)</f>
        <v>55890000</v>
      </c>
      <c r="C146" s="0" t="n">
        <f aca="false">ROUND(SUMPRODUCT((Taches!$B$2:$B$60="LOT-02")*($A146&gt;=Taches!$H$2:$H$60)*((($A146-Taches!$H$2:$H$60+1)&gt;=Taches!$E$2:$E$60)+(($A146-Taches!$H$2:$H$60+1)&lt;Taches!$E$2:$E$60)*($A146-Taches!$H$2:$H$60+1)/Taches!$E$2:$E$60)*Taches!$G$2:$G$60),0)</f>
        <v>86409600</v>
      </c>
      <c r="D146" s="0" t="n">
        <f aca="false">ROUND(SUMPRODUCT((Taches!$B$2:$B$60="LOT-03")*($A146&gt;=Taches!$H$2:$H$60)*((($A146-Taches!$H$2:$H$60+1)&gt;=Taches!$E$2:$E$60)+(($A146-Taches!$H$2:$H$60+1)&lt;Taches!$E$2:$E$60)*($A146-Taches!$H$2:$H$60+1)/Taches!$E$2:$E$60)*Taches!$G$2:$G$60),0)</f>
        <v>111116000</v>
      </c>
      <c r="E146" s="0" t="n">
        <f aca="false">ROUND(SUMPRODUCT((Taches!$B$2:$B$60="LOT-04")*($A146&gt;=Taches!$H$2:$H$60)*((($A146-Taches!$H$2:$H$60+1)&gt;=Taches!$E$2:$E$60)+(($A146-Taches!$H$2:$H$60+1)&lt;Taches!$E$2:$E$60)*($A146-Taches!$H$2:$H$60+1)/Taches!$E$2:$E$60)*Taches!$G$2:$G$60),0)</f>
        <v>83114167</v>
      </c>
      <c r="F146" s="0" t="n">
        <f aca="false">ROUND(SUMPRODUCT((Taches!$B$2:$B$60="LOT-05")*($A146&gt;=Taches!$H$2:$H$60)*((($A146-Taches!$H$2:$H$60+1)&gt;=Taches!$E$2:$E$60)+(($A146-Taches!$H$2:$H$60+1)&lt;Taches!$E$2:$E$60)*($A146-Taches!$H$2:$H$60+1)/Taches!$E$2:$E$60)*Taches!$G$2:$G$60),0)</f>
        <v>0</v>
      </c>
      <c r="G146" s="0" t="n">
        <f aca="false">ROUND(SUMPRODUCT((Taches!$B$2:$B$60="LOT-06")*($A146&gt;=Taches!$H$2:$H$60)*((($A146-Taches!$H$2:$H$60+1)&gt;=Taches!$E$2:$E$60)+(($A146-Taches!$H$2:$H$60+1)&lt;Taches!$E$2:$E$60)*($A146-Taches!$H$2:$H$60+1)/Taches!$E$2:$E$60)*Taches!$G$2:$G$60),0)</f>
        <v>0</v>
      </c>
      <c r="H146" s="0" t="n">
        <f aca="false">ROUND(SUMPRODUCT((Taches!$B$2:$B$60="LOT-07")*($A146&gt;=Taches!$H$2:$H$60)*((($A146-Taches!$H$2:$H$60+1)&gt;=Taches!$E$2:$E$60)+(($A146-Taches!$H$2:$H$60+1)&lt;Taches!$E$2:$E$60)*($A146-Taches!$H$2:$H$60+1)/Taches!$E$2:$E$60)*Taches!$G$2:$G$60),0)</f>
        <v>0</v>
      </c>
      <c r="I146" s="0" t="n">
        <f aca="false">ROUND(SUMPRODUCT((Taches!$B$2:$B$60="LOT-08")*($A146&gt;=Taches!$H$2:$H$60)*((($A146-Taches!$H$2:$H$60+1)&gt;=Taches!$E$2:$E$60)+(($A146-Taches!$H$2:$H$60+1)&lt;Taches!$E$2:$E$60)*($A146-Taches!$H$2:$H$60+1)/Taches!$E$2:$E$60)*Taches!$G$2:$G$60),0)</f>
        <v>0</v>
      </c>
      <c r="J146" s="0" t="n">
        <f aca="false">SUM(B146:I146)</f>
        <v>336529767</v>
      </c>
    </row>
    <row r="147" customFormat="false" ht="15" hidden="false" customHeight="false" outlineLevel="0" collapsed="false">
      <c r="A147" s="0" t="n">
        <v>145</v>
      </c>
      <c r="B147" s="0" t="n">
        <f aca="false">ROUND(SUMPRODUCT((Taches!$B$2:$B$60="LOT-01")*($A147&gt;=Taches!$H$2:$H$60)*((($A147-Taches!$H$2:$H$60+1)&gt;=Taches!$E$2:$E$60)+(($A147-Taches!$H$2:$H$60+1)&lt;Taches!$E$2:$E$60)*($A147-Taches!$H$2:$H$60+1)/Taches!$E$2:$E$60)*Taches!$G$2:$G$60),0)</f>
        <v>55890000</v>
      </c>
      <c r="C147" s="0" t="n">
        <f aca="false">ROUND(SUMPRODUCT((Taches!$B$2:$B$60="LOT-02")*($A147&gt;=Taches!$H$2:$H$60)*((($A147-Taches!$H$2:$H$60+1)&gt;=Taches!$E$2:$E$60)+(($A147-Taches!$H$2:$H$60+1)&lt;Taches!$E$2:$E$60)*($A147-Taches!$H$2:$H$60+1)/Taches!$E$2:$E$60)*Taches!$G$2:$G$60),0)</f>
        <v>86685000</v>
      </c>
      <c r="D147" s="0" t="n">
        <f aca="false">ROUND(SUMPRODUCT((Taches!$B$2:$B$60="LOT-03")*($A147&gt;=Taches!$H$2:$H$60)*((($A147-Taches!$H$2:$H$60+1)&gt;=Taches!$E$2:$E$60)+(($A147-Taches!$H$2:$H$60+1)&lt;Taches!$E$2:$E$60)*($A147-Taches!$H$2:$H$60+1)/Taches!$E$2:$E$60)*Taches!$G$2:$G$60),0)</f>
        <v>111116000</v>
      </c>
      <c r="E147" s="0" t="n">
        <f aca="false">ROUND(SUMPRODUCT((Taches!$B$2:$B$60="LOT-04")*($A147&gt;=Taches!$H$2:$H$60)*((($A147-Taches!$H$2:$H$60+1)&gt;=Taches!$E$2:$E$60)+(($A147-Taches!$H$2:$H$60+1)&lt;Taches!$E$2:$E$60)*($A147-Taches!$H$2:$H$60+1)/Taches!$E$2:$E$60)*Taches!$G$2:$G$60),0)</f>
        <v>85520429</v>
      </c>
      <c r="F147" s="0" t="n">
        <f aca="false">ROUND(SUMPRODUCT((Taches!$B$2:$B$60="LOT-05")*($A147&gt;=Taches!$H$2:$H$60)*((($A147-Taches!$H$2:$H$60+1)&gt;=Taches!$E$2:$E$60)+(($A147-Taches!$H$2:$H$60+1)&lt;Taches!$E$2:$E$60)*($A147-Taches!$H$2:$H$60+1)/Taches!$E$2:$E$60)*Taches!$G$2:$G$60),0)</f>
        <v>0</v>
      </c>
      <c r="G147" s="0" t="n">
        <f aca="false">ROUND(SUMPRODUCT((Taches!$B$2:$B$60="LOT-06")*($A147&gt;=Taches!$H$2:$H$60)*((($A147-Taches!$H$2:$H$60+1)&gt;=Taches!$E$2:$E$60)+(($A147-Taches!$H$2:$H$60+1)&lt;Taches!$E$2:$E$60)*($A147-Taches!$H$2:$H$60+1)/Taches!$E$2:$E$60)*Taches!$G$2:$G$60),0)</f>
        <v>0</v>
      </c>
      <c r="H147" s="0" t="n">
        <f aca="false">ROUND(SUMPRODUCT((Taches!$B$2:$B$60="LOT-07")*($A147&gt;=Taches!$H$2:$H$60)*((($A147-Taches!$H$2:$H$60+1)&gt;=Taches!$E$2:$E$60)+(($A147-Taches!$H$2:$H$60+1)&lt;Taches!$E$2:$E$60)*($A147-Taches!$H$2:$H$60+1)/Taches!$E$2:$E$60)*Taches!$G$2:$G$60),0)</f>
        <v>0</v>
      </c>
      <c r="I147" s="0" t="n">
        <f aca="false">ROUND(SUMPRODUCT((Taches!$B$2:$B$60="LOT-08")*($A147&gt;=Taches!$H$2:$H$60)*((($A147-Taches!$H$2:$H$60+1)&gt;=Taches!$E$2:$E$60)+(($A147-Taches!$H$2:$H$60+1)&lt;Taches!$E$2:$E$60)*($A147-Taches!$H$2:$H$60+1)/Taches!$E$2:$E$60)*Taches!$G$2:$G$60),0)</f>
        <v>0</v>
      </c>
      <c r="J147" s="0" t="n">
        <f aca="false">SUM(B147:I147)</f>
        <v>339211429</v>
      </c>
    </row>
    <row r="148" customFormat="false" ht="15" hidden="false" customHeight="false" outlineLevel="0" collapsed="false">
      <c r="A148" s="0" t="n">
        <v>146</v>
      </c>
      <c r="B148" s="0" t="n">
        <f aca="false">ROUND(SUMPRODUCT((Taches!$B$2:$B$60="LOT-01")*($A148&gt;=Taches!$H$2:$H$60)*((($A148-Taches!$H$2:$H$60+1)&gt;=Taches!$E$2:$E$60)+(($A148-Taches!$H$2:$H$60+1)&lt;Taches!$E$2:$E$60)*($A148-Taches!$H$2:$H$60+1)/Taches!$E$2:$E$60)*Taches!$G$2:$G$60),0)</f>
        <v>55890000</v>
      </c>
      <c r="C148" s="0" t="n">
        <f aca="false">ROUND(SUMPRODUCT((Taches!$B$2:$B$60="LOT-02")*($A148&gt;=Taches!$H$2:$H$60)*((($A148-Taches!$H$2:$H$60+1)&gt;=Taches!$E$2:$E$60)+(($A148-Taches!$H$2:$H$60+1)&lt;Taches!$E$2:$E$60)*($A148-Taches!$H$2:$H$60+1)/Taches!$E$2:$E$60)*Taches!$G$2:$G$60),0)</f>
        <v>86960400</v>
      </c>
      <c r="D148" s="0" t="n">
        <f aca="false">ROUND(SUMPRODUCT((Taches!$B$2:$B$60="LOT-03")*($A148&gt;=Taches!$H$2:$H$60)*((($A148-Taches!$H$2:$H$60+1)&gt;=Taches!$E$2:$E$60)+(($A148-Taches!$H$2:$H$60+1)&lt;Taches!$E$2:$E$60)*($A148-Taches!$H$2:$H$60+1)/Taches!$E$2:$E$60)*Taches!$G$2:$G$60),0)</f>
        <v>111116000</v>
      </c>
      <c r="E148" s="0" t="n">
        <f aca="false">ROUND(SUMPRODUCT((Taches!$B$2:$B$60="LOT-04")*($A148&gt;=Taches!$H$2:$H$60)*((($A148-Taches!$H$2:$H$60+1)&gt;=Taches!$E$2:$E$60)+(($A148-Taches!$H$2:$H$60+1)&lt;Taches!$E$2:$E$60)*($A148-Taches!$H$2:$H$60+1)/Taches!$E$2:$E$60)*Taches!$G$2:$G$60),0)</f>
        <v>86783857</v>
      </c>
      <c r="F148" s="0" t="n">
        <f aca="false">ROUND(SUMPRODUCT((Taches!$B$2:$B$60="LOT-05")*($A148&gt;=Taches!$H$2:$H$60)*((($A148-Taches!$H$2:$H$60+1)&gt;=Taches!$E$2:$E$60)+(($A148-Taches!$H$2:$H$60+1)&lt;Taches!$E$2:$E$60)*($A148-Taches!$H$2:$H$60+1)/Taches!$E$2:$E$60)*Taches!$G$2:$G$60),0)</f>
        <v>0</v>
      </c>
      <c r="G148" s="0" t="n">
        <f aca="false">ROUND(SUMPRODUCT((Taches!$B$2:$B$60="LOT-06")*($A148&gt;=Taches!$H$2:$H$60)*((($A148-Taches!$H$2:$H$60+1)&gt;=Taches!$E$2:$E$60)+(($A148-Taches!$H$2:$H$60+1)&lt;Taches!$E$2:$E$60)*($A148-Taches!$H$2:$H$60+1)/Taches!$E$2:$E$60)*Taches!$G$2:$G$60),0)</f>
        <v>0</v>
      </c>
      <c r="H148" s="0" t="n">
        <f aca="false">ROUND(SUMPRODUCT((Taches!$B$2:$B$60="LOT-07")*($A148&gt;=Taches!$H$2:$H$60)*((($A148-Taches!$H$2:$H$60+1)&gt;=Taches!$E$2:$E$60)+(($A148-Taches!$H$2:$H$60+1)&lt;Taches!$E$2:$E$60)*($A148-Taches!$H$2:$H$60+1)/Taches!$E$2:$E$60)*Taches!$G$2:$G$60),0)</f>
        <v>0</v>
      </c>
      <c r="I148" s="0" t="n">
        <f aca="false">ROUND(SUMPRODUCT((Taches!$B$2:$B$60="LOT-08")*($A148&gt;=Taches!$H$2:$H$60)*((($A148-Taches!$H$2:$H$60+1)&gt;=Taches!$E$2:$E$60)+(($A148-Taches!$H$2:$H$60+1)&lt;Taches!$E$2:$E$60)*($A148-Taches!$H$2:$H$60+1)/Taches!$E$2:$E$60)*Taches!$G$2:$G$60),0)</f>
        <v>0</v>
      </c>
      <c r="J148" s="0" t="n">
        <f aca="false">SUM(B148:I148)</f>
        <v>340750257</v>
      </c>
    </row>
    <row r="149" customFormat="false" ht="15" hidden="false" customHeight="false" outlineLevel="0" collapsed="false">
      <c r="A149" s="0" t="n">
        <v>147</v>
      </c>
      <c r="B149" s="0" t="n">
        <f aca="false">ROUND(SUMPRODUCT((Taches!$B$2:$B$60="LOT-01")*($A149&gt;=Taches!$H$2:$H$60)*((($A149-Taches!$H$2:$H$60+1)&gt;=Taches!$E$2:$E$60)+(($A149-Taches!$H$2:$H$60+1)&lt;Taches!$E$2:$E$60)*($A149-Taches!$H$2:$H$60+1)/Taches!$E$2:$E$60)*Taches!$G$2:$G$60),0)</f>
        <v>55890000</v>
      </c>
      <c r="C149" s="0" t="n">
        <f aca="false">ROUND(SUMPRODUCT((Taches!$B$2:$B$60="LOT-02")*($A149&gt;=Taches!$H$2:$H$60)*((($A149-Taches!$H$2:$H$60+1)&gt;=Taches!$E$2:$E$60)+(($A149-Taches!$H$2:$H$60+1)&lt;Taches!$E$2:$E$60)*($A149-Taches!$H$2:$H$60+1)/Taches!$E$2:$E$60)*Taches!$G$2:$G$60),0)</f>
        <v>86960400</v>
      </c>
      <c r="D149" s="0" t="n">
        <f aca="false">ROUND(SUMPRODUCT((Taches!$B$2:$B$60="LOT-03")*($A149&gt;=Taches!$H$2:$H$60)*((($A149-Taches!$H$2:$H$60+1)&gt;=Taches!$E$2:$E$60)+(($A149-Taches!$H$2:$H$60+1)&lt;Taches!$E$2:$E$60)*($A149-Taches!$H$2:$H$60+1)/Taches!$E$2:$E$60)*Taches!$G$2:$G$60),0)</f>
        <v>111116000</v>
      </c>
      <c r="E149" s="0" t="n">
        <f aca="false">ROUND(SUMPRODUCT((Taches!$B$2:$B$60="LOT-04")*($A149&gt;=Taches!$H$2:$H$60)*((($A149-Taches!$H$2:$H$60+1)&gt;=Taches!$E$2:$E$60)+(($A149-Taches!$H$2:$H$60+1)&lt;Taches!$E$2:$E$60)*($A149-Taches!$H$2:$H$60+1)/Taches!$E$2:$E$60)*Taches!$G$2:$G$60),0)</f>
        <v>88047286</v>
      </c>
      <c r="F149" s="0" t="n">
        <f aca="false">ROUND(SUMPRODUCT((Taches!$B$2:$B$60="LOT-05")*($A149&gt;=Taches!$H$2:$H$60)*((($A149-Taches!$H$2:$H$60+1)&gt;=Taches!$E$2:$E$60)+(($A149-Taches!$H$2:$H$60+1)&lt;Taches!$E$2:$E$60)*($A149-Taches!$H$2:$H$60+1)/Taches!$E$2:$E$60)*Taches!$G$2:$G$60),0)</f>
        <v>0</v>
      </c>
      <c r="G149" s="0" t="n">
        <f aca="false">ROUND(SUMPRODUCT((Taches!$B$2:$B$60="LOT-06")*($A149&gt;=Taches!$H$2:$H$60)*((($A149-Taches!$H$2:$H$60+1)&gt;=Taches!$E$2:$E$60)+(($A149-Taches!$H$2:$H$60+1)&lt;Taches!$E$2:$E$60)*($A149-Taches!$H$2:$H$60+1)/Taches!$E$2:$E$60)*Taches!$G$2:$G$60),0)</f>
        <v>0</v>
      </c>
      <c r="H149" s="0" t="n">
        <f aca="false">ROUND(SUMPRODUCT((Taches!$B$2:$B$60="LOT-07")*($A149&gt;=Taches!$H$2:$H$60)*((($A149-Taches!$H$2:$H$60+1)&gt;=Taches!$E$2:$E$60)+(($A149-Taches!$H$2:$H$60+1)&lt;Taches!$E$2:$E$60)*($A149-Taches!$H$2:$H$60+1)/Taches!$E$2:$E$60)*Taches!$G$2:$G$60),0)</f>
        <v>0</v>
      </c>
      <c r="I149" s="0" t="n">
        <f aca="false">ROUND(SUMPRODUCT((Taches!$B$2:$B$60="LOT-08")*($A149&gt;=Taches!$H$2:$H$60)*((($A149-Taches!$H$2:$H$60+1)&gt;=Taches!$E$2:$E$60)+(($A149-Taches!$H$2:$H$60+1)&lt;Taches!$E$2:$E$60)*($A149-Taches!$H$2:$H$60+1)/Taches!$E$2:$E$60)*Taches!$G$2:$G$60),0)</f>
        <v>0</v>
      </c>
      <c r="J149" s="0" t="n">
        <f aca="false">SUM(B149:I149)</f>
        <v>342013686</v>
      </c>
    </row>
    <row r="150" customFormat="false" ht="15" hidden="false" customHeight="false" outlineLevel="0" collapsed="false">
      <c r="A150" s="0" t="n">
        <v>148</v>
      </c>
      <c r="B150" s="0" t="n">
        <f aca="false">ROUND(SUMPRODUCT((Taches!$B$2:$B$60="LOT-01")*($A150&gt;=Taches!$H$2:$H$60)*((($A150-Taches!$H$2:$H$60+1)&gt;=Taches!$E$2:$E$60)+(($A150-Taches!$H$2:$H$60+1)&lt;Taches!$E$2:$E$60)*($A150-Taches!$H$2:$H$60+1)/Taches!$E$2:$E$60)*Taches!$G$2:$G$60),0)</f>
        <v>55890000</v>
      </c>
      <c r="C150" s="0" t="n">
        <f aca="false">ROUND(SUMPRODUCT((Taches!$B$2:$B$60="LOT-02")*($A150&gt;=Taches!$H$2:$H$60)*((($A150-Taches!$H$2:$H$60+1)&gt;=Taches!$E$2:$E$60)+(($A150-Taches!$H$2:$H$60+1)&lt;Taches!$E$2:$E$60)*($A150-Taches!$H$2:$H$60+1)/Taches!$E$2:$E$60)*Taches!$G$2:$G$60),0)</f>
        <v>86960400</v>
      </c>
      <c r="D150" s="0" t="n">
        <f aca="false">ROUND(SUMPRODUCT((Taches!$B$2:$B$60="LOT-03")*($A150&gt;=Taches!$H$2:$H$60)*((($A150-Taches!$H$2:$H$60+1)&gt;=Taches!$E$2:$E$60)+(($A150-Taches!$H$2:$H$60+1)&lt;Taches!$E$2:$E$60)*($A150-Taches!$H$2:$H$60+1)/Taches!$E$2:$E$60)*Taches!$G$2:$G$60),0)</f>
        <v>111116000</v>
      </c>
      <c r="E150" s="0" t="n">
        <f aca="false">ROUND(SUMPRODUCT((Taches!$B$2:$B$60="LOT-04")*($A150&gt;=Taches!$H$2:$H$60)*((($A150-Taches!$H$2:$H$60+1)&gt;=Taches!$E$2:$E$60)+(($A150-Taches!$H$2:$H$60+1)&lt;Taches!$E$2:$E$60)*($A150-Taches!$H$2:$H$60+1)/Taches!$E$2:$E$60)*Taches!$G$2:$G$60),0)</f>
        <v>89310714</v>
      </c>
      <c r="F150" s="0" t="n">
        <f aca="false">ROUND(SUMPRODUCT((Taches!$B$2:$B$60="LOT-05")*($A150&gt;=Taches!$H$2:$H$60)*((($A150-Taches!$H$2:$H$60+1)&gt;=Taches!$E$2:$E$60)+(($A150-Taches!$H$2:$H$60+1)&lt;Taches!$E$2:$E$60)*($A150-Taches!$H$2:$H$60+1)/Taches!$E$2:$E$60)*Taches!$G$2:$G$60),0)</f>
        <v>0</v>
      </c>
      <c r="G150" s="0" t="n">
        <f aca="false">ROUND(SUMPRODUCT((Taches!$B$2:$B$60="LOT-06")*($A150&gt;=Taches!$H$2:$H$60)*((($A150-Taches!$H$2:$H$60+1)&gt;=Taches!$E$2:$E$60)+(($A150-Taches!$H$2:$H$60+1)&lt;Taches!$E$2:$E$60)*($A150-Taches!$H$2:$H$60+1)/Taches!$E$2:$E$60)*Taches!$G$2:$G$60),0)</f>
        <v>0</v>
      </c>
      <c r="H150" s="0" t="n">
        <f aca="false">ROUND(SUMPRODUCT((Taches!$B$2:$B$60="LOT-07")*($A150&gt;=Taches!$H$2:$H$60)*((($A150-Taches!$H$2:$H$60+1)&gt;=Taches!$E$2:$E$60)+(($A150-Taches!$H$2:$H$60+1)&lt;Taches!$E$2:$E$60)*($A150-Taches!$H$2:$H$60+1)/Taches!$E$2:$E$60)*Taches!$G$2:$G$60),0)</f>
        <v>0</v>
      </c>
      <c r="I150" s="0" t="n">
        <f aca="false">ROUND(SUMPRODUCT((Taches!$B$2:$B$60="LOT-08")*($A150&gt;=Taches!$H$2:$H$60)*((($A150-Taches!$H$2:$H$60+1)&gt;=Taches!$E$2:$E$60)+(($A150-Taches!$H$2:$H$60+1)&lt;Taches!$E$2:$E$60)*($A150-Taches!$H$2:$H$60+1)/Taches!$E$2:$E$60)*Taches!$G$2:$G$60),0)</f>
        <v>0</v>
      </c>
      <c r="J150" s="0" t="n">
        <f aca="false">SUM(B150:I150)</f>
        <v>343277114</v>
      </c>
    </row>
    <row r="151" customFormat="false" ht="15" hidden="false" customHeight="false" outlineLevel="0" collapsed="false">
      <c r="A151" s="0" t="n">
        <v>149</v>
      </c>
      <c r="B151" s="0" t="n">
        <f aca="false">ROUND(SUMPRODUCT((Taches!$B$2:$B$60="LOT-01")*($A151&gt;=Taches!$H$2:$H$60)*((($A151-Taches!$H$2:$H$60+1)&gt;=Taches!$E$2:$E$60)+(($A151-Taches!$H$2:$H$60+1)&lt;Taches!$E$2:$E$60)*($A151-Taches!$H$2:$H$60+1)/Taches!$E$2:$E$60)*Taches!$G$2:$G$60),0)</f>
        <v>55890000</v>
      </c>
      <c r="C151" s="0" t="n">
        <f aca="false">ROUND(SUMPRODUCT((Taches!$B$2:$B$60="LOT-02")*($A151&gt;=Taches!$H$2:$H$60)*((($A151-Taches!$H$2:$H$60+1)&gt;=Taches!$E$2:$E$60)+(($A151-Taches!$H$2:$H$60+1)&lt;Taches!$E$2:$E$60)*($A151-Taches!$H$2:$H$60+1)/Taches!$E$2:$E$60)*Taches!$G$2:$G$60),0)</f>
        <v>86960400</v>
      </c>
      <c r="D151" s="0" t="n">
        <f aca="false">ROUND(SUMPRODUCT((Taches!$B$2:$B$60="LOT-03")*($A151&gt;=Taches!$H$2:$H$60)*((($A151-Taches!$H$2:$H$60+1)&gt;=Taches!$E$2:$E$60)+(($A151-Taches!$H$2:$H$60+1)&lt;Taches!$E$2:$E$60)*($A151-Taches!$H$2:$H$60+1)/Taches!$E$2:$E$60)*Taches!$G$2:$G$60),0)</f>
        <v>111116000</v>
      </c>
      <c r="E151" s="0" t="n">
        <f aca="false">ROUND(SUMPRODUCT((Taches!$B$2:$B$60="LOT-04")*($A151&gt;=Taches!$H$2:$H$60)*((($A151-Taches!$H$2:$H$60+1)&gt;=Taches!$E$2:$E$60)+(($A151-Taches!$H$2:$H$60+1)&lt;Taches!$E$2:$E$60)*($A151-Taches!$H$2:$H$60+1)/Taches!$E$2:$E$60)*Taches!$G$2:$G$60),0)</f>
        <v>90574143</v>
      </c>
      <c r="F151" s="0" t="n">
        <f aca="false">ROUND(SUMPRODUCT((Taches!$B$2:$B$60="LOT-05")*($A151&gt;=Taches!$H$2:$H$60)*((($A151-Taches!$H$2:$H$60+1)&gt;=Taches!$E$2:$E$60)+(($A151-Taches!$H$2:$H$60+1)&lt;Taches!$E$2:$E$60)*($A151-Taches!$H$2:$H$60+1)/Taches!$E$2:$E$60)*Taches!$G$2:$G$60),0)</f>
        <v>0</v>
      </c>
      <c r="G151" s="0" t="n">
        <f aca="false">ROUND(SUMPRODUCT((Taches!$B$2:$B$60="LOT-06")*($A151&gt;=Taches!$H$2:$H$60)*((($A151-Taches!$H$2:$H$60+1)&gt;=Taches!$E$2:$E$60)+(($A151-Taches!$H$2:$H$60+1)&lt;Taches!$E$2:$E$60)*($A151-Taches!$H$2:$H$60+1)/Taches!$E$2:$E$60)*Taches!$G$2:$G$60),0)</f>
        <v>0</v>
      </c>
      <c r="H151" s="0" t="n">
        <f aca="false">ROUND(SUMPRODUCT((Taches!$B$2:$B$60="LOT-07")*($A151&gt;=Taches!$H$2:$H$60)*((($A151-Taches!$H$2:$H$60+1)&gt;=Taches!$E$2:$E$60)+(($A151-Taches!$H$2:$H$60+1)&lt;Taches!$E$2:$E$60)*($A151-Taches!$H$2:$H$60+1)/Taches!$E$2:$E$60)*Taches!$G$2:$G$60),0)</f>
        <v>0</v>
      </c>
      <c r="I151" s="0" t="n">
        <f aca="false">ROUND(SUMPRODUCT((Taches!$B$2:$B$60="LOT-08")*($A151&gt;=Taches!$H$2:$H$60)*((($A151-Taches!$H$2:$H$60+1)&gt;=Taches!$E$2:$E$60)+(($A151-Taches!$H$2:$H$60+1)&lt;Taches!$E$2:$E$60)*($A151-Taches!$H$2:$H$60+1)/Taches!$E$2:$E$60)*Taches!$G$2:$G$60),0)</f>
        <v>0</v>
      </c>
      <c r="J151" s="0" t="n">
        <f aca="false">SUM(B151:I151)</f>
        <v>344540543</v>
      </c>
    </row>
    <row r="152" customFormat="false" ht="15" hidden="false" customHeight="false" outlineLevel="0" collapsed="false">
      <c r="A152" s="0" t="n">
        <v>150</v>
      </c>
      <c r="B152" s="0" t="n">
        <f aca="false">ROUND(SUMPRODUCT((Taches!$B$2:$B$60="LOT-01")*($A152&gt;=Taches!$H$2:$H$60)*((($A152-Taches!$H$2:$H$60+1)&gt;=Taches!$E$2:$E$60)+(($A152-Taches!$H$2:$H$60+1)&lt;Taches!$E$2:$E$60)*($A152-Taches!$H$2:$H$60+1)/Taches!$E$2:$E$60)*Taches!$G$2:$G$60),0)</f>
        <v>55890000</v>
      </c>
      <c r="C152" s="0" t="n">
        <f aca="false">ROUND(SUMPRODUCT((Taches!$B$2:$B$60="LOT-02")*($A152&gt;=Taches!$H$2:$H$60)*((($A152-Taches!$H$2:$H$60+1)&gt;=Taches!$E$2:$E$60)+(($A152-Taches!$H$2:$H$60+1)&lt;Taches!$E$2:$E$60)*($A152-Taches!$H$2:$H$60+1)/Taches!$E$2:$E$60)*Taches!$G$2:$G$60),0)</f>
        <v>86960400</v>
      </c>
      <c r="D152" s="0" t="n">
        <f aca="false">ROUND(SUMPRODUCT((Taches!$B$2:$B$60="LOT-03")*($A152&gt;=Taches!$H$2:$H$60)*((($A152-Taches!$H$2:$H$60+1)&gt;=Taches!$E$2:$E$60)+(($A152-Taches!$H$2:$H$60+1)&lt;Taches!$E$2:$E$60)*($A152-Taches!$H$2:$H$60+1)/Taches!$E$2:$E$60)*Taches!$G$2:$G$60),0)</f>
        <v>111116000</v>
      </c>
      <c r="E152" s="0" t="n">
        <f aca="false">ROUND(SUMPRODUCT((Taches!$B$2:$B$60="LOT-04")*($A152&gt;=Taches!$H$2:$H$60)*((($A152-Taches!$H$2:$H$60+1)&gt;=Taches!$E$2:$E$60)+(($A152-Taches!$H$2:$H$60+1)&lt;Taches!$E$2:$E$60)*($A152-Taches!$H$2:$H$60+1)/Taches!$E$2:$E$60)*Taches!$G$2:$G$60),0)</f>
        <v>91837571</v>
      </c>
      <c r="F152" s="0" t="n">
        <f aca="false">ROUND(SUMPRODUCT((Taches!$B$2:$B$60="LOT-05")*($A152&gt;=Taches!$H$2:$H$60)*((($A152-Taches!$H$2:$H$60+1)&gt;=Taches!$E$2:$E$60)+(($A152-Taches!$H$2:$H$60+1)&lt;Taches!$E$2:$E$60)*($A152-Taches!$H$2:$H$60+1)/Taches!$E$2:$E$60)*Taches!$G$2:$G$60),0)</f>
        <v>0</v>
      </c>
      <c r="G152" s="0" t="n">
        <f aca="false">ROUND(SUMPRODUCT((Taches!$B$2:$B$60="LOT-06")*($A152&gt;=Taches!$H$2:$H$60)*((($A152-Taches!$H$2:$H$60+1)&gt;=Taches!$E$2:$E$60)+(($A152-Taches!$H$2:$H$60+1)&lt;Taches!$E$2:$E$60)*($A152-Taches!$H$2:$H$60+1)/Taches!$E$2:$E$60)*Taches!$G$2:$G$60),0)</f>
        <v>0</v>
      </c>
      <c r="H152" s="0" t="n">
        <f aca="false">ROUND(SUMPRODUCT((Taches!$B$2:$B$60="LOT-07")*($A152&gt;=Taches!$H$2:$H$60)*((($A152-Taches!$H$2:$H$60+1)&gt;=Taches!$E$2:$E$60)+(($A152-Taches!$H$2:$H$60+1)&lt;Taches!$E$2:$E$60)*($A152-Taches!$H$2:$H$60+1)/Taches!$E$2:$E$60)*Taches!$G$2:$G$60),0)</f>
        <v>0</v>
      </c>
      <c r="I152" s="0" t="n">
        <f aca="false">ROUND(SUMPRODUCT((Taches!$B$2:$B$60="LOT-08")*($A152&gt;=Taches!$H$2:$H$60)*((($A152-Taches!$H$2:$H$60+1)&gt;=Taches!$E$2:$E$60)+(($A152-Taches!$H$2:$H$60+1)&lt;Taches!$E$2:$E$60)*($A152-Taches!$H$2:$H$60+1)/Taches!$E$2:$E$60)*Taches!$G$2:$G$60),0)</f>
        <v>0</v>
      </c>
      <c r="J152" s="0" t="n">
        <f aca="false">SUM(B152:I152)</f>
        <v>345803971</v>
      </c>
    </row>
    <row r="153" customFormat="false" ht="15" hidden="false" customHeight="false" outlineLevel="0" collapsed="false">
      <c r="A153" s="0" t="n">
        <v>151</v>
      </c>
      <c r="B153" s="0" t="n">
        <f aca="false">ROUND(SUMPRODUCT((Taches!$B$2:$B$60="LOT-01")*($A153&gt;=Taches!$H$2:$H$60)*((($A153-Taches!$H$2:$H$60+1)&gt;=Taches!$E$2:$E$60)+(($A153-Taches!$H$2:$H$60+1)&lt;Taches!$E$2:$E$60)*($A153-Taches!$H$2:$H$60+1)/Taches!$E$2:$E$60)*Taches!$G$2:$G$60),0)</f>
        <v>55890000</v>
      </c>
      <c r="C153" s="0" t="n">
        <f aca="false">ROUND(SUMPRODUCT((Taches!$B$2:$B$60="LOT-02")*($A153&gt;=Taches!$H$2:$H$60)*((($A153-Taches!$H$2:$H$60+1)&gt;=Taches!$E$2:$E$60)+(($A153-Taches!$H$2:$H$60+1)&lt;Taches!$E$2:$E$60)*($A153-Taches!$H$2:$H$60+1)/Taches!$E$2:$E$60)*Taches!$G$2:$G$60),0)</f>
        <v>86960400</v>
      </c>
      <c r="D153" s="0" t="n">
        <f aca="false">ROUND(SUMPRODUCT((Taches!$B$2:$B$60="LOT-03")*($A153&gt;=Taches!$H$2:$H$60)*((($A153-Taches!$H$2:$H$60+1)&gt;=Taches!$E$2:$E$60)+(($A153-Taches!$H$2:$H$60+1)&lt;Taches!$E$2:$E$60)*($A153-Taches!$H$2:$H$60+1)/Taches!$E$2:$E$60)*Taches!$G$2:$G$60),0)</f>
        <v>111116000</v>
      </c>
      <c r="E153" s="0" t="n">
        <f aca="false">ROUND(SUMPRODUCT((Taches!$B$2:$B$60="LOT-04")*($A153&gt;=Taches!$H$2:$H$60)*((($A153-Taches!$H$2:$H$60+1)&gt;=Taches!$E$2:$E$60)+(($A153-Taches!$H$2:$H$60+1)&lt;Taches!$E$2:$E$60)*($A153-Taches!$H$2:$H$60+1)/Taches!$E$2:$E$60)*Taches!$G$2:$G$60),0)</f>
        <v>93101000</v>
      </c>
      <c r="F153" s="0" t="n">
        <f aca="false">ROUND(SUMPRODUCT((Taches!$B$2:$B$60="LOT-05")*($A153&gt;=Taches!$H$2:$H$60)*((($A153-Taches!$H$2:$H$60+1)&gt;=Taches!$E$2:$E$60)+(($A153-Taches!$H$2:$H$60+1)&lt;Taches!$E$2:$E$60)*($A153-Taches!$H$2:$H$60+1)/Taches!$E$2:$E$60)*Taches!$G$2:$G$60),0)</f>
        <v>0</v>
      </c>
      <c r="G153" s="0" t="n">
        <f aca="false">ROUND(SUMPRODUCT((Taches!$B$2:$B$60="LOT-06")*($A153&gt;=Taches!$H$2:$H$60)*((($A153-Taches!$H$2:$H$60+1)&gt;=Taches!$E$2:$E$60)+(($A153-Taches!$H$2:$H$60+1)&lt;Taches!$E$2:$E$60)*($A153-Taches!$H$2:$H$60+1)/Taches!$E$2:$E$60)*Taches!$G$2:$G$60),0)</f>
        <v>0</v>
      </c>
      <c r="H153" s="0" t="n">
        <f aca="false">ROUND(SUMPRODUCT((Taches!$B$2:$B$60="LOT-07")*($A153&gt;=Taches!$H$2:$H$60)*((($A153-Taches!$H$2:$H$60+1)&gt;=Taches!$E$2:$E$60)+(($A153-Taches!$H$2:$H$60+1)&lt;Taches!$E$2:$E$60)*($A153-Taches!$H$2:$H$60+1)/Taches!$E$2:$E$60)*Taches!$G$2:$G$60),0)</f>
        <v>0</v>
      </c>
      <c r="I153" s="0" t="n">
        <f aca="false">ROUND(SUMPRODUCT((Taches!$B$2:$B$60="LOT-08")*($A153&gt;=Taches!$H$2:$H$60)*((($A153-Taches!$H$2:$H$60+1)&gt;=Taches!$E$2:$E$60)+(($A153-Taches!$H$2:$H$60+1)&lt;Taches!$E$2:$E$60)*($A153-Taches!$H$2:$H$60+1)/Taches!$E$2:$E$60)*Taches!$G$2:$G$60),0)</f>
        <v>0</v>
      </c>
      <c r="J153" s="0" t="n">
        <f aca="false">SUM(B153:I153)</f>
        <v>347067400</v>
      </c>
    </row>
    <row r="154" customFormat="false" ht="15" hidden="false" customHeight="false" outlineLevel="0" collapsed="false">
      <c r="A154" s="0" t="n">
        <v>152</v>
      </c>
      <c r="B154" s="0" t="n">
        <f aca="false">ROUND(SUMPRODUCT((Taches!$B$2:$B$60="LOT-01")*($A154&gt;=Taches!$H$2:$H$60)*((($A154-Taches!$H$2:$H$60+1)&gt;=Taches!$E$2:$E$60)+(($A154-Taches!$H$2:$H$60+1)&lt;Taches!$E$2:$E$60)*($A154-Taches!$H$2:$H$60+1)/Taches!$E$2:$E$60)*Taches!$G$2:$G$60),0)</f>
        <v>55890000</v>
      </c>
      <c r="C154" s="0" t="n">
        <f aca="false">ROUND(SUMPRODUCT((Taches!$B$2:$B$60="LOT-02")*($A154&gt;=Taches!$H$2:$H$60)*((($A154-Taches!$H$2:$H$60+1)&gt;=Taches!$E$2:$E$60)+(($A154-Taches!$H$2:$H$60+1)&lt;Taches!$E$2:$E$60)*($A154-Taches!$H$2:$H$60+1)/Taches!$E$2:$E$60)*Taches!$G$2:$G$60),0)</f>
        <v>86960400</v>
      </c>
      <c r="D154" s="0" t="n">
        <f aca="false">ROUND(SUMPRODUCT((Taches!$B$2:$B$60="LOT-03")*($A154&gt;=Taches!$H$2:$H$60)*((($A154-Taches!$H$2:$H$60+1)&gt;=Taches!$E$2:$E$60)+(($A154-Taches!$H$2:$H$60+1)&lt;Taches!$E$2:$E$60)*($A154-Taches!$H$2:$H$60+1)/Taches!$E$2:$E$60)*Taches!$G$2:$G$60),0)</f>
        <v>111116000</v>
      </c>
      <c r="E154" s="0" t="n">
        <f aca="false">ROUND(SUMPRODUCT((Taches!$B$2:$B$60="LOT-04")*($A154&gt;=Taches!$H$2:$H$60)*((($A154-Taches!$H$2:$H$60+1)&gt;=Taches!$E$2:$E$60)+(($A154-Taches!$H$2:$H$60+1)&lt;Taches!$E$2:$E$60)*($A154-Taches!$H$2:$H$60+1)/Taches!$E$2:$E$60)*Taches!$G$2:$G$60),0)</f>
        <v>95858312</v>
      </c>
      <c r="F154" s="0" t="n">
        <f aca="false">ROUND(SUMPRODUCT((Taches!$B$2:$B$60="LOT-05")*($A154&gt;=Taches!$H$2:$H$60)*((($A154-Taches!$H$2:$H$60+1)&gt;=Taches!$E$2:$E$60)+(($A154-Taches!$H$2:$H$60+1)&lt;Taches!$E$2:$E$60)*($A154-Taches!$H$2:$H$60+1)/Taches!$E$2:$E$60)*Taches!$G$2:$G$60),0)</f>
        <v>0</v>
      </c>
      <c r="G154" s="0" t="n">
        <f aca="false">ROUND(SUMPRODUCT((Taches!$B$2:$B$60="LOT-06")*($A154&gt;=Taches!$H$2:$H$60)*((($A154-Taches!$H$2:$H$60+1)&gt;=Taches!$E$2:$E$60)+(($A154-Taches!$H$2:$H$60+1)&lt;Taches!$E$2:$E$60)*($A154-Taches!$H$2:$H$60+1)/Taches!$E$2:$E$60)*Taches!$G$2:$G$60),0)</f>
        <v>0</v>
      </c>
      <c r="H154" s="0" t="n">
        <f aca="false">ROUND(SUMPRODUCT((Taches!$B$2:$B$60="LOT-07")*($A154&gt;=Taches!$H$2:$H$60)*((($A154-Taches!$H$2:$H$60+1)&gt;=Taches!$E$2:$E$60)+(($A154-Taches!$H$2:$H$60+1)&lt;Taches!$E$2:$E$60)*($A154-Taches!$H$2:$H$60+1)/Taches!$E$2:$E$60)*Taches!$G$2:$G$60),0)</f>
        <v>0</v>
      </c>
      <c r="I154" s="0" t="n">
        <f aca="false">ROUND(SUMPRODUCT((Taches!$B$2:$B$60="LOT-08")*($A154&gt;=Taches!$H$2:$H$60)*((($A154-Taches!$H$2:$H$60+1)&gt;=Taches!$E$2:$E$60)+(($A154-Taches!$H$2:$H$60+1)&lt;Taches!$E$2:$E$60)*($A154-Taches!$H$2:$H$60+1)/Taches!$E$2:$E$60)*Taches!$G$2:$G$60),0)</f>
        <v>0</v>
      </c>
      <c r="J154" s="0" t="n">
        <f aca="false">SUM(B154:I154)</f>
        <v>349824712</v>
      </c>
    </row>
    <row r="155" customFormat="false" ht="15" hidden="false" customHeight="false" outlineLevel="0" collapsed="false">
      <c r="A155" s="0" t="n">
        <v>153</v>
      </c>
      <c r="B155" s="0" t="n">
        <f aca="false">ROUND(SUMPRODUCT((Taches!$B$2:$B$60="LOT-01")*($A155&gt;=Taches!$H$2:$H$60)*((($A155-Taches!$H$2:$H$60+1)&gt;=Taches!$E$2:$E$60)+(($A155-Taches!$H$2:$H$60+1)&lt;Taches!$E$2:$E$60)*($A155-Taches!$H$2:$H$60+1)/Taches!$E$2:$E$60)*Taches!$G$2:$G$60),0)</f>
        <v>55890000</v>
      </c>
      <c r="C155" s="0" t="n">
        <f aca="false">ROUND(SUMPRODUCT((Taches!$B$2:$B$60="LOT-02")*($A155&gt;=Taches!$H$2:$H$60)*((($A155-Taches!$H$2:$H$60+1)&gt;=Taches!$E$2:$E$60)+(($A155-Taches!$H$2:$H$60+1)&lt;Taches!$E$2:$E$60)*($A155-Taches!$H$2:$H$60+1)/Taches!$E$2:$E$60)*Taches!$G$2:$G$60),0)</f>
        <v>86960400</v>
      </c>
      <c r="D155" s="0" t="n">
        <f aca="false">ROUND(SUMPRODUCT((Taches!$B$2:$B$60="LOT-03")*($A155&gt;=Taches!$H$2:$H$60)*((($A155-Taches!$H$2:$H$60+1)&gt;=Taches!$E$2:$E$60)+(($A155-Taches!$H$2:$H$60+1)&lt;Taches!$E$2:$E$60)*($A155-Taches!$H$2:$H$60+1)/Taches!$E$2:$E$60)*Taches!$G$2:$G$60),0)</f>
        <v>111116000</v>
      </c>
      <c r="E155" s="0" t="n">
        <f aca="false">ROUND(SUMPRODUCT((Taches!$B$2:$B$60="LOT-04")*($A155&gt;=Taches!$H$2:$H$60)*((($A155-Taches!$H$2:$H$60+1)&gt;=Taches!$E$2:$E$60)+(($A155-Taches!$H$2:$H$60+1)&lt;Taches!$E$2:$E$60)*($A155-Taches!$H$2:$H$60+1)/Taches!$E$2:$E$60)*Taches!$G$2:$G$60),0)</f>
        <v>98615623</v>
      </c>
      <c r="F155" s="0" t="n">
        <f aca="false">ROUND(SUMPRODUCT((Taches!$B$2:$B$60="LOT-05")*($A155&gt;=Taches!$H$2:$H$60)*((($A155-Taches!$H$2:$H$60+1)&gt;=Taches!$E$2:$E$60)+(($A155-Taches!$H$2:$H$60+1)&lt;Taches!$E$2:$E$60)*($A155-Taches!$H$2:$H$60+1)/Taches!$E$2:$E$60)*Taches!$G$2:$G$60),0)</f>
        <v>0</v>
      </c>
      <c r="G155" s="0" t="n">
        <f aca="false">ROUND(SUMPRODUCT((Taches!$B$2:$B$60="LOT-06")*($A155&gt;=Taches!$H$2:$H$60)*((($A155-Taches!$H$2:$H$60+1)&gt;=Taches!$E$2:$E$60)+(($A155-Taches!$H$2:$H$60+1)&lt;Taches!$E$2:$E$60)*($A155-Taches!$H$2:$H$60+1)/Taches!$E$2:$E$60)*Taches!$G$2:$G$60),0)</f>
        <v>0</v>
      </c>
      <c r="H155" s="0" t="n">
        <f aca="false">ROUND(SUMPRODUCT((Taches!$B$2:$B$60="LOT-07")*($A155&gt;=Taches!$H$2:$H$60)*((($A155-Taches!$H$2:$H$60+1)&gt;=Taches!$E$2:$E$60)+(($A155-Taches!$H$2:$H$60+1)&lt;Taches!$E$2:$E$60)*($A155-Taches!$H$2:$H$60+1)/Taches!$E$2:$E$60)*Taches!$G$2:$G$60),0)</f>
        <v>0</v>
      </c>
      <c r="I155" s="0" t="n">
        <f aca="false">ROUND(SUMPRODUCT((Taches!$B$2:$B$60="LOT-08")*($A155&gt;=Taches!$H$2:$H$60)*((($A155-Taches!$H$2:$H$60+1)&gt;=Taches!$E$2:$E$60)+(($A155-Taches!$H$2:$H$60+1)&lt;Taches!$E$2:$E$60)*($A155-Taches!$H$2:$H$60+1)/Taches!$E$2:$E$60)*Taches!$G$2:$G$60),0)</f>
        <v>0</v>
      </c>
      <c r="J155" s="0" t="n">
        <f aca="false">SUM(B155:I155)</f>
        <v>352582023</v>
      </c>
    </row>
    <row r="156" customFormat="false" ht="15" hidden="false" customHeight="false" outlineLevel="0" collapsed="false">
      <c r="A156" s="0" t="n">
        <v>154</v>
      </c>
      <c r="B156" s="0" t="n">
        <f aca="false">ROUND(SUMPRODUCT((Taches!$B$2:$B$60="LOT-01")*($A156&gt;=Taches!$H$2:$H$60)*((($A156-Taches!$H$2:$H$60+1)&gt;=Taches!$E$2:$E$60)+(($A156-Taches!$H$2:$H$60+1)&lt;Taches!$E$2:$E$60)*($A156-Taches!$H$2:$H$60+1)/Taches!$E$2:$E$60)*Taches!$G$2:$G$60),0)</f>
        <v>55890000</v>
      </c>
      <c r="C156" s="0" t="n">
        <f aca="false">ROUND(SUMPRODUCT((Taches!$B$2:$B$60="LOT-02")*($A156&gt;=Taches!$H$2:$H$60)*((($A156-Taches!$H$2:$H$60+1)&gt;=Taches!$E$2:$E$60)+(($A156-Taches!$H$2:$H$60+1)&lt;Taches!$E$2:$E$60)*($A156-Taches!$H$2:$H$60+1)/Taches!$E$2:$E$60)*Taches!$G$2:$G$60),0)</f>
        <v>86960400</v>
      </c>
      <c r="D156" s="0" t="n">
        <f aca="false">ROUND(SUMPRODUCT((Taches!$B$2:$B$60="LOT-03")*($A156&gt;=Taches!$H$2:$H$60)*((($A156-Taches!$H$2:$H$60+1)&gt;=Taches!$E$2:$E$60)+(($A156-Taches!$H$2:$H$60+1)&lt;Taches!$E$2:$E$60)*($A156-Taches!$H$2:$H$60+1)/Taches!$E$2:$E$60)*Taches!$G$2:$G$60),0)</f>
        <v>111116000</v>
      </c>
      <c r="E156" s="0" t="n">
        <f aca="false">ROUND(SUMPRODUCT((Taches!$B$2:$B$60="LOT-04")*($A156&gt;=Taches!$H$2:$H$60)*((($A156-Taches!$H$2:$H$60+1)&gt;=Taches!$E$2:$E$60)+(($A156-Taches!$H$2:$H$60+1)&lt;Taches!$E$2:$E$60)*($A156-Taches!$H$2:$H$60+1)/Taches!$E$2:$E$60)*Taches!$G$2:$G$60),0)</f>
        <v>101372935</v>
      </c>
      <c r="F156" s="0" t="n">
        <f aca="false">ROUND(SUMPRODUCT((Taches!$B$2:$B$60="LOT-05")*($A156&gt;=Taches!$H$2:$H$60)*((($A156-Taches!$H$2:$H$60+1)&gt;=Taches!$E$2:$E$60)+(($A156-Taches!$H$2:$H$60+1)&lt;Taches!$E$2:$E$60)*($A156-Taches!$H$2:$H$60+1)/Taches!$E$2:$E$60)*Taches!$G$2:$G$60),0)</f>
        <v>0</v>
      </c>
      <c r="G156" s="0" t="n">
        <f aca="false">ROUND(SUMPRODUCT((Taches!$B$2:$B$60="LOT-06")*($A156&gt;=Taches!$H$2:$H$60)*((($A156-Taches!$H$2:$H$60+1)&gt;=Taches!$E$2:$E$60)+(($A156-Taches!$H$2:$H$60+1)&lt;Taches!$E$2:$E$60)*($A156-Taches!$H$2:$H$60+1)/Taches!$E$2:$E$60)*Taches!$G$2:$G$60),0)</f>
        <v>0</v>
      </c>
      <c r="H156" s="0" t="n">
        <f aca="false">ROUND(SUMPRODUCT((Taches!$B$2:$B$60="LOT-07")*($A156&gt;=Taches!$H$2:$H$60)*((($A156-Taches!$H$2:$H$60+1)&gt;=Taches!$E$2:$E$60)+(($A156-Taches!$H$2:$H$60+1)&lt;Taches!$E$2:$E$60)*($A156-Taches!$H$2:$H$60+1)/Taches!$E$2:$E$60)*Taches!$G$2:$G$60),0)</f>
        <v>0</v>
      </c>
      <c r="I156" s="0" t="n">
        <f aca="false">ROUND(SUMPRODUCT((Taches!$B$2:$B$60="LOT-08")*($A156&gt;=Taches!$H$2:$H$60)*((($A156-Taches!$H$2:$H$60+1)&gt;=Taches!$E$2:$E$60)+(($A156-Taches!$H$2:$H$60+1)&lt;Taches!$E$2:$E$60)*($A156-Taches!$H$2:$H$60+1)/Taches!$E$2:$E$60)*Taches!$G$2:$G$60),0)</f>
        <v>0</v>
      </c>
      <c r="J156" s="0" t="n">
        <f aca="false">SUM(B156:I156)</f>
        <v>355339335</v>
      </c>
    </row>
    <row r="157" customFormat="false" ht="15" hidden="false" customHeight="false" outlineLevel="0" collapsed="false">
      <c r="A157" s="0" t="n">
        <v>155</v>
      </c>
      <c r="B157" s="0" t="n">
        <f aca="false">ROUND(SUMPRODUCT((Taches!$B$2:$B$60="LOT-01")*($A157&gt;=Taches!$H$2:$H$60)*((($A157-Taches!$H$2:$H$60+1)&gt;=Taches!$E$2:$E$60)+(($A157-Taches!$H$2:$H$60+1)&lt;Taches!$E$2:$E$60)*($A157-Taches!$H$2:$H$60+1)/Taches!$E$2:$E$60)*Taches!$G$2:$G$60),0)</f>
        <v>55890000</v>
      </c>
      <c r="C157" s="0" t="n">
        <f aca="false">ROUND(SUMPRODUCT((Taches!$B$2:$B$60="LOT-02")*($A157&gt;=Taches!$H$2:$H$60)*((($A157-Taches!$H$2:$H$60+1)&gt;=Taches!$E$2:$E$60)+(($A157-Taches!$H$2:$H$60+1)&lt;Taches!$E$2:$E$60)*($A157-Taches!$H$2:$H$60+1)/Taches!$E$2:$E$60)*Taches!$G$2:$G$60),0)</f>
        <v>86960400</v>
      </c>
      <c r="D157" s="0" t="n">
        <f aca="false">ROUND(SUMPRODUCT((Taches!$B$2:$B$60="LOT-03")*($A157&gt;=Taches!$H$2:$H$60)*((($A157-Taches!$H$2:$H$60+1)&gt;=Taches!$E$2:$E$60)+(($A157-Taches!$H$2:$H$60+1)&lt;Taches!$E$2:$E$60)*($A157-Taches!$H$2:$H$60+1)/Taches!$E$2:$E$60)*Taches!$G$2:$G$60),0)</f>
        <v>111116000</v>
      </c>
      <c r="E157" s="0" t="n">
        <f aca="false">ROUND(SUMPRODUCT((Taches!$B$2:$B$60="LOT-04")*($A157&gt;=Taches!$H$2:$H$60)*((($A157-Taches!$H$2:$H$60+1)&gt;=Taches!$E$2:$E$60)+(($A157-Taches!$H$2:$H$60+1)&lt;Taches!$E$2:$E$60)*($A157-Taches!$H$2:$H$60+1)/Taches!$E$2:$E$60)*Taches!$G$2:$G$60),0)</f>
        <v>104130246</v>
      </c>
      <c r="F157" s="0" t="n">
        <f aca="false">ROUND(SUMPRODUCT((Taches!$B$2:$B$60="LOT-05")*($A157&gt;=Taches!$H$2:$H$60)*((($A157-Taches!$H$2:$H$60+1)&gt;=Taches!$E$2:$E$60)+(($A157-Taches!$H$2:$H$60+1)&lt;Taches!$E$2:$E$60)*($A157-Taches!$H$2:$H$60+1)/Taches!$E$2:$E$60)*Taches!$G$2:$G$60),0)</f>
        <v>0</v>
      </c>
      <c r="G157" s="0" t="n">
        <f aca="false">ROUND(SUMPRODUCT((Taches!$B$2:$B$60="LOT-06")*($A157&gt;=Taches!$H$2:$H$60)*((($A157-Taches!$H$2:$H$60+1)&gt;=Taches!$E$2:$E$60)+(($A157-Taches!$H$2:$H$60+1)&lt;Taches!$E$2:$E$60)*($A157-Taches!$H$2:$H$60+1)/Taches!$E$2:$E$60)*Taches!$G$2:$G$60),0)</f>
        <v>0</v>
      </c>
      <c r="H157" s="0" t="n">
        <f aca="false">ROUND(SUMPRODUCT((Taches!$B$2:$B$60="LOT-07")*($A157&gt;=Taches!$H$2:$H$60)*((($A157-Taches!$H$2:$H$60+1)&gt;=Taches!$E$2:$E$60)+(($A157-Taches!$H$2:$H$60+1)&lt;Taches!$E$2:$E$60)*($A157-Taches!$H$2:$H$60+1)/Taches!$E$2:$E$60)*Taches!$G$2:$G$60),0)</f>
        <v>0</v>
      </c>
      <c r="I157" s="0" t="n">
        <f aca="false">ROUND(SUMPRODUCT((Taches!$B$2:$B$60="LOT-08")*($A157&gt;=Taches!$H$2:$H$60)*((($A157-Taches!$H$2:$H$60+1)&gt;=Taches!$E$2:$E$60)+(($A157-Taches!$H$2:$H$60+1)&lt;Taches!$E$2:$E$60)*($A157-Taches!$H$2:$H$60+1)/Taches!$E$2:$E$60)*Taches!$G$2:$G$60),0)</f>
        <v>0</v>
      </c>
      <c r="J157" s="0" t="n">
        <f aca="false">SUM(B157:I157)</f>
        <v>358096646</v>
      </c>
    </row>
    <row r="158" customFormat="false" ht="15" hidden="false" customHeight="false" outlineLevel="0" collapsed="false">
      <c r="A158" s="0" t="n">
        <v>156</v>
      </c>
      <c r="B158" s="0" t="n">
        <f aca="false">ROUND(SUMPRODUCT((Taches!$B$2:$B$60="LOT-01")*($A158&gt;=Taches!$H$2:$H$60)*((($A158-Taches!$H$2:$H$60+1)&gt;=Taches!$E$2:$E$60)+(($A158-Taches!$H$2:$H$60+1)&lt;Taches!$E$2:$E$60)*($A158-Taches!$H$2:$H$60+1)/Taches!$E$2:$E$60)*Taches!$G$2:$G$60),0)</f>
        <v>55890000</v>
      </c>
      <c r="C158" s="0" t="n">
        <f aca="false">ROUND(SUMPRODUCT((Taches!$B$2:$B$60="LOT-02")*($A158&gt;=Taches!$H$2:$H$60)*((($A158-Taches!$H$2:$H$60+1)&gt;=Taches!$E$2:$E$60)+(($A158-Taches!$H$2:$H$60+1)&lt;Taches!$E$2:$E$60)*($A158-Taches!$H$2:$H$60+1)/Taches!$E$2:$E$60)*Taches!$G$2:$G$60),0)</f>
        <v>86960400</v>
      </c>
      <c r="D158" s="0" t="n">
        <f aca="false">ROUND(SUMPRODUCT((Taches!$B$2:$B$60="LOT-03")*($A158&gt;=Taches!$H$2:$H$60)*((($A158-Taches!$H$2:$H$60+1)&gt;=Taches!$E$2:$E$60)+(($A158-Taches!$H$2:$H$60+1)&lt;Taches!$E$2:$E$60)*($A158-Taches!$H$2:$H$60+1)/Taches!$E$2:$E$60)*Taches!$G$2:$G$60),0)</f>
        <v>111116000</v>
      </c>
      <c r="E158" s="0" t="n">
        <f aca="false">ROUND(SUMPRODUCT((Taches!$B$2:$B$60="LOT-04")*($A158&gt;=Taches!$H$2:$H$60)*((($A158-Taches!$H$2:$H$60+1)&gt;=Taches!$E$2:$E$60)+(($A158-Taches!$H$2:$H$60+1)&lt;Taches!$E$2:$E$60)*($A158-Taches!$H$2:$H$60+1)/Taches!$E$2:$E$60)*Taches!$G$2:$G$60),0)</f>
        <v>106887558</v>
      </c>
      <c r="F158" s="0" t="n">
        <f aca="false">ROUND(SUMPRODUCT((Taches!$B$2:$B$60="LOT-05")*($A158&gt;=Taches!$H$2:$H$60)*((($A158-Taches!$H$2:$H$60+1)&gt;=Taches!$E$2:$E$60)+(($A158-Taches!$H$2:$H$60+1)&lt;Taches!$E$2:$E$60)*($A158-Taches!$H$2:$H$60+1)/Taches!$E$2:$E$60)*Taches!$G$2:$G$60),0)</f>
        <v>0</v>
      </c>
      <c r="G158" s="0" t="n">
        <f aca="false">ROUND(SUMPRODUCT((Taches!$B$2:$B$60="LOT-06")*($A158&gt;=Taches!$H$2:$H$60)*((($A158-Taches!$H$2:$H$60+1)&gt;=Taches!$E$2:$E$60)+(($A158-Taches!$H$2:$H$60+1)&lt;Taches!$E$2:$E$60)*($A158-Taches!$H$2:$H$60+1)/Taches!$E$2:$E$60)*Taches!$G$2:$G$60),0)</f>
        <v>0</v>
      </c>
      <c r="H158" s="0" t="n">
        <f aca="false">ROUND(SUMPRODUCT((Taches!$B$2:$B$60="LOT-07")*($A158&gt;=Taches!$H$2:$H$60)*((($A158-Taches!$H$2:$H$60+1)&gt;=Taches!$E$2:$E$60)+(($A158-Taches!$H$2:$H$60+1)&lt;Taches!$E$2:$E$60)*($A158-Taches!$H$2:$H$60+1)/Taches!$E$2:$E$60)*Taches!$G$2:$G$60),0)</f>
        <v>0</v>
      </c>
      <c r="I158" s="0" t="n">
        <f aca="false">ROUND(SUMPRODUCT((Taches!$B$2:$B$60="LOT-08")*($A158&gt;=Taches!$H$2:$H$60)*((($A158-Taches!$H$2:$H$60+1)&gt;=Taches!$E$2:$E$60)+(($A158-Taches!$H$2:$H$60+1)&lt;Taches!$E$2:$E$60)*($A158-Taches!$H$2:$H$60+1)/Taches!$E$2:$E$60)*Taches!$G$2:$G$60),0)</f>
        <v>0</v>
      </c>
      <c r="J158" s="0" t="n">
        <f aca="false">SUM(B158:I158)</f>
        <v>360853958</v>
      </c>
    </row>
    <row r="159" customFormat="false" ht="15" hidden="false" customHeight="false" outlineLevel="0" collapsed="false">
      <c r="A159" s="0" t="n">
        <v>157</v>
      </c>
      <c r="B159" s="0" t="n">
        <f aca="false">ROUND(SUMPRODUCT((Taches!$B$2:$B$60="LOT-01")*($A159&gt;=Taches!$H$2:$H$60)*((($A159-Taches!$H$2:$H$60+1)&gt;=Taches!$E$2:$E$60)+(($A159-Taches!$H$2:$H$60+1)&lt;Taches!$E$2:$E$60)*($A159-Taches!$H$2:$H$60+1)/Taches!$E$2:$E$60)*Taches!$G$2:$G$60),0)</f>
        <v>55890000</v>
      </c>
      <c r="C159" s="0" t="n">
        <f aca="false">ROUND(SUMPRODUCT((Taches!$B$2:$B$60="LOT-02")*($A159&gt;=Taches!$H$2:$H$60)*((($A159-Taches!$H$2:$H$60+1)&gt;=Taches!$E$2:$E$60)+(($A159-Taches!$H$2:$H$60+1)&lt;Taches!$E$2:$E$60)*($A159-Taches!$H$2:$H$60+1)/Taches!$E$2:$E$60)*Taches!$G$2:$G$60),0)</f>
        <v>86960400</v>
      </c>
      <c r="D159" s="0" t="n">
        <f aca="false">ROUND(SUMPRODUCT((Taches!$B$2:$B$60="LOT-03")*($A159&gt;=Taches!$H$2:$H$60)*((($A159-Taches!$H$2:$H$60+1)&gt;=Taches!$E$2:$E$60)+(($A159-Taches!$H$2:$H$60+1)&lt;Taches!$E$2:$E$60)*($A159-Taches!$H$2:$H$60+1)/Taches!$E$2:$E$60)*Taches!$G$2:$G$60),0)</f>
        <v>111116000</v>
      </c>
      <c r="E159" s="0" t="n">
        <f aca="false">ROUND(SUMPRODUCT((Taches!$B$2:$B$60="LOT-04")*($A159&gt;=Taches!$H$2:$H$60)*((($A159-Taches!$H$2:$H$60+1)&gt;=Taches!$E$2:$E$60)+(($A159-Taches!$H$2:$H$60+1)&lt;Taches!$E$2:$E$60)*($A159-Taches!$H$2:$H$60+1)/Taches!$E$2:$E$60)*Taches!$G$2:$G$60),0)</f>
        <v>109644870</v>
      </c>
      <c r="F159" s="0" t="n">
        <f aca="false">ROUND(SUMPRODUCT((Taches!$B$2:$B$60="LOT-05")*($A159&gt;=Taches!$H$2:$H$60)*((($A159-Taches!$H$2:$H$60+1)&gt;=Taches!$E$2:$E$60)+(($A159-Taches!$H$2:$H$60+1)&lt;Taches!$E$2:$E$60)*($A159-Taches!$H$2:$H$60+1)/Taches!$E$2:$E$60)*Taches!$G$2:$G$60),0)</f>
        <v>0</v>
      </c>
      <c r="G159" s="0" t="n">
        <f aca="false">ROUND(SUMPRODUCT((Taches!$B$2:$B$60="LOT-06")*($A159&gt;=Taches!$H$2:$H$60)*((($A159-Taches!$H$2:$H$60+1)&gt;=Taches!$E$2:$E$60)+(($A159-Taches!$H$2:$H$60+1)&lt;Taches!$E$2:$E$60)*($A159-Taches!$H$2:$H$60+1)/Taches!$E$2:$E$60)*Taches!$G$2:$G$60),0)</f>
        <v>0</v>
      </c>
      <c r="H159" s="0" t="n">
        <f aca="false">ROUND(SUMPRODUCT((Taches!$B$2:$B$60="LOT-07")*($A159&gt;=Taches!$H$2:$H$60)*((($A159-Taches!$H$2:$H$60+1)&gt;=Taches!$E$2:$E$60)+(($A159-Taches!$H$2:$H$60+1)&lt;Taches!$E$2:$E$60)*($A159-Taches!$H$2:$H$60+1)/Taches!$E$2:$E$60)*Taches!$G$2:$G$60),0)</f>
        <v>0</v>
      </c>
      <c r="I159" s="0" t="n">
        <f aca="false">ROUND(SUMPRODUCT((Taches!$B$2:$B$60="LOT-08")*($A159&gt;=Taches!$H$2:$H$60)*((($A159-Taches!$H$2:$H$60+1)&gt;=Taches!$E$2:$E$60)+(($A159-Taches!$H$2:$H$60+1)&lt;Taches!$E$2:$E$60)*($A159-Taches!$H$2:$H$60+1)/Taches!$E$2:$E$60)*Taches!$G$2:$G$60),0)</f>
        <v>0</v>
      </c>
      <c r="J159" s="0" t="n">
        <f aca="false">SUM(B159:I159)</f>
        <v>363611270</v>
      </c>
    </row>
    <row r="160" customFormat="false" ht="15" hidden="false" customHeight="false" outlineLevel="0" collapsed="false">
      <c r="A160" s="0" t="n">
        <v>158</v>
      </c>
      <c r="B160" s="0" t="n">
        <f aca="false">ROUND(SUMPRODUCT((Taches!$B$2:$B$60="LOT-01")*($A160&gt;=Taches!$H$2:$H$60)*((($A160-Taches!$H$2:$H$60+1)&gt;=Taches!$E$2:$E$60)+(($A160-Taches!$H$2:$H$60+1)&lt;Taches!$E$2:$E$60)*($A160-Taches!$H$2:$H$60+1)/Taches!$E$2:$E$60)*Taches!$G$2:$G$60),0)</f>
        <v>55890000</v>
      </c>
      <c r="C160" s="0" t="n">
        <f aca="false">ROUND(SUMPRODUCT((Taches!$B$2:$B$60="LOT-02")*($A160&gt;=Taches!$H$2:$H$60)*((($A160-Taches!$H$2:$H$60+1)&gt;=Taches!$E$2:$E$60)+(($A160-Taches!$H$2:$H$60+1)&lt;Taches!$E$2:$E$60)*($A160-Taches!$H$2:$H$60+1)/Taches!$E$2:$E$60)*Taches!$G$2:$G$60),0)</f>
        <v>86960400</v>
      </c>
      <c r="D160" s="0" t="n">
        <f aca="false">ROUND(SUMPRODUCT((Taches!$B$2:$B$60="LOT-03")*($A160&gt;=Taches!$H$2:$H$60)*((($A160-Taches!$H$2:$H$60+1)&gt;=Taches!$E$2:$E$60)+(($A160-Taches!$H$2:$H$60+1)&lt;Taches!$E$2:$E$60)*($A160-Taches!$H$2:$H$60+1)/Taches!$E$2:$E$60)*Taches!$G$2:$G$60),0)</f>
        <v>111116000</v>
      </c>
      <c r="E160" s="0" t="n">
        <f aca="false">ROUND(SUMPRODUCT((Taches!$B$2:$B$60="LOT-04")*($A160&gt;=Taches!$H$2:$H$60)*((($A160-Taches!$H$2:$H$60+1)&gt;=Taches!$E$2:$E$60)+(($A160-Taches!$H$2:$H$60+1)&lt;Taches!$E$2:$E$60)*($A160-Taches!$H$2:$H$60+1)/Taches!$E$2:$E$60)*Taches!$G$2:$G$60),0)</f>
        <v>112402181</v>
      </c>
      <c r="F160" s="0" t="n">
        <f aca="false">ROUND(SUMPRODUCT((Taches!$B$2:$B$60="LOT-05")*($A160&gt;=Taches!$H$2:$H$60)*((($A160-Taches!$H$2:$H$60+1)&gt;=Taches!$E$2:$E$60)+(($A160-Taches!$H$2:$H$60+1)&lt;Taches!$E$2:$E$60)*($A160-Taches!$H$2:$H$60+1)/Taches!$E$2:$E$60)*Taches!$G$2:$G$60),0)</f>
        <v>0</v>
      </c>
      <c r="G160" s="0" t="n">
        <f aca="false">ROUND(SUMPRODUCT((Taches!$B$2:$B$60="LOT-06")*($A160&gt;=Taches!$H$2:$H$60)*((($A160-Taches!$H$2:$H$60+1)&gt;=Taches!$E$2:$E$60)+(($A160-Taches!$H$2:$H$60+1)&lt;Taches!$E$2:$E$60)*($A160-Taches!$H$2:$H$60+1)/Taches!$E$2:$E$60)*Taches!$G$2:$G$60),0)</f>
        <v>0</v>
      </c>
      <c r="H160" s="0" t="n">
        <f aca="false">ROUND(SUMPRODUCT((Taches!$B$2:$B$60="LOT-07")*($A160&gt;=Taches!$H$2:$H$60)*((($A160-Taches!$H$2:$H$60+1)&gt;=Taches!$E$2:$E$60)+(($A160-Taches!$H$2:$H$60+1)&lt;Taches!$E$2:$E$60)*($A160-Taches!$H$2:$H$60+1)/Taches!$E$2:$E$60)*Taches!$G$2:$G$60),0)</f>
        <v>0</v>
      </c>
      <c r="I160" s="0" t="n">
        <f aca="false">ROUND(SUMPRODUCT((Taches!$B$2:$B$60="LOT-08")*($A160&gt;=Taches!$H$2:$H$60)*((($A160-Taches!$H$2:$H$60+1)&gt;=Taches!$E$2:$E$60)+(($A160-Taches!$H$2:$H$60+1)&lt;Taches!$E$2:$E$60)*($A160-Taches!$H$2:$H$60+1)/Taches!$E$2:$E$60)*Taches!$G$2:$G$60),0)</f>
        <v>0</v>
      </c>
      <c r="J160" s="0" t="n">
        <f aca="false">SUM(B160:I160)</f>
        <v>366368581</v>
      </c>
    </row>
    <row r="161" customFormat="false" ht="15" hidden="false" customHeight="false" outlineLevel="0" collapsed="false">
      <c r="A161" s="0" t="n">
        <v>159</v>
      </c>
      <c r="B161" s="0" t="n">
        <f aca="false">ROUND(SUMPRODUCT((Taches!$B$2:$B$60="LOT-01")*($A161&gt;=Taches!$H$2:$H$60)*((($A161-Taches!$H$2:$H$60+1)&gt;=Taches!$E$2:$E$60)+(($A161-Taches!$H$2:$H$60+1)&lt;Taches!$E$2:$E$60)*($A161-Taches!$H$2:$H$60+1)/Taches!$E$2:$E$60)*Taches!$G$2:$G$60),0)</f>
        <v>55890000</v>
      </c>
      <c r="C161" s="0" t="n">
        <f aca="false">ROUND(SUMPRODUCT((Taches!$B$2:$B$60="LOT-02")*($A161&gt;=Taches!$H$2:$H$60)*((($A161-Taches!$H$2:$H$60+1)&gt;=Taches!$E$2:$E$60)+(($A161-Taches!$H$2:$H$60+1)&lt;Taches!$E$2:$E$60)*($A161-Taches!$H$2:$H$60+1)/Taches!$E$2:$E$60)*Taches!$G$2:$G$60),0)</f>
        <v>86960400</v>
      </c>
      <c r="D161" s="0" t="n">
        <f aca="false">ROUND(SUMPRODUCT((Taches!$B$2:$B$60="LOT-03")*($A161&gt;=Taches!$H$2:$H$60)*((($A161-Taches!$H$2:$H$60+1)&gt;=Taches!$E$2:$E$60)+(($A161-Taches!$H$2:$H$60+1)&lt;Taches!$E$2:$E$60)*($A161-Taches!$H$2:$H$60+1)/Taches!$E$2:$E$60)*Taches!$G$2:$G$60),0)</f>
        <v>111116000</v>
      </c>
      <c r="E161" s="0" t="n">
        <f aca="false">ROUND(SUMPRODUCT((Taches!$B$2:$B$60="LOT-04")*($A161&gt;=Taches!$H$2:$H$60)*((($A161-Taches!$H$2:$H$60+1)&gt;=Taches!$E$2:$E$60)+(($A161-Taches!$H$2:$H$60+1)&lt;Taches!$E$2:$E$60)*($A161-Taches!$H$2:$H$60+1)/Taches!$E$2:$E$60)*Taches!$G$2:$G$60),0)</f>
        <v>115159493</v>
      </c>
      <c r="F161" s="0" t="n">
        <f aca="false">ROUND(SUMPRODUCT((Taches!$B$2:$B$60="LOT-05")*($A161&gt;=Taches!$H$2:$H$60)*((($A161-Taches!$H$2:$H$60+1)&gt;=Taches!$E$2:$E$60)+(($A161-Taches!$H$2:$H$60+1)&lt;Taches!$E$2:$E$60)*($A161-Taches!$H$2:$H$60+1)/Taches!$E$2:$E$60)*Taches!$G$2:$G$60),0)</f>
        <v>0</v>
      </c>
      <c r="G161" s="0" t="n">
        <f aca="false">ROUND(SUMPRODUCT((Taches!$B$2:$B$60="LOT-06")*($A161&gt;=Taches!$H$2:$H$60)*((($A161-Taches!$H$2:$H$60+1)&gt;=Taches!$E$2:$E$60)+(($A161-Taches!$H$2:$H$60+1)&lt;Taches!$E$2:$E$60)*($A161-Taches!$H$2:$H$60+1)/Taches!$E$2:$E$60)*Taches!$G$2:$G$60),0)</f>
        <v>0</v>
      </c>
      <c r="H161" s="0" t="n">
        <f aca="false">ROUND(SUMPRODUCT((Taches!$B$2:$B$60="LOT-07")*($A161&gt;=Taches!$H$2:$H$60)*((($A161-Taches!$H$2:$H$60+1)&gt;=Taches!$E$2:$E$60)+(($A161-Taches!$H$2:$H$60+1)&lt;Taches!$E$2:$E$60)*($A161-Taches!$H$2:$H$60+1)/Taches!$E$2:$E$60)*Taches!$G$2:$G$60),0)</f>
        <v>0</v>
      </c>
      <c r="I161" s="0" t="n">
        <f aca="false">ROUND(SUMPRODUCT((Taches!$B$2:$B$60="LOT-08")*($A161&gt;=Taches!$H$2:$H$60)*((($A161-Taches!$H$2:$H$60+1)&gt;=Taches!$E$2:$E$60)+(($A161-Taches!$H$2:$H$60+1)&lt;Taches!$E$2:$E$60)*($A161-Taches!$H$2:$H$60+1)/Taches!$E$2:$E$60)*Taches!$G$2:$G$60),0)</f>
        <v>0</v>
      </c>
      <c r="J161" s="0" t="n">
        <f aca="false">SUM(B161:I161)</f>
        <v>369125893</v>
      </c>
    </row>
    <row r="162" customFormat="false" ht="15" hidden="false" customHeight="false" outlineLevel="0" collapsed="false">
      <c r="A162" s="0" t="n">
        <v>160</v>
      </c>
      <c r="B162" s="0" t="n">
        <f aca="false">ROUND(SUMPRODUCT((Taches!$B$2:$B$60="LOT-01")*($A162&gt;=Taches!$H$2:$H$60)*((($A162-Taches!$H$2:$H$60+1)&gt;=Taches!$E$2:$E$60)+(($A162-Taches!$H$2:$H$60+1)&lt;Taches!$E$2:$E$60)*($A162-Taches!$H$2:$H$60+1)/Taches!$E$2:$E$60)*Taches!$G$2:$G$60),0)</f>
        <v>55890000</v>
      </c>
      <c r="C162" s="0" t="n">
        <f aca="false">ROUND(SUMPRODUCT((Taches!$B$2:$B$60="LOT-02")*($A162&gt;=Taches!$H$2:$H$60)*((($A162-Taches!$H$2:$H$60+1)&gt;=Taches!$E$2:$E$60)+(($A162-Taches!$H$2:$H$60+1)&lt;Taches!$E$2:$E$60)*($A162-Taches!$H$2:$H$60+1)/Taches!$E$2:$E$60)*Taches!$G$2:$G$60),0)</f>
        <v>86960400</v>
      </c>
      <c r="D162" s="0" t="n">
        <f aca="false">ROUND(SUMPRODUCT((Taches!$B$2:$B$60="LOT-03")*($A162&gt;=Taches!$H$2:$H$60)*((($A162-Taches!$H$2:$H$60+1)&gt;=Taches!$E$2:$E$60)+(($A162-Taches!$H$2:$H$60+1)&lt;Taches!$E$2:$E$60)*($A162-Taches!$H$2:$H$60+1)/Taches!$E$2:$E$60)*Taches!$G$2:$G$60),0)</f>
        <v>111116000</v>
      </c>
      <c r="E162" s="0" t="n">
        <f aca="false">ROUND(SUMPRODUCT((Taches!$B$2:$B$60="LOT-04")*($A162&gt;=Taches!$H$2:$H$60)*((($A162-Taches!$H$2:$H$60+1)&gt;=Taches!$E$2:$E$60)+(($A162-Taches!$H$2:$H$60+1)&lt;Taches!$E$2:$E$60)*($A162-Taches!$H$2:$H$60+1)/Taches!$E$2:$E$60)*Taches!$G$2:$G$60),0)</f>
        <v>117916804</v>
      </c>
      <c r="F162" s="0" t="n">
        <f aca="false">ROUND(SUMPRODUCT((Taches!$B$2:$B$60="LOT-05")*($A162&gt;=Taches!$H$2:$H$60)*((($A162-Taches!$H$2:$H$60+1)&gt;=Taches!$E$2:$E$60)+(($A162-Taches!$H$2:$H$60+1)&lt;Taches!$E$2:$E$60)*($A162-Taches!$H$2:$H$60+1)/Taches!$E$2:$E$60)*Taches!$G$2:$G$60),0)</f>
        <v>0</v>
      </c>
      <c r="G162" s="0" t="n">
        <f aca="false">ROUND(SUMPRODUCT((Taches!$B$2:$B$60="LOT-06")*($A162&gt;=Taches!$H$2:$H$60)*((($A162-Taches!$H$2:$H$60+1)&gt;=Taches!$E$2:$E$60)+(($A162-Taches!$H$2:$H$60+1)&lt;Taches!$E$2:$E$60)*($A162-Taches!$H$2:$H$60+1)/Taches!$E$2:$E$60)*Taches!$G$2:$G$60),0)</f>
        <v>0</v>
      </c>
      <c r="H162" s="0" t="n">
        <f aca="false">ROUND(SUMPRODUCT((Taches!$B$2:$B$60="LOT-07")*($A162&gt;=Taches!$H$2:$H$60)*((($A162-Taches!$H$2:$H$60+1)&gt;=Taches!$E$2:$E$60)+(($A162-Taches!$H$2:$H$60+1)&lt;Taches!$E$2:$E$60)*($A162-Taches!$H$2:$H$60+1)/Taches!$E$2:$E$60)*Taches!$G$2:$G$60),0)</f>
        <v>0</v>
      </c>
      <c r="I162" s="0" t="n">
        <f aca="false">ROUND(SUMPRODUCT((Taches!$B$2:$B$60="LOT-08")*($A162&gt;=Taches!$H$2:$H$60)*((($A162-Taches!$H$2:$H$60+1)&gt;=Taches!$E$2:$E$60)+(($A162-Taches!$H$2:$H$60+1)&lt;Taches!$E$2:$E$60)*($A162-Taches!$H$2:$H$60+1)/Taches!$E$2:$E$60)*Taches!$G$2:$G$60),0)</f>
        <v>0</v>
      </c>
      <c r="J162" s="0" t="n">
        <f aca="false">SUM(B162:I162)</f>
        <v>371883204</v>
      </c>
    </row>
    <row r="163" customFormat="false" ht="15" hidden="false" customHeight="false" outlineLevel="0" collapsed="false">
      <c r="A163" s="0" t="n">
        <v>161</v>
      </c>
      <c r="B163" s="0" t="n">
        <f aca="false">ROUND(SUMPRODUCT((Taches!$B$2:$B$60="LOT-01")*($A163&gt;=Taches!$H$2:$H$60)*((($A163-Taches!$H$2:$H$60+1)&gt;=Taches!$E$2:$E$60)+(($A163-Taches!$H$2:$H$60+1)&lt;Taches!$E$2:$E$60)*($A163-Taches!$H$2:$H$60+1)/Taches!$E$2:$E$60)*Taches!$G$2:$G$60),0)</f>
        <v>55890000</v>
      </c>
      <c r="C163" s="0" t="n">
        <f aca="false">ROUND(SUMPRODUCT((Taches!$B$2:$B$60="LOT-02")*($A163&gt;=Taches!$H$2:$H$60)*((($A163-Taches!$H$2:$H$60+1)&gt;=Taches!$E$2:$E$60)+(($A163-Taches!$H$2:$H$60+1)&lt;Taches!$E$2:$E$60)*($A163-Taches!$H$2:$H$60+1)/Taches!$E$2:$E$60)*Taches!$G$2:$G$60),0)</f>
        <v>86960400</v>
      </c>
      <c r="D163" s="0" t="n">
        <f aca="false">ROUND(SUMPRODUCT((Taches!$B$2:$B$60="LOT-03")*($A163&gt;=Taches!$H$2:$H$60)*((($A163-Taches!$H$2:$H$60+1)&gt;=Taches!$E$2:$E$60)+(($A163-Taches!$H$2:$H$60+1)&lt;Taches!$E$2:$E$60)*($A163-Taches!$H$2:$H$60+1)/Taches!$E$2:$E$60)*Taches!$G$2:$G$60),0)</f>
        <v>111116000</v>
      </c>
      <c r="E163" s="0" t="n">
        <f aca="false">ROUND(SUMPRODUCT((Taches!$B$2:$B$60="LOT-04")*($A163&gt;=Taches!$H$2:$H$60)*((($A163-Taches!$H$2:$H$60+1)&gt;=Taches!$E$2:$E$60)+(($A163-Taches!$H$2:$H$60+1)&lt;Taches!$E$2:$E$60)*($A163-Taches!$H$2:$H$60+1)/Taches!$E$2:$E$60)*Taches!$G$2:$G$60),0)</f>
        <v>120674116</v>
      </c>
      <c r="F163" s="0" t="n">
        <f aca="false">ROUND(SUMPRODUCT((Taches!$B$2:$B$60="LOT-05")*($A163&gt;=Taches!$H$2:$H$60)*((($A163-Taches!$H$2:$H$60+1)&gt;=Taches!$E$2:$E$60)+(($A163-Taches!$H$2:$H$60+1)&lt;Taches!$E$2:$E$60)*($A163-Taches!$H$2:$H$60+1)/Taches!$E$2:$E$60)*Taches!$G$2:$G$60),0)</f>
        <v>0</v>
      </c>
      <c r="G163" s="0" t="n">
        <f aca="false">ROUND(SUMPRODUCT((Taches!$B$2:$B$60="LOT-06")*($A163&gt;=Taches!$H$2:$H$60)*((($A163-Taches!$H$2:$H$60+1)&gt;=Taches!$E$2:$E$60)+(($A163-Taches!$H$2:$H$60+1)&lt;Taches!$E$2:$E$60)*($A163-Taches!$H$2:$H$60+1)/Taches!$E$2:$E$60)*Taches!$G$2:$G$60),0)</f>
        <v>0</v>
      </c>
      <c r="H163" s="0" t="n">
        <f aca="false">ROUND(SUMPRODUCT((Taches!$B$2:$B$60="LOT-07")*($A163&gt;=Taches!$H$2:$H$60)*((($A163-Taches!$H$2:$H$60+1)&gt;=Taches!$E$2:$E$60)+(($A163-Taches!$H$2:$H$60+1)&lt;Taches!$E$2:$E$60)*($A163-Taches!$H$2:$H$60+1)/Taches!$E$2:$E$60)*Taches!$G$2:$G$60),0)</f>
        <v>0</v>
      </c>
      <c r="I163" s="0" t="n">
        <f aca="false">ROUND(SUMPRODUCT((Taches!$B$2:$B$60="LOT-08")*($A163&gt;=Taches!$H$2:$H$60)*((($A163-Taches!$H$2:$H$60+1)&gt;=Taches!$E$2:$E$60)+(($A163-Taches!$H$2:$H$60+1)&lt;Taches!$E$2:$E$60)*($A163-Taches!$H$2:$H$60+1)/Taches!$E$2:$E$60)*Taches!$G$2:$G$60),0)</f>
        <v>0</v>
      </c>
      <c r="J163" s="0" t="n">
        <f aca="false">SUM(B163:I163)</f>
        <v>374640516</v>
      </c>
    </row>
    <row r="164" customFormat="false" ht="15" hidden="false" customHeight="false" outlineLevel="0" collapsed="false">
      <c r="A164" s="0" t="n">
        <v>162</v>
      </c>
      <c r="B164" s="0" t="n">
        <f aca="false">ROUND(SUMPRODUCT((Taches!$B$2:$B$60="LOT-01")*($A164&gt;=Taches!$H$2:$H$60)*((($A164-Taches!$H$2:$H$60+1)&gt;=Taches!$E$2:$E$60)+(($A164-Taches!$H$2:$H$60+1)&lt;Taches!$E$2:$E$60)*($A164-Taches!$H$2:$H$60+1)/Taches!$E$2:$E$60)*Taches!$G$2:$G$60),0)</f>
        <v>55890000</v>
      </c>
      <c r="C164" s="0" t="n">
        <f aca="false">ROUND(SUMPRODUCT((Taches!$B$2:$B$60="LOT-02")*($A164&gt;=Taches!$H$2:$H$60)*((($A164-Taches!$H$2:$H$60+1)&gt;=Taches!$E$2:$E$60)+(($A164-Taches!$H$2:$H$60+1)&lt;Taches!$E$2:$E$60)*($A164-Taches!$H$2:$H$60+1)/Taches!$E$2:$E$60)*Taches!$G$2:$G$60),0)</f>
        <v>86960400</v>
      </c>
      <c r="D164" s="0" t="n">
        <f aca="false">ROUND(SUMPRODUCT((Taches!$B$2:$B$60="LOT-03")*($A164&gt;=Taches!$H$2:$H$60)*((($A164-Taches!$H$2:$H$60+1)&gt;=Taches!$E$2:$E$60)+(($A164-Taches!$H$2:$H$60+1)&lt;Taches!$E$2:$E$60)*($A164-Taches!$H$2:$H$60+1)/Taches!$E$2:$E$60)*Taches!$G$2:$G$60),0)</f>
        <v>111116000</v>
      </c>
      <c r="E164" s="0" t="n">
        <f aca="false">ROUND(SUMPRODUCT((Taches!$B$2:$B$60="LOT-04")*($A164&gt;=Taches!$H$2:$H$60)*((($A164-Taches!$H$2:$H$60+1)&gt;=Taches!$E$2:$E$60)+(($A164-Taches!$H$2:$H$60+1)&lt;Taches!$E$2:$E$60)*($A164-Taches!$H$2:$H$60+1)/Taches!$E$2:$E$60)*Taches!$G$2:$G$60),0)</f>
        <v>123431428</v>
      </c>
      <c r="F164" s="0" t="n">
        <f aca="false">ROUND(SUMPRODUCT((Taches!$B$2:$B$60="LOT-05")*($A164&gt;=Taches!$H$2:$H$60)*((($A164-Taches!$H$2:$H$60+1)&gt;=Taches!$E$2:$E$60)+(($A164-Taches!$H$2:$H$60+1)&lt;Taches!$E$2:$E$60)*($A164-Taches!$H$2:$H$60+1)/Taches!$E$2:$E$60)*Taches!$G$2:$G$60),0)</f>
        <v>0</v>
      </c>
      <c r="G164" s="0" t="n">
        <f aca="false">ROUND(SUMPRODUCT((Taches!$B$2:$B$60="LOT-06")*($A164&gt;=Taches!$H$2:$H$60)*((($A164-Taches!$H$2:$H$60+1)&gt;=Taches!$E$2:$E$60)+(($A164-Taches!$H$2:$H$60+1)&lt;Taches!$E$2:$E$60)*($A164-Taches!$H$2:$H$60+1)/Taches!$E$2:$E$60)*Taches!$G$2:$G$60),0)</f>
        <v>0</v>
      </c>
      <c r="H164" s="0" t="n">
        <f aca="false">ROUND(SUMPRODUCT((Taches!$B$2:$B$60="LOT-07")*($A164&gt;=Taches!$H$2:$H$60)*((($A164-Taches!$H$2:$H$60+1)&gt;=Taches!$E$2:$E$60)+(($A164-Taches!$H$2:$H$60+1)&lt;Taches!$E$2:$E$60)*($A164-Taches!$H$2:$H$60+1)/Taches!$E$2:$E$60)*Taches!$G$2:$G$60),0)</f>
        <v>0</v>
      </c>
      <c r="I164" s="0" t="n">
        <f aca="false">ROUND(SUMPRODUCT((Taches!$B$2:$B$60="LOT-08")*($A164&gt;=Taches!$H$2:$H$60)*((($A164-Taches!$H$2:$H$60+1)&gt;=Taches!$E$2:$E$60)+(($A164-Taches!$H$2:$H$60+1)&lt;Taches!$E$2:$E$60)*($A164-Taches!$H$2:$H$60+1)/Taches!$E$2:$E$60)*Taches!$G$2:$G$60),0)</f>
        <v>0</v>
      </c>
      <c r="J164" s="0" t="n">
        <f aca="false">SUM(B164:I164)</f>
        <v>377397828</v>
      </c>
    </row>
    <row r="165" customFormat="false" ht="15" hidden="false" customHeight="false" outlineLevel="0" collapsed="false">
      <c r="A165" s="0" t="n">
        <v>163</v>
      </c>
      <c r="B165" s="0" t="n">
        <f aca="false">ROUND(SUMPRODUCT((Taches!$B$2:$B$60="LOT-01")*($A165&gt;=Taches!$H$2:$H$60)*((($A165-Taches!$H$2:$H$60+1)&gt;=Taches!$E$2:$E$60)+(($A165-Taches!$H$2:$H$60+1)&lt;Taches!$E$2:$E$60)*($A165-Taches!$H$2:$H$60+1)/Taches!$E$2:$E$60)*Taches!$G$2:$G$60),0)</f>
        <v>55890000</v>
      </c>
      <c r="C165" s="0" t="n">
        <f aca="false">ROUND(SUMPRODUCT((Taches!$B$2:$B$60="LOT-02")*($A165&gt;=Taches!$H$2:$H$60)*((($A165-Taches!$H$2:$H$60+1)&gt;=Taches!$E$2:$E$60)+(($A165-Taches!$H$2:$H$60+1)&lt;Taches!$E$2:$E$60)*($A165-Taches!$H$2:$H$60+1)/Taches!$E$2:$E$60)*Taches!$G$2:$G$60),0)</f>
        <v>86960400</v>
      </c>
      <c r="D165" s="0" t="n">
        <f aca="false">ROUND(SUMPRODUCT((Taches!$B$2:$B$60="LOT-03")*($A165&gt;=Taches!$H$2:$H$60)*((($A165-Taches!$H$2:$H$60+1)&gt;=Taches!$E$2:$E$60)+(($A165-Taches!$H$2:$H$60+1)&lt;Taches!$E$2:$E$60)*($A165-Taches!$H$2:$H$60+1)/Taches!$E$2:$E$60)*Taches!$G$2:$G$60),0)</f>
        <v>111116000</v>
      </c>
      <c r="E165" s="0" t="n">
        <f aca="false">ROUND(SUMPRODUCT((Taches!$B$2:$B$60="LOT-04")*($A165&gt;=Taches!$H$2:$H$60)*((($A165-Taches!$H$2:$H$60+1)&gt;=Taches!$E$2:$E$60)+(($A165-Taches!$H$2:$H$60+1)&lt;Taches!$E$2:$E$60)*($A165-Taches!$H$2:$H$60+1)/Taches!$E$2:$E$60)*Taches!$G$2:$G$60),0)</f>
        <v>126188739</v>
      </c>
      <c r="F165" s="0" t="n">
        <f aca="false">ROUND(SUMPRODUCT((Taches!$B$2:$B$60="LOT-05")*($A165&gt;=Taches!$H$2:$H$60)*((($A165-Taches!$H$2:$H$60+1)&gt;=Taches!$E$2:$E$60)+(($A165-Taches!$H$2:$H$60+1)&lt;Taches!$E$2:$E$60)*($A165-Taches!$H$2:$H$60+1)/Taches!$E$2:$E$60)*Taches!$G$2:$G$60),0)</f>
        <v>0</v>
      </c>
      <c r="G165" s="0" t="n">
        <f aca="false">ROUND(SUMPRODUCT((Taches!$B$2:$B$60="LOT-06")*($A165&gt;=Taches!$H$2:$H$60)*((($A165-Taches!$H$2:$H$60+1)&gt;=Taches!$E$2:$E$60)+(($A165-Taches!$H$2:$H$60+1)&lt;Taches!$E$2:$E$60)*($A165-Taches!$H$2:$H$60+1)/Taches!$E$2:$E$60)*Taches!$G$2:$G$60),0)</f>
        <v>0</v>
      </c>
      <c r="H165" s="0" t="n">
        <f aca="false">ROUND(SUMPRODUCT((Taches!$B$2:$B$60="LOT-07")*($A165&gt;=Taches!$H$2:$H$60)*((($A165-Taches!$H$2:$H$60+1)&gt;=Taches!$E$2:$E$60)+(($A165-Taches!$H$2:$H$60+1)&lt;Taches!$E$2:$E$60)*($A165-Taches!$H$2:$H$60+1)/Taches!$E$2:$E$60)*Taches!$G$2:$G$60),0)</f>
        <v>0</v>
      </c>
      <c r="I165" s="0" t="n">
        <f aca="false">ROUND(SUMPRODUCT((Taches!$B$2:$B$60="LOT-08")*($A165&gt;=Taches!$H$2:$H$60)*((($A165-Taches!$H$2:$H$60+1)&gt;=Taches!$E$2:$E$60)+(($A165-Taches!$H$2:$H$60+1)&lt;Taches!$E$2:$E$60)*($A165-Taches!$H$2:$H$60+1)/Taches!$E$2:$E$60)*Taches!$G$2:$G$60),0)</f>
        <v>0</v>
      </c>
      <c r="J165" s="0" t="n">
        <f aca="false">SUM(B165:I165)</f>
        <v>380155139</v>
      </c>
    </row>
    <row r="166" customFormat="false" ht="15" hidden="false" customHeight="false" outlineLevel="0" collapsed="false">
      <c r="A166" s="0" t="n">
        <v>164</v>
      </c>
      <c r="B166" s="0" t="n">
        <f aca="false">ROUND(SUMPRODUCT((Taches!$B$2:$B$60="LOT-01")*($A166&gt;=Taches!$H$2:$H$60)*((($A166-Taches!$H$2:$H$60+1)&gt;=Taches!$E$2:$E$60)+(($A166-Taches!$H$2:$H$60+1)&lt;Taches!$E$2:$E$60)*($A166-Taches!$H$2:$H$60+1)/Taches!$E$2:$E$60)*Taches!$G$2:$G$60),0)</f>
        <v>55890000</v>
      </c>
      <c r="C166" s="0" t="n">
        <f aca="false">ROUND(SUMPRODUCT((Taches!$B$2:$B$60="LOT-02")*($A166&gt;=Taches!$H$2:$H$60)*((($A166-Taches!$H$2:$H$60+1)&gt;=Taches!$E$2:$E$60)+(($A166-Taches!$H$2:$H$60+1)&lt;Taches!$E$2:$E$60)*($A166-Taches!$H$2:$H$60+1)/Taches!$E$2:$E$60)*Taches!$G$2:$G$60),0)</f>
        <v>86960400</v>
      </c>
      <c r="D166" s="0" t="n">
        <f aca="false">ROUND(SUMPRODUCT((Taches!$B$2:$B$60="LOT-03")*($A166&gt;=Taches!$H$2:$H$60)*((($A166-Taches!$H$2:$H$60+1)&gt;=Taches!$E$2:$E$60)+(($A166-Taches!$H$2:$H$60+1)&lt;Taches!$E$2:$E$60)*($A166-Taches!$H$2:$H$60+1)/Taches!$E$2:$E$60)*Taches!$G$2:$G$60),0)</f>
        <v>111116000</v>
      </c>
      <c r="E166" s="0" t="n">
        <f aca="false">ROUND(SUMPRODUCT((Taches!$B$2:$B$60="LOT-04")*($A166&gt;=Taches!$H$2:$H$60)*((($A166-Taches!$H$2:$H$60+1)&gt;=Taches!$E$2:$E$60)+(($A166-Taches!$H$2:$H$60+1)&lt;Taches!$E$2:$E$60)*($A166-Taches!$H$2:$H$60+1)/Taches!$E$2:$E$60)*Taches!$G$2:$G$60),0)</f>
        <v>128946051</v>
      </c>
      <c r="F166" s="0" t="n">
        <f aca="false">ROUND(SUMPRODUCT((Taches!$B$2:$B$60="LOT-05")*($A166&gt;=Taches!$H$2:$H$60)*((($A166-Taches!$H$2:$H$60+1)&gt;=Taches!$E$2:$E$60)+(($A166-Taches!$H$2:$H$60+1)&lt;Taches!$E$2:$E$60)*($A166-Taches!$H$2:$H$60+1)/Taches!$E$2:$E$60)*Taches!$G$2:$G$60),0)</f>
        <v>0</v>
      </c>
      <c r="G166" s="0" t="n">
        <f aca="false">ROUND(SUMPRODUCT((Taches!$B$2:$B$60="LOT-06")*($A166&gt;=Taches!$H$2:$H$60)*((($A166-Taches!$H$2:$H$60+1)&gt;=Taches!$E$2:$E$60)+(($A166-Taches!$H$2:$H$60+1)&lt;Taches!$E$2:$E$60)*($A166-Taches!$H$2:$H$60+1)/Taches!$E$2:$E$60)*Taches!$G$2:$G$60),0)</f>
        <v>0</v>
      </c>
      <c r="H166" s="0" t="n">
        <f aca="false">ROUND(SUMPRODUCT((Taches!$B$2:$B$60="LOT-07")*($A166&gt;=Taches!$H$2:$H$60)*((($A166-Taches!$H$2:$H$60+1)&gt;=Taches!$E$2:$E$60)+(($A166-Taches!$H$2:$H$60+1)&lt;Taches!$E$2:$E$60)*($A166-Taches!$H$2:$H$60+1)/Taches!$E$2:$E$60)*Taches!$G$2:$G$60),0)</f>
        <v>0</v>
      </c>
      <c r="I166" s="0" t="n">
        <f aca="false">ROUND(SUMPRODUCT((Taches!$B$2:$B$60="LOT-08")*($A166&gt;=Taches!$H$2:$H$60)*((($A166-Taches!$H$2:$H$60+1)&gt;=Taches!$E$2:$E$60)+(($A166-Taches!$H$2:$H$60+1)&lt;Taches!$E$2:$E$60)*($A166-Taches!$H$2:$H$60+1)/Taches!$E$2:$E$60)*Taches!$G$2:$G$60),0)</f>
        <v>0</v>
      </c>
      <c r="J166" s="0" t="n">
        <f aca="false">SUM(B166:I166)</f>
        <v>382912451</v>
      </c>
    </row>
    <row r="167" customFormat="false" ht="15" hidden="false" customHeight="false" outlineLevel="0" collapsed="false">
      <c r="A167" s="0" t="n">
        <v>165</v>
      </c>
      <c r="B167" s="0" t="n">
        <f aca="false">ROUND(SUMPRODUCT((Taches!$B$2:$B$60="LOT-01")*($A167&gt;=Taches!$H$2:$H$60)*((($A167-Taches!$H$2:$H$60+1)&gt;=Taches!$E$2:$E$60)+(($A167-Taches!$H$2:$H$60+1)&lt;Taches!$E$2:$E$60)*($A167-Taches!$H$2:$H$60+1)/Taches!$E$2:$E$60)*Taches!$G$2:$G$60),0)</f>
        <v>55890000</v>
      </c>
      <c r="C167" s="0" t="n">
        <f aca="false">ROUND(SUMPRODUCT((Taches!$B$2:$B$60="LOT-02")*($A167&gt;=Taches!$H$2:$H$60)*((($A167-Taches!$H$2:$H$60+1)&gt;=Taches!$E$2:$E$60)+(($A167-Taches!$H$2:$H$60+1)&lt;Taches!$E$2:$E$60)*($A167-Taches!$H$2:$H$60+1)/Taches!$E$2:$E$60)*Taches!$G$2:$G$60),0)</f>
        <v>86960400</v>
      </c>
      <c r="D167" s="0" t="n">
        <f aca="false">ROUND(SUMPRODUCT((Taches!$B$2:$B$60="LOT-03")*($A167&gt;=Taches!$H$2:$H$60)*((($A167-Taches!$H$2:$H$60+1)&gt;=Taches!$E$2:$E$60)+(($A167-Taches!$H$2:$H$60+1)&lt;Taches!$E$2:$E$60)*($A167-Taches!$H$2:$H$60+1)/Taches!$E$2:$E$60)*Taches!$G$2:$G$60),0)</f>
        <v>111116000</v>
      </c>
      <c r="E167" s="0" t="n">
        <f aca="false">ROUND(SUMPRODUCT((Taches!$B$2:$B$60="LOT-04")*($A167&gt;=Taches!$H$2:$H$60)*((($A167-Taches!$H$2:$H$60+1)&gt;=Taches!$E$2:$E$60)+(($A167-Taches!$H$2:$H$60+1)&lt;Taches!$E$2:$E$60)*($A167-Taches!$H$2:$H$60+1)/Taches!$E$2:$E$60)*Taches!$G$2:$G$60),0)</f>
        <v>131703362</v>
      </c>
      <c r="F167" s="0" t="n">
        <f aca="false">ROUND(SUMPRODUCT((Taches!$B$2:$B$60="LOT-05")*($A167&gt;=Taches!$H$2:$H$60)*((($A167-Taches!$H$2:$H$60+1)&gt;=Taches!$E$2:$E$60)+(($A167-Taches!$H$2:$H$60+1)&lt;Taches!$E$2:$E$60)*($A167-Taches!$H$2:$H$60+1)/Taches!$E$2:$E$60)*Taches!$G$2:$G$60),0)</f>
        <v>0</v>
      </c>
      <c r="G167" s="0" t="n">
        <f aca="false">ROUND(SUMPRODUCT((Taches!$B$2:$B$60="LOT-06")*($A167&gt;=Taches!$H$2:$H$60)*((($A167-Taches!$H$2:$H$60+1)&gt;=Taches!$E$2:$E$60)+(($A167-Taches!$H$2:$H$60+1)&lt;Taches!$E$2:$E$60)*($A167-Taches!$H$2:$H$60+1)/Taches!$E$2:$E$60)*Taches!$G$2:$G$60),0)</f>
        <v>0</v>
      </c>
      <c r="H167" s="0" t="n">
        <f aca="false">ROUND(SUMPRODUCT((Taches!$B$2:$B$60="LOT-07")*($A167&gt;=Taches!$H$2:$H$60)*((($A167-Taches!$H$2:$H$60+1)&gt;=Taches!$E$2:$E$60)+(($A167-Taches!$H$2:$H$60+1)&lt;Taches!$E$2:$E$60)*($A167-Taches!$H$2:$H$60+1)/Taches!$E$2:$E$60)*Taches!$G$2:$G$60),0)</f>
        <v>0</v>
      </c>
      <c r="I167" s="0" t="n">
        <f aca="false">ROUND(SUMPRODUCT((Taches!$B$2:$B$60="LOT-08")*($A167&gt;=Taches!$H$2:$H$60)*((($A167-Taches!$H$2:$H$60+1)&gt;=Taches!$E$2:$E$60)+(($A167-Taches!$H$2:$H$60+1)&lt;Taches!$E$2:$E$60)*($A167-Taches!$H$2:$H$60+1)/Taches!$E$2:$E$60)*Taches!$G$2:$G$60),0)</f>
        <v>0</v>
      </c>
      <c r="J167" s="0" t="n">
        <f aca="false">SUM(B167:I167)</f>
        <v>385669762</v>
      </c>
    </row>
    <row r="168" customFormat="false" ht="15" hidden="false" customHeight="false" outlineLevel="0" collapsed="false">
      <c r="A168" s="0" t="n">
        <v>166</v>
      </c>
      <c r="B168" s="0" t="n">
        <f aca="false">ROUND(SUMPRODUCT((Taches!$B$2:$B$60="LOT-01")*($A168&gt;=Taches!$H$2:$H$60)*((($A168-Taches!$H$2:$H$60+1)&gt;=Taches!$E$2:$E$60)+(($A168-Taches!$H$2:$H$60+1)&lt;Taches!$E$2:$E$60)*($A168-Taches!$H$2:$H$60+1)/Taches!$E$2:$E$60)*Taches!$G$2:$G$60),0)</f>
        <v>55890000</v>
      </c>
      <c r="C168" s="0" t="n">
        <f aca="false">ROUND(SUMPRODUCT((Taches!$B$2:$B$60="LOT-02")*($A168&gt;=Taches!$H$2:$H$60)*((($A168-Taches!$H$2:$H$60+1)&gt;=Taches!$E$2:$E$60)+(($A168-Taches!$H$2:$H$60+1)&lt;Taches!$E$2:$E$60)*($A168-Taches!$H$2:$H$60+1)/Taches!$E$2:$E$60)*Taches!$G$2:$G$60),0)</f>
        <v>86960400</v>
      </c>
      <c r="D168" s="0" t="n">
        <f aca="false">ROUND(SUMPRODUCT((Taches!$B$2:$B$60="LOT-03")*($A168&gt;=Taches!$H$2:$H$60)*((($A168-Taches!$H$2:$H$60+1)&gt;=Taches!$E$2:$E$60)+(($A168-Taches!$H$2:$H$60+1)&lt;Taches!$E$2:$E$60)*($A168-Taches!$H$2:$H$60+1)/Taches!$E$2:$E$60)*Taches!$G$2:$G$60),0)</f>
        <v>111116000</v>
      </c>
      <c r="E168" s="0" t="n">
        <f aca="false">ROUND(SUMPRODUCT((Taches!$B$2:$B$60="LOT-04")*($A168&gt;=Taches!$H$2:$H$60)*((($A168-Taches!$H$2:$H$60+1)&gt;=Taches!$E$2:$E$60)+(($A168-Taches!$H$2:$H$60+1)&lt;Taches!$E$2:$E$60)*($A168-Taches!$H$2:$H$60+1)/Taches!$E$2:$E$60)*Taches!$G$2:$G$60),0)</f>
        <v>134460674</v>
      </c>
      <c r="F168" s="0" t="n">
        <f aca="false">ROUND(SUMPRODUCT((Taches!$B$2:$B$60="LOT-05")*($A168&gt;=Taches!$H$2:$H$60)*((($A168-Taches!$H$2:$H$60+1)&gt;=Taches!$E$2:$E$60)+(($A168-Taches!$H$2:$H$60+1)&lt;Taches!$E$2:$E$60)*($A168-Taches!$H$2:$H$60+1)/Taches!$E$2:$E$60)*Taches!$G$2:$G$60),0)</f>
        <v>0</v>
      </c>
      <c r="G168" s="0" t="n">
        <f aca="false">ROUND(SUMPRODUCT((Taches!$B$2:$B$60="LOT-06")*($A168&gt;=Taches!$H$2:$H$60)*((($A168-Taches!$H$2:$H$60+1)&gt;=Taches!$E$2:$E$60)+(($A168-Taches!$H$2:$H$60+1)&lt;Taches!$E$2:$E$60)*($A168-Taches!$H$2:$H$60+1)/Taches!$E$2:$E$60)*Taches!$G$2:$G$60),0)</f>
        <v>0</v>
      </c>
      <c r="H168" s="0" t="n">
        <f aca="false">ROUND(SUMPRODUCT((Taches!$B$2:$B$60="LOT-07")*($A168&gt;=Taches!$H$2:$H$60)*((($A168-Taches!$H$2:$H$60+1)&gt;=Taches!$E$2:$E$60)+(($A168-Taches!$H$2:$H$60+1)&lt;Taches!$E$2:$E$60)*($A168-Taches!$H$2:$H$60+1)/Taches!$E$2:$E$60)*Taches!$G$2:$G$60),0)</f>
        <v>0</v>
      </c>
      <c r="I168" s="0" t="n">
        <f aca="false">ROUND(SUMPRODUCT((Taches!$B$2:$B$60="LOT-08")*($A168&gt;=Taches!$H$2:$H$60)*((($A168-Taches!$H$2:$H$60+1)&gt;=Taches!$E$2:$E$60)+(($A168-Taches!$H$2:$H$60+1)&lt;Taches!$E$2:$E$60)*($A168-Taches!$H$2:$H$60+1)/Taches!$E$2:$E$60)*Taches!$G$2:$G$60),0)</f>
        <v>0</v>
      </c>
      <c r="J168" s="0" t="n">
        <f aca="false">SUM(B168:I168)</f>
        <v>388427074</v>
      </c>
    </row>
    <row r="169" customFormat="false" ht="15" hidden="false" customHeight="false" outlineLevel="0" collapsed="false">
      <c r="A169" s="0" t="n">
        <v>167</v>
      </c>
      <c r="B169" s="0" t="n">
        <f aca="false">ROUND(SUMPRODUCT((Taches!$B$2:$B$60="LOT-01")*($A169&gt;=Taches!$H$2:$H$60)*((($A169-Taches!$H$2:$H$60+1)&gt;=Taches!$E$2:$E$60)+(($A169-Taches!$H$2:$H$60+1)&lt;Taches!$E$2:$E$60)*($A169-Taches!$H$2:$H$60+1)/Taches!$E$2:$E$60)*Taches!$G$2:$G$60),0)</f>
        <v>55890000</v>
      </c>
      <c r="C169" s="0" t="n">
        <f aca="false">ROUND(SUMPRODUCT((Taches!$B$2:$B$60="LOT-02")*($A169&gt;=Taches!$H$2:$H$60)*((($A169-Taches!$H$2:$H$60+1)&gt;=Taches!$E$2:$E$60)+(($A169-Taches!$H$2:$H$60+1)&lt;Taches!$E$2:$E$60)*($A169-Taches!$H$2:$H$60+1)/Taches!$E$2:$E$60)*Taches!$G$2:$G$60),0)</f>
        <v>86960400</v>
      </c>
      <c r="D169" s="0" t="n">
        <f aca="false">ROUND(SUMPRODUCT((Taches!$B$2:$B$60="LOT-03")*($A169&gt;=Taches!$H$2:$H$60)*((($A169-Taches!$H$2:$H$60+1)&gt;=Taches!$E$2:$E$60)+(($A169-Taches!$H$2:$H$60+1)&lt;Taches!$E$2:$E$60)*($A169-Taches!$H$2:$H$60+1)/Taches!$E$2:$E$60)*Taches!$G$2:$G$60),0)</f>
        <v>111116000</v>
      </c>
      <c r="E169" s="0" t="n">
        <f aca="false">ROUND(SUMPRODUCT((Taches!$B$2:$B$60="LOT-04")*($A169&gt;=Taches!$H$2:$H$60)*((($A169-Taches!$H$2:$H$60+1)&gt;=Taches!$E$2:$E$60)+(($A169-Taches!$H$2:$H$60+1)&lt;Taches!$E$2:$E$60)*($A169-Taches!$H$2:$H$60+1)/Taches!$E$2:$E$60)*Taches!$G$2:$G$60),0)</f>
        <v>137217986</v>
      </c>
      <c r="F169" s="0" t="n">
        <f aca="false">ROUND(SUMPRODUCT((Taches!$B$2:$B$60="LOT-05")*($A169&gt;=Taches!$H$2:$H$60)*((($A169-Taches!$H$2:$H$60+1)&gt;=Taches!$E$2:$E$60)+(($A169-Taches!$H$2:$H$60+1)&lt;Taches!$E$2:$E$60)*($A169-Taches!$H$2:$H$60+1)/Taches!$E$2:$E$60)*Taches!$G$2:$G$60),0)</f>
        <v>0</v>
      </c>
      <c r="G169" s="0" t="n">
        <f aca="false">ROUND(SUMPRODUCT((Taches!$B$2:$B$60="LOT-06")*($A169&gt;=Taches!$H$2:$H$60)*((($A169-Taches!$H$2:$H$60+1)&gt;=Taches!$E$2:$E$60)+(($A169-Taches!$H$2:$H$60+1)&lt;Taches!$E$2:$E$60)*($A169-Taches!$H$2:$H$60+1)/Taches!$E$2:$E$60)*Taches!$G$2:$G$60),0)</f>
        <v>0</v>
      </c>
      <c r="H169" s="0" t="n">
        <f aca="false">ROUND(SUMPRODUCT((Taches!$B$2:$B$60="LOT-07")*($A169&gt;=Taches!$H$2:$H$60)*((($A169-Taches!$H$2:$H$60+1)&gt;=Taches!$E$2:$E$60)+(($A169-Taches!$H$2:$H$60+1)&lt;Taches!$E$2:$E$60)*($A169-Taches!$H$2:$H$60+1)/Taches!$E$2:$E$60)*Taches!$G$2:$G$60),0)</f>
        <v>0</v>
      </c>
      <c r="I169" s="0" t="n">
        <f aca="false">ROUND(SUMPRODUCT((Taches!$B$2:$B$60="LOT-08")*($A169&gt;=Taches!$H$2:$H$60)*((($A169-Taches!$H$2:$H$60+1)&gt;=Taches!$E$2:$E$60)+(($A169-Taches!$H$2:$H$60+1)&lt;Taches!$E$2:$E$60)*($A169-Taches!$H$2:$H$60+1)/Taches!$E$2:$E$60)*Taches!$G$2:$G$60),0)</f>
        <v>0</v>
      </c>
      <c r="J169" s="0" t="n">
        <f aca="false">SUM(B169:I169)</f>
        <v>391184386</v>
      </c>
    </row>
    <row r="170" customFormat="false" ht="15" hidden="false" customHeight="false" outlineLevel="0" collapsed="false">
      <c r="A170" s="0" t="n">
        <v>168</v>
      </c>
      <c r="B170" s="0" t="n">
        <f aca="false">ROUND(SUMPRODUCT((Taches!$B$2:$B$60="LOT-01")*($A170&gt;=Taches!$H$2:$H$60)*((($A170-Taches!$H$2:$H$60+1)&gt;=Taches!$E$2:$E$60)+(($A170-Taches!$H$2:$H$60+1)&lt;Taches!$E$2:$E$60)*($A170-Taches!$H$2:$H$60+1)/Taches!$E$2:$E$60)*Taches!$G$2:$G$60),0)</f>
        <v>55890000</v>
      </c>
      <c r="C170" s="0" t="n">
        <f aca="false">ROUND(SUMPRODUCT((Taches!$B$2:$B$60="LOT-02")*($A170&gt;=Taches!$H$2:$H$60)*((($A170-Taches!$H$2:$H$60+1)&gt;=Taches!$E$2:$E$60)+(($A170-Taches!$H$2:$H$60+1)&lt;Taches!$E$2:$E$60)*($A170-Taches!$H$2:$H$60+1)/Taches!$E$2:$E$60)*Taches!$G$2:$G$60),0)</f>
        <v>86960400</v>
      </c>
      <c r="D170" s="0" t="n">
        <f aca="false">ROUND(SUMPRODUCT((Taches!$B$2:$B$60="LOT-03")*($A170&gt;=Taches!$H$2:$H$60)*((($A170-Taches!$H$2:$H$60+1)&gt;=Taches!$E$2:$E$60)+(($A170-Taches!$H$2:$H$60+1)&lt;Taches!$E$2:$E$60)*($A170-Taches!$H$2:$H$60+1)/Taches!$E$2:$E$60)*Taches!$G$2:$G$60),0)</f>
        <v>111116000</v>
      </c>
      <c r="E170" s="0" t="n">
        <f aca="false">ROUND(SUMPRODUCT((Taches!$B$2:$B$60="LOT-04")*($A170&gt;=Taches!$H$2:$H$60)*((($A170-Taches!$H$2:$H$60+1)&gt;=Taches!$E$2:$E$60)+(($A170-Taches!$H$2:$H$60+1)&lt;Taches!$E$2:$E$60)*($A170-Taches!$H$2:$H$60+1)/Taches!$E$2:$E$60)*Taches!$G$2:$G$60),0)</f>
        <v>139975297</v>
      </c>
      <c r="F170" s="0" t="n">
        <f aca="false">ROUND(SUMPRODUCT((Taches!$B$2:$B$60="LOT-05")*($A170&gt;=Taches!$H$2:$H$60)*((($A170-Taches!$H$2:$H$60+1)&gt;=Taches!$E$2:$E$60)+(($A170-Taches!$H$2:$H$60+1)&lt;Taches!$E$2:$E$60)*($A170-Taches!$H$2:$H$60+1)/Taches!$E$2:$E$60)*Taches!$G$2:$G$60),0)</f>
        <v>0</v>
      </c>
      <c r="G170" s="0" t="n">
        <f aca="false">ROUND(SUMPRODUCT((Taches!$B$2:$B$60="LOT-06")*($A170&gt;=Taches!$H$2:$H$60)*((($A170-Taches!$H$2:$H$60+1)&gt;=Taches!$E$2:$E$60)+(($A170-Taches!$H$2:$H$60+1)&lt;Taches!$E$2:$E$60)*($A170-Taches!$H$2:$H$60+1)/Taches!$E$2:$E$60)*Taches!$G$2:$G$60),0)</f>
        <v>0</v>
      </c>
      <c r="H170" s="0" t="n">
        <f aca="false">ROUND(SUMPRODUCT((Taches!$B$2:$B$60="LOT-07")*($A170&gt;=Taches!$H$2:$H$60)*((($A170-Taches!$H$2:$H$60+1)&gt;=Taches!$E$2:$E$60)+(($A170-Taches!$H$2:$H$60+1)&lt;Taches!$E$2:$E$60)*($A170-Taches!$H$2:$H$60+1)/Taches!$E$2:$E$60)*Taches!$G$2:$G$60),0)</f>
        <v>0</v>
      </c>
      <c r="I170" s="0" t="n">
        <f aca="false">ROUND(SUMPRODUCT((Taches!$B$2:$B$60="LOT-08")*($A170&gt;=Taches!$H$2:$H$60)*((($A170-Taches!$H$2:$H$60+1)&gt;=Taches!$E$2:$E$60)+(($A170-Taches!$H$2:$H$60+1)&lt;Taches!$E$2:$E$60)*($A170-Taches!$H$2:$H$60+1)/Taches!$E$2:$E$60)*Taches!$G$2:$G$60),0)</f>
        <v>0</v>
      </c>
      <c r="J170" s="0" t="n">
        <f aca="false">SUM(B170:I170)</f>
        <v>393941697</v>
      </c>
    </row>
    <row r="171" customFormat="false" ht="15" hidden="false" customHeight="false" outlineLevel="0" collapsed="false">
      <c r="A171" s="0" t="n">
        <v>169</v>
      </c>
      <c r="B171" s="0" t="n">
        <f aca="false">ROUND(SUMPRODUCT((Taches!$B$2:$B$60="LOT-01")*($A171&gt;=Taches!$H$2:$H$60)*((($A171-Taches!$H$2:$H$60+1)&gt;=Taches!$E$2:$E$60)+(($A171-Taches!$H$2:$H$60+1)&lt;Taches!$E$2:$E$60)*($A171-Taches!$H$2:$H$60+1)/Taches!$E$2:$E$60)*Taches!$G$2:$G$60),0)</f>
        <v>55890000</v>
      </c>
      <c r="C171" s="0" t="n">
        <f aca="false">ROUND(SUMPRODUCT((Taches!$B$2:$B$60="LOT-02")*($A171&gt;=Taches!$H$2:$H$60)*((($A171-Taches!$H$2:$H$60+1)&gt;=Taches!$E$2:$E$60)+(($A171-Taches!$H$2:$H$60+1)&lt;Taches!$E$2:$E$60)*($A171-Taches!$H$2:$H$60+1)/Taches!$E$2:$E$60)*Taches!$G$2:$G$60),0)</f>
        <v>86960400</v>
      </c>
      <c r="D171" s="0" t="n">
        <f aca="false">ROUND(SUMPRODUCT((Taches!$B$2:$B$60="LOT-03")*($A171&gt;=Taches!$H$2:$H$60)*((($A171-Taches!$H$2:$H$60+1)&gt;=Taches!$E$2:$E$60)+(($A171-Taches!$H$2:$H$60+1)&lt;Taches!$E$2:$E$60)*($A171-Taches!$H$2:$H$60+1)/Taches!$E$2:$E$60)*Taches!$G$2:$G$60),0)</f>
        <v>111116000</v>
      </c>
      <c r="E171" s="0" t="n">
        <f aca="false">ROUND(SUMPRODUCT((Taches!$B$2:$B$60="LOT-04")*($A171&gt;=Taches!$H$2:$H$60)*((($A171-Taches!$H$2:$H$60+1)&gt;=Taches!$E$2:$E$60)+(($A171-Taches!$H$2:$H$60+1)&lt;Taches!$E$2:$E$60)*($A171-Taches!$H$2:$H$60+1)/Taches!$E$2:$E$60)*Taches!$G$2:$G$60),0)</f>
        <v>142732609</v>
      </c>
      <c r="F171" s="0" t="n">
        <f aca="false">ROUND(SUMPRODUCT((Taches!$B$2:$B$60="LOT-05")*($A171&gt;=Taches!$H$2:$H$60)*((($A171-Taches!$H$2:$H$60+1)&gt;=Taches!$E$2:$E$60)+(($A171-Taches!$H$2:$H$60+1)&lt;Taches!$E$2:$E$60)*($A171-Taches!$H$2:$H$60+1)/Taches!$E$2:$E$60)*Taches!$G$2:$G$60),0)</f>
        <v>0</v>
      </c>
      <c r="G171" s="0" t="n">
        <f aca="false">ROUND(SUMPRODUCT((Taches!$B$2:$B$60="LOT-06")*($A171&gt;=Taches!$H$2:$H$60)*((($A171-Taches!$H$2:$H$60+1)&gt;=Taches!$E$2:$E$60)+(($A171-Taches!$H$2:$H$60+1)&lt;Taches!$E$2:$E$60)*($A171-Taches!$H$2:$H$60+1)/Taches!$E$2:$E$60)*Taches!$G$2:$G$60),0)</f>
        <v>0</v>
      </c>
      <c r="H171" s="0" t="n">
        <f aca="false">ROUND(SUMPRODUCT((Taches!$B$2:$B$60="LOT-07")*($A171&gt;=Taches!$H$2:$H$60)*((($A171-Taches!$H$2:$H$60+1)&gt;=Taches!$E$2:$E$60)+(($A171-Taches!$H$2:$H$60+1)&lt;Taches!$E$2:$E$60)*($A171-Taches!$H$2:$H$60+1)/Taches!$E$2:$E$60)*Taches!$G$2:$G$60),0)</f>
        <v>0</v>
      </c>
      <c r="I171" s="0" t="n">
        <f aca="false">ROUND(SUMPRODUCT((Taches!$B$2:$B$60="LOT-08")*($A171&gt;=Taches!$H$2:$H$60)*((($A171-Taches!$H$2:$H$60+1)&gt;=Taches!$E$2:$E$60)+(($A171-Taches!$H$2:$H$60+1)&lt;Taches!$E$2:$E$60)*($A171-Taches!$H$2:$H$60+1)/Taches!$E$2:$E$60)*Taches!$G$2:$G$60),0)</f>
        <v>0</v>
      </c>
      <c r="J171" s="0" t="n">
        <f aca="false">SUM(B171:I171)</f>
        <v>396699009</v>
      </c>
    </row>
    <row r="172" customFormat="false" ht="15" hidden="false" customHeight="false" outlineLevel="0" collapsed="false">
      <c r="A172" s="0" t="n">
        <v>170</v>
      </c>
      <c r="B172" s="0" t="n">
        <f aca="false">ROUND(SUMPRODUCT((Taches!$B$2:$B$60="LOT-01")*($A172&gt;=Taches!$H$2:$H$60)*((($A172-Taches!$H$2:$H$60+1)&gt;=Taches!$E$2:$E$60)+(($A172-Taches!$H$2:$H$60+1)&lt;Taches!$E$2:$E$60)*($A172-Taches!$H$2:$H$60+1)/Taches!$E$2:$E$60)*Taches!$G$2:$G$60),0)</f>
        <v>55890000</v>
      </c>
      <c r="C172" s="0" t="n">
        <f aca="false">ROUND(SUMPRODUCT((Taches!$B$2:$B$60="LOT-02")*($A172&gt;=Taches!$H$2:$H$60)*((($A172-Taches!$H$2:$H$60+1)&gt;=Taches!$E$2:$E$60)+(($A172-Taches!$H$2:$H$60+1)&lt;Taches!$E$2:$E$60)*($A172-Taches!$H$2:$H$60+1)/Taches!$E$2:$E$60)*Taches!$G$2:$G$60),0)</f>
        <v>86960400</v>
      </c>
      <c r="D172" s="0" t="n">
        <f aca="false">ROUND(SUMPRODUCT((Taches!$B$2:$B$60="LOT-03")*($A172&gt;=Taches!$H$2:$H$60)*((($A172-Taches!$H$2:$H$60+1)&gt;=Taches!$E$2:$E$60)+(($A172-Taches!$H$2:$H$60+1)&lt;Taches!$E$2:$E$60)*($A172-Taches!$H$2:$H$60+1)/Taches!$E$2:$E$60)*Taches!$G$2:$G$60),0)</f>
        <v>111116000</v>
      </c>
      <c r="E172" s="0" t="n">
        <f aca="false">ROUND(SUMPRODUCT((Taches!$B$2:$B$60="LOT-04")*($A172&gt;=Taches!$H$2:$H$60)*((($A172-Taches!$H$2:$H$60+1)&gt;=Taches!$E$2:$E$60)+(($A172-Taches!$H$2:$H$60+1)&lt;Taches!$E$2:$E$60)*($A172-Taches!$H$2:$H$60+1)/Taches!$E$2:$E$60)*Taches!$G$2:$G$60),0)</f>
        <v>145048920</v>
      </c>
      <c r="F172" s="0" t="n">
        <f aca="false">ROUND(SUMPRODUCT((Taches!$B$2:$B$60="LOT-05")*($A172&gt;=Taches!$H$2:$H$60)*((($A172-Taches!$H$2:$H$60+1)&gt;=Taches!$E$2:$E$60)+(($A172-Taches!$H$2:$H$60+1)&lt;Taches!$E$2:$E$60)*($A172-Taches!$H$2:$H$60+1)/Taches!$E$2:$E$60)*Taches!$G$2:$G$60),0)</f>
        <v>0</v>
      </c>
      <c r="G172" s="0" t="n">
        <f aca="false">ROUND(SUMPRODUCT((Taches!$B$2:$B$60="LOT-06")*($A172&gt;=Taches!$H$2:$H$60)*((($A172-Taches!$H$2:$H$60+1)&gt;=Taches!$E$2:$E$60)+(($A172-Taches!$H$2:$H$60+1)&lt;Taches!$E$2:$E$60)*($A172-Taches!$H$2:$H$60+1)/Taches!$E$2:$E$60)*Taches!$G$2:$G$60),0)</f>
        <v>0</v>
      </c>
      <c r="H172" s="0" t="n">
        <f aca="false">ROUND(SUMPRODUCT((Taches!$B$2:$B$60="LOT-07")*($A172&gt;=Taches!$H$2:$H$60)*((($A172-Taches!$H$2:$H$60+1)&gt;=Taches!$E$2:$E$60)+(($A172-Taches!$H$2:$H$60+1)&lt;Taches!$E$2:$E$60)*($A172-Taches!$H$2:$H$60+1)/Taches!$E$2:$E$60)*Taches!$G$2:$G$60),0)</f>
        <v>0</v>
      </c>
      <c r="I172" s="0" t="n">
        <f aca="false">ROUND(SUMPRODUCT((Taches!$B$2:$B$60="LOT-08")*($A172&gt;=Taches!$H$2:$H$60)*((($A172-Taches!$H$2:$H$60+1)&gt;=Taches!$E$2:$E$60)+(($A172-Taches!$H$2:$H$60+1)&lt;Taches!$E$2:$E$60)*($A172-Taches!$H$2:$H$60+1)/Taches!$E$2:$E$60)*Taches!$G$2:$G$60),0)</f>
        <v>0</v>
      </c>
      <c r="J172" s="0" t="n">
        <f aca="false">SUM(B172:I172)</f>
        <v>399015320</v>
      </c>
    </row>
    <row r="173" customFormat="false" ht="15" hidden="false" customHeight="false" outlineLevel="0" collapsed="false">
      <c r="A173" s="0" t="n">
        <v>171</v>
      </c>
      <c r="B173" s="0" t="n">
        <f aca="false">ROUND(SUMPRODUCT((Taches!$B$2:$B$60="LOT-01")*($A173&gt;=Taches!$H$2:$H$60)*((($A173-Taches!$H$2:$H$60+1)&gt;=Taches!$E$2:$E$60)+(($A173-Taches!$H$2:$H$60+1)&lt;Taches!$E$2:$E$60)*($A173-Taches!$H$2:$H$60+1)/Taches!$E$2:$E$60)*Taches!$G$2:$G$60),0)</f>
        <v>55890000</v>
      </c>
      <c r="C173" s="0" t="n">
        <f aca="false">ROUND(SUMPRODUCT((Taches!$B$2:$B$60="LOT-02")*($A173&gt;=Taches!$H$2:$H$60)*((($A173-Taches!$H$2:$H$60+1)&gt;=Taches!$E$2:$E$60)+(($A173-Taches!$H$2:$H$60+1)&lt;Taches!$E$2:$E$60)*($A173-Taches!$H$2:$H$60+1)/Taches!$E$2:$E$60)*Taches!$G$2:$G$60),0)</f>
        <v>86960400</v>
      </c>
      <c r="D173" s="0" t="n">
        <f aca="false">ROUND(SUMPRODUCT((Taches!$B$2:$B$60="LOT-03")*($A173&gt;=Taches!$H$2:$H$60)*((($A173-Taches!$H$2:$H$60+1)&gt;=Taches!$E$2:$E$60)+(($A173-Taches!$H$2:$H$60+1)&lt;Taches!$E$2:$E$60)*($A173-Taches!$H$2:$H$60+1)/Taches!$E$2:$E$60)*Taches!$G$2:$G$60),0)</f>
        <v>111116000</v>
      </c>
      <c r="E173" s="0" t="n">
        <f aca="false">ROUND(SUMPRODUCT((Taches!$B$2:$B$60="LOT-04")*($A173&gt;=Taches!$H$2:$H$60)*((($A173-Taches!$H$2:$H$60+1)&gt;=Taches!$E$2:$E$60)+(($A173-Taches!$H$2:$H$60+1)&lt;Taches!$E$2:$E$60)*($A173-Taches!$H$2:$H$60+1)/Taches!$E$2:$E$60)*Taches!$G$2:$G$60),0)</f>
        <v>147365232</v>
      </c>
      <c r="F173" s="0" t="n">
        <f aca="false">ROUND(SUMPRODUCT((Taches!$B$2:$B$60="LOT-05")*($A173&gt;=Taches!$H$2:$H$60)*((($A173-Taches!$H$2:$H$60+1)&gt;=Taches!$E$2:$E$60)+(($A173-Taches!$H$2:$H$60+1)&lt;Taches!$E$2:$E$60)*($A173-Taches!$H$2:$H$60+1)/Taches!$E$2:$E$60)*Taches!$G$2:$G$60),0)</f>
        <v>0</v>
      </c>
      <c r="G173" s="0" t="n">
        <f aca="false">ROUND(SUMPRODUCT((Taches!$B$2:$B$60="LOT-06")*($A173&gt;=Taches!$H$2:$H$60)*((($A173-Taches!$H$2:$H$60+1)&gt;=Taches!$E$2:$E$60)+(($A173-Taches!$H$2:$H$60+1)&lt;Taches!$E$2:$E$60)*($A173-Taches!$H$2:$H$60+1)/Taches!$E$2:$E$60)*Taches!$G$2:$G$60),0)</f>
        <v>0</v>
      </c>
      <c r="H173" s="0" t="n">
        <f aca="false">ROUND(SUMPRODUCT((Taches!$B$2:$B$60="LOT-07")*($A173&gt;=Taches!$H$2:$H$60)*((($A173-Taches!$H$2:$H$60+1)&gt;=Taches!$E$2:$E$60)+(($A173-Taches!$H$2:$H$60+1)&lt;Taches!$E$2:$E$60)*($A173-Taches!$H$2:$H$60+1)/Taches!$E$2:$E$60)*Taches!$G$2:$G$60),0)</f>
        <v>0</v>
      </c>
      <c r="I173" s="0" t="n">
        <f aca="false">ROUND(SUMPRODUCT((Taches!$B$2:$B$60="LOT-08")*($A173&gt;=Taches!$H$2:$H$60)*((($A173-Taches!$H$2:$H$60+1)&gt;=Taches!$E$2:$E$60)+(($A173-Taches!$H$2:$H$60+1)&lt;Taches!$E$2:$E$60)*($A173-Taches!$H$2:$H$60+1)/Taches!$E$2:$E$60)*Taches!$G$2:$G$60),0)</f>
        <v>0</v>
      </c>
      <c r="J173" s="0" t="n">
        <f aca="false">SUM(B173:I173)</f>
        <v>401331632</v>
      </c>
    </row>
    <row r="174" customFormat="false" ht="15" hidden="false" customHeight="false" outlineLevel="0" collapsed="false">
      <c r="A174" s="0" t="n">
        <v>172</v>
      </c>
      <c r="B174" s="0" t="n">
        <f aca="false">ROUND(SUMPRODUCT((Taches!$B$2:$B$60="LOT-01")*($A174&gt;=Taches!$H$2:$H$60)*((($A174-Taches!$H$2:$H$60+1)&gt;=Taches!$E$2:$E$60)+(($A174-Taches!$H$2:$H$60+1)&lt;Taches!$E$2:$E$60)*($A174-Taches!$H$2:$H$60+1)/Taches!$E$2:$E$60)*Taches!$G$2:$G$60),0)</f>
        <v>55890000</v>
      </c>
      <c r="C174" s="0" t="n">
        <f aca="false">ROUND(SUMPRODUCT((Taches!$B$2:$B$60="LOT-02")*($A174&gt;=Taches!$H$2:$H$60)*((($A174-Taches!$H$2:$H$60+1)&gt;=Taches!$E$2:$E$60)+(($A174-Taches!$H$2:$H$60+1)&lt;Taches!$E$2:$E$60)*($A174-Taches!$H$2:$H$60+1)/Taches!$E$2:$E$60)*Taches!$G$2:$G$60),0)</f>
        <v>86960400</v>
      </c>
      <c r="D174" s="0" t="n">
        <f aca="false">ROUND(SUMPRODUCT((Taches!$B$2:$B$60="LOT-03")*($A174&gt;=Taches!$H$2:$H$60)*((($A174-Taches!$H$2:$H$60+1)&gt;=Taches!$E$2:$E$60)+(($A174-Taches!$H$2:$H$60+1)&lt;Taches!$E$2:$E$60)*($A174-Taches!$H$2:$H$60+1)/Taches!$E$2:$E$60)*Taches!$G$2:$G$60),0)</f>
        <v>111116000</v>
      </c>
      <c r="E174" s="0" t="n">
        <f aca="false">ROUND(SUMPRODUCT((Taches!$B$2:$B$60="LOT-04")*($A174&gt;=Taches!$H$2:$H$60)*((($A174-Taches!$H$2:$H$60+1)&gt;=Taches!$E$2:$E$60)+(($A174-Taches!$H$2:$H$60+1)&lt;Taches!$E$2:$E$60)*($A174-Taches!$H$2:$H$60+1)/Taches!$E$2:$E$60)*Taches!$G$2:$G$60),0)</f>
        <v>149681543</v>
      </c>
      <c r="F174" s="0" t="n">
        <f aca="false">ROUND(SUMPRODUCT((Taches!$B$2:$B$60="LOT-05")*($A174&gt;=Taches!$H$2:$H$60)*((($A174-Taches!$H$2:$H$60+1)&gt;=Taches!$E$2:$E$60)+(($A174-Taches!$H$2:$H$60+1)&lt;Taches!$E$2:$E$60)*($A174-Taches!$H$2:$H$60+1)/Taches!$E$2:$E$60)*Taches!$G$2:$G$60),0)</f>
        <v>0</v>
      </c>
      <c r="G174" s="0" t="n">
        <f aca="false">ROUND(SUMPRODUCT((Taches!$B$2:$B$60="LOT-06")*($A174&gt;=Taches!$H$2:$H$60)*((($A174-Taches!$H$2:$H$60+1)&gt;=Taches!$E$2:$E$60)+(($A174-Taches!$H$2:$H$60+1)&lt;Taches!$E$2:$E$60)*($A174-Taches!$H$2:$H$60+1)/Taches!$E$2:$E$60)*Taches!$G$2:$G$60),0)</f>
        <v>739400</v>
      </c>
      <c r="H174" s="0" t="n">
        <f aca="false">ROUND(SUMPRODUCT((Taches!$B$2:$B$60="LOT-07")*($A174&gt;=Taches!$H$2:$H$60)*((($A174-Taches!$H$2:$H$60+1)&gt;=Taches!$E$2:$E$60)+(($A174-Taches!$H$2:$H$60+1)&lt;Taches!$E$2:$E$60)*($A174-Taches!$H$2:$H$60+1)/Taches!$E$2:$E$60)*Taches!$G$2:$G$60),0)</f>
        <v>0</v>
      </c>
      <c r="I174" s="0" t="n">
        <f aca="false">ROUND(SUMPRODUCT((Taches!$B$2:$B$60="LOT-08")*($A174&gt;=Taches!$H$2:$H$60)*((($A174-Taches!$H$2:$H$60+1)&gt;=Taches!$E$2:$E$60)+(($A174-Taches!$H$2:$H$60+1)&lt;Taches!$E$2:$E$60)*($A174-Taches!$H$2:$H$60+1)/Taches!$E$2:$E$60)*Taches!$G$2:$G$60),0)</f>
        <v>0</v>
      </c>
      <c r="J174" s="0" t="n">
        <f aca="false">SUM(B174:I174)</f>
        <v>404387343</v>
      </c>
    </row>
    <row r="175" customFormat="false" ht="15" hidden="false" customHeight="false" outlineLevel="0" collapsed="false">
      <c r="A175" s="0" t="n">
        <v>173</v>
      </c>
      <c r="B175" s="0" t="n">
        <f aca="false">ROUND(SUMPRODUCT((Taches!$B$2:$B$60="LOT-01")*($A175&gt;=Taches!$H$2:$H$60)*((($A175-Taches!$H$2:$H$60+1)&gt;=Taches!$E$2:$E$60)+(($A175-Taches!$H$2:$H$60+1)&lt;Taches!$E$2:$E$60)*($A175-Taches!$H$2:$H$60+1)/Taches!$E$2:$E$60)*Taches!$G$2:$G$60),0)</f>
        <v>55890000</v>
      </c>
      <c r="C175" s="0" t="n">
        <f aca="false">ROUND(SUMPRODUCT((Taches!$B$2:$B$60="LOT-02")*($A175&gt;=Taches!$H$2:$H$60)*((($A175-Taches!$H$2:$H$60+1)&gt;=Taches!$E$2:$E$60)+(($A175-Taches!$H$2:$H$60+1)&lt;Taches!$E$2:$E$60)*($A175-Taches!$H$2:$H$60+1)/Taches!$E$2:$E$60)*Taches!$G$2:$G$60),0)</f>
        <v>86960400</v>
      </c>
      <c r="D175" s="0" t="n">
        <f aca="false">ROUND(SUMPRODUCT((Taches!$B$2:$B$60="LOT-03")*($A175&gt;=Taches!$H$2:$H$60)*((($A175-Taches!$H$2:$H$60+1)&gt;=Taches!$E$2:$E$60)+(($A175-Taches!$H$2:$H$60+1)&lt;Taches!$E$2:$E$60)*($A175-Taches!$H$2:$H$60+1)/Taches!$E$2:$E$60)*Taches!$G$2:$G$60),0)</f>
        <v>111116000</v>
      </c>
      <c r="E175" s="0" t="n">
        <f aca="false">ROUND(SUMPRODUCT((Taches!$B$2:$B$60="LOT-04")*($A175&gt;=Taches!$H$2:$H$60)*((($A175-Taches!$H$2:$H$60+1)&gt;=Taches!$E$2:$E$60)+(($A175-Taches!$H$2:$H$60+1)&lt;Taches!$E$2:$E$60)*($A175-Taches!$H$2:$H$60+1)/Taches!$E$2:$E$60)*Taches!$G$2:$G$60),0)</f>
        <v>151997855</v>
      </c>
      <c r="F175" s="0" t="n">
        <f aca="false">ROUND(SUMPRODUCT((Taches!$B$2:$B$60="LOT-05")*($A175&gt;=Taches!$H$2:$H$60)*((($A175-Taches!$H$2:$H$60+1)&gt;=Taches!$E$2:$E$60)+(($A175-Taches!$H$2:$H$60+1)&lt;Taches!$E$2:$E$60)*($A175-Taches!$H$2:$H$60+1)/Taches!$E$2:$E$60)*Taches!$G$2:$G$60),0)</f>
        <v>0</v>
      </c>
      <c r="G175" s="0" t="n">
        <f aca="false">ROUND(SUMPRODUCT((Taches!$B$2:$B$60="LOT-06")*($A175&gt;=Taches!$H$2:$H$60)*((($A175-Taches!$H$2:$H$60+1)&gt;=Taches!$E$2:$E$60)+(($A175-Taches!$H$2:$H$60+1)&lt;Taches!$E$2:$E$60)*($A175-Taches!$H$2:$H$60+1)/Taches!$E$2:$E$60)*Taches!$G$2:$G$60),0)</f>
        <v>1478800</v>
      </c>
      <c r="H175" s="0" t="n">
        <f aca="false">ROUND(SUMPRODUCT((Taches!$B$2:$B$60="LOT-07")*($A175&gt;=Taches!$H$2:$H$60)*((($A175-Taches!$H$2:$H$60+1)&gt;=Taches!$E$2:$E$60)+(($A175-Taches!$H$2:$H$60+1)&lt;Taches!$E$2:$E$60)*($A175-Taches!$H$2:$H$60+1)/Taches!$E$2:$E$60)*Taches!$G$2:$G$60),0)</f>
        <v>0</v>
      </c>
      <c r="I175" s="0" t="n">
        <f aca="false">ROUND(SUMPRODUCT((Taches!$B$2:$B$60="LOT-08")*($A175&gt;=Taches!$H$2:$H$60)*((($A175-Taches!$H$2:$H$60+1)&gt;=Taches!$E$2:$E$60)+(($A175-Taches!$H$2:$H$60+1)&lt;Taches!$E$2:$E$60)*($A175-Taches!$H$2:$H$60+1)/Taches!$E$2:$E$60)*Taches!$G$2:$G$60),0)</f>
        <v>0</v>
      </c>
      <c r="J175" s="0" t="n">
        <f aca="false">SUM(B175:I175)</f>
        <v>407443055</v>
      </c>
    </row>
    <row r="176" customFormat="false" ht="15" hidden="false" customHeight="false" outlineLevel="0" collapsed="false">
      <c r="A176" s="0" t="n">
        <v>174</v>
      </c>
      <c r="B176" s="0" t="n">
        <f aca="false">ROUND(SUMPRODUCT((Taches!$B$2:$B$60="LOT-01")*($A176&gt;=Taches!$H$2:$H$60)*((($A176-Taches!$H$2:$H$60+1)&gt;=Taches!$E$2:$E$60)+(($A176-Taches!$H$2:$H$60+1)&lt;Taches!$E$2:$E$60)*($A176-Taches!$H$2:$H$60+1)/Taches!$E$2:$E$60)*Taches!$G$2:$G$60),0)</f>
        <v>55890000</v>
      </c>
      <c r="C176" s="0" t="n">
        <f aca="false">ROUND(SUMPRODUCT((Taches!$B$2:$B$60="LOT-02")*($A176&gt;=Taches!$H$2:$H$60)*((($A176-Taches!$H$2:$H$60+1)&gt;=Taches!$E$2:$E$60)+(($A176-Taches!$H$2:$H$60+1)&lt;Taches!$E$2:$E$60)*($A176-Taches!$H$2:$H$60+1)/Taches!$E$2:$E$60)*Taches!$G$2:$G$60),0)</f>
        <v>86960400</v>
      </c>
      <c r="D176" s="0" t="n">
        <f aca="false">ROUND(SUMPRODUCT((Taches!$B$2:$B$60="LOT-03")*($A176&gt;=Taches!$H$2:$H$60)*((($A176-Taches!$H$2:$H$60+1)&gt;=Taches!$E$2:$E$60)+(($A176-Taches!$H$2:$H$60+1)&lt;Taches!$E$2:$E$60)*($A176-Taches!$H$2:$H$60+1)/Taches!$E$2:$E$60)*Taches!$G$2:$G$60),0)</f>
        <v>111116000</v>
      </c>
      <c r="E176" s="0" t="n">
        <f aca="false">ROUND(SUMPRODUCT((Taches!$B$2:$B$60="LOT-04")*($A176&gt;=Taches!$H$2:$H$60)*((($A176-Taches!$H$2:$H$60+1)&gt;=Taches!$E$2:$E$60)+(($A176-Taches!$H$2:$H$60+1)&lt;Taches!$E$2:$E$60)*($A176-Taches!$H$2:$H$60+1)/Taches!$E$2:$E$60)*Taches!$G$2:$G$60),0)</f>
        <v>155577595</v>
      </c>
      <c r="F176" s="0" t="n">
        <f aca="false">ROUND(SUMPRODUCT((Taches!$B$2:$B$60="LOT-05")*($A176&gt;=Taches!$H$2:$H$60)*((($A176-Taches!$H$2:$H$60+1)&gt;=Taches!$E$2:$E$60)+(($A176-Taches!$H$2:$H$60+1)&lt;Taches!$E$2:$E$60)*($A176-Taches!$H$2:$H$60+1)/Taches!$E$2:$E$60)*Taches!$G$2:$G$60),0)</f>
        <v>0</v>
      </c>
      <c r="G176" s="0" t="n">
        <f aca="false">ROUND(SUMPRODUCT((Taches!$B$2:$B$60="LOT-06")*($A176&gt;=Taches!$H$2:$H$60)*((($A176-Taches!$H$2:$H$60+1)&gt;=Taches!$E$2:$E$60)+(($A176-Taches!$H$2:$H$60+1)&lt;Taches!$E$2:$E$60)*($A176-Taches!$H$2:$H$60+1)/Taches!$E$2:$E$60)*Taches!$G$2:$G$60),0)</f>
        <v>2218200</v>
      </c>
      <c r="H176" s="0" t="n">
        <f aca="false">ROUND(SUMPRODUCT((Taches!$B$2:$B$60="LOT-07")*($A176&gt;=Taches!$H$2:$H$60)*((($A176-Taches!$H$2:$H$60+1)&gt;=Taches!$E$2:$E$60)+(($A176-Taches!$H$2:$H$60+1)&lt;Taches!$E$2:$E$60)*($A176-Taches!$H$2:$H$60+1)/Taches!$E$2:$E$60)*Taches!$G$2:$G$60),0)</f>
        <v>0</v>
      </c>
      <c r="I176" s="0" t="n">
        <f aca="false">ROUND(SUMPRODUCT((Taches!$B$2:$B$60="LOT-08")*($A176&gt;=Taches!$H$2:$H$60)*((($A176-Taches!$H$2:$H$60+1)&gt;=Taches!$E$2:$E$60)+(($A176-Taches!$H$2:$H$60+1)&lt;Taches!$E$2:$E$60)*($A176-Taches!$H$2:$H$60+1)/Taches!$E$2:$E$60)*Taches!$G$2:$G$60),0)</f>
        <v>0</v>
      </c>
      <c r="J176" s="0" t="n">
        <f aca="false">SUM(B176:I176)</f>
        <v>411762195</v>
      </c>
    </row>
    <row r="177" customFormat="false" ht="15" hidden="false" customHeight="false" outlineLevel="0" collapsed="false">
      <c r="A177" s="0" t="n">
        <v>175</v>
      </c>
      <c r="B177" s="0" t="n">
        <f aca="false">ROUND(SUMPRODUCT((Taches!$B$2:$B$60="LOT-01")*($A177&gt;=Taches!$H$2:$H$60)*((($A177-Taches!$H$2:$H$60+1)&gt;=Taches!$E$2:$E$60)+(($A177-Taches!$H$2:$H$60+1)&lt;Taches!$E$2:$E$60)*($A177-Taches!$H$2:$H$60+1)/Taches!$E$2:$E$60)*Taches!$G$2:$G$60),0)</f>
        <v>55890000</v>
      </c>
      <c r="C177" s="0" t="n">
        <f aca="false">ROUND(SUMPRODUCT((Taches!$B$2:$B$60="LOT-02")*($A177&gt;=Taches!$H$2:$H$60)*((($A177-Taches!$H$2:$H$60+1)&gt;=Taches!$E$2:$E$60)+(($A177-Taches!$H$2:$H$60+1)&lt;Taches!$E$2:$E$60)*($A177-Taches!$H$2:$H$60+1)/Taches!$E$2:$E$60)*Taches!$G$2:$G$60),0)</f>
        <v>86960400</v>
      </c>
      <c r="D177" s="0" t="n">
        <f aca="false">ROUND(SUMPRODUCT((Taches!$B$2:$B$60="LOT-03")*($A177&gt;=Taches!$H$2:$H$60)*((($A177-Taches!$H$2:$H$60+1)&gt;=Taches!$E$2:$E$60)+(($A177-Taches!$H$2:$H$60+1)&lt;Taches!$E$2:$E$60)*($A177-Taches!$H$2:$H$60+1)/Taches!$E$2:$E$60)*Taches!$G$2:$G$60),0)</f>
        <v>111116000</v>
      </c>
      <c r="E177" s="0" t="n">
        <f aca="false">ROUND(SUMPRODUCT((Taches!$B$2:$B$60="LOT-04")*($A177&gt;=Taches!$H$2:$H$60)*((($A177-Taches!$H$2:$H$60+1)&gt;=Taches!$E$2:$E$60)+(($A177-Taches!$H$2:$H$60+1)&lt;Taches!$E$2:$E$60)*($A177-Taches!$H$2:$H$60+1)/Taches!$E$2:$E$60)*Taches!$G$2:$G$60),0)</f>
        <v>159157335</v>
      </c>
      <c r="F177" s="0" t="n">
        <f aca="false">ROUND(SUMPRODUCT((Taches!$B$2:$B$60="LOT-05")*($A177&gt;=Taches!$H$2:$H$60)*((($A177-Taches!$H$2:$H$60+1)&gt;=Taches!$E$2:$E$60)+(($A177-Taches!$H$2:$H$60+1)&lt;Taches!$E$2:$E$60)*($A177-Taches!$H$2:$H$60+1)/Taches!$E$2:$E$60)*Taches!$G$2:$G$60),0)</f>
        <v>0</v>
      </c>
      <c r="G177" s="0" t="n">
        <f aca="false">ROUND(SUMPRODUCT((Taches!$B$2:$B$60="LOT-06")*($A177&gt;=Taches!$H$2:$H$60)*((($A177-Taches!$H$2:$H$60+1)&gt;=Taches!$E$2:$E$60)+(($A177-Taches!$H$2:$H$60+1)&lt;Taches!$E$2:$E$60)*($A177-Taches!$H$2:$H$60+1)/Taches!$E$2:$E$60)*Taches!$G$2:$G$60),0)</f>
        <v>2957600</v>
      </c>
      <c r="H177" s="0" t="n">
        <f aca="false">ROUND(SUMPRODUCT((Taches!$B$2:$B$60="LOT-07")*($A177&gt;=Taches!$H$2:$H$60)*((($A177-Taches!$H$2:$H$60+1)&gt;=Taches!$E$2:$E$60)+(($A177-Taches!$H$2:$H$60+1)&lt;Taches!$E$2:$E$60)*($A177-Taches!$H$2:$H$60+1)/Taches!$E$2:$E$60)*Taches!$G$2:$G$60),0)</f>
        <v>0</v>
      </c>
      <c r="I177" s="0" t="n">
        <f aca="false">ROUND(SUMPRODUCT((Taches!$B$2:$B$60="LOT-08")*($A177&gt;=Taches!$H$2:$H$60)*((($A177-Taches!$H$2:$H$60+1)&gt;=Taches!$E$2:$E$60)+(($A177-Taches!$H$2:$H$60+1)&lt;Taches!$E$2:$E$60)*($A177-Taches!$H$2:$H$60+1)/Taches!$E$2:$E$60)*Taches!$G$2:$G$60),0)</f>
        <v>0</v>
      </c>
      <c r="J177" s="0" t="n">
        <f aca="false">SUM(B177:I177)</f>
        <v>416081335</v>
      </c>
    </row>
    <row r="178" customFormat="false" ht="15" hidden="false" customHeight="false" outlineLevel="0" collapsed="false">
      <c r="A178" s="0" t="n">
        <v>176</v>
      </c>
      <c r="B178" s="0" t="n">
        <f aca="false">ROUND(SUMPRODUCT((Taches!$B$2:$B$60="LOT-01")*($A178&gt;=Taches!$H$2:$H$60)*((($A178-Taches!$H$2:$H$60+1)&gt;=Taches!$E$2:$E$60)+(($A178-Taches!$H$2:$H$60+1)&lt;Taches!$E$2:$E$60)*($A178-Taches!$H$2:$H$60+1)/Taches!$E$2:$E$60)*Taches!$G$2:$G$60),0)</f>
        <v>55890000</v>
      </c>
      <c r="C178" s="0" t="n">
        <f aca="false">ROUND(SUMPRODUCT((Taches!$B$2:$B$60="LOT-02")*($A178&gt;=Taches!$H$2:$H$60)*((($A178-Taches!$H$2:$H$60+1)&gt;=Taches!$E$2:$E$60)+(($A178-Taches!$H$2:$H$60+1)&lt;Taches!$E$2:$E$60)*($A178-Taches!$H$2:$H$60+1)/Taches!$E$2:$E$60)*Taches!$G$2:$G$60),0)</f>
        <v>86960400</v>
      </c>
      <c r="D178" s="0" t="n">
        <f aca="false">ROUND(SUMPRODUCT((Taches!$B$2:$B$60="LOT-03")*($A178&gt;=Taches!$H$2:$H$60)*((($A178-Taches!$H$2:$H$60+1)&gt;=Taches!$E$2:$E$60)+(($A178-Taches!$H$2:$H$60+1)&lt;Taches!$E$2:$E$60)*($A178-Taches!$H$2:$H$60+1)/Taches!$E$2:$E$60)*Taches!$G$2:$G$60),0)</f>
        <v>111116000</v>
      </c>
      <c r="E178" s="0" t="n">
        <f aca="false">ROUND(SUMPRODUCT((Taches!$B$2:$B$60="LOT-04")*($A178&gt;=Taches!$H$2:$H$60)*((($A178-Taches!$H$2:$H$60+1)&gt;=Taches!$E$2:$E$60)+(($A178-Taches!$H$2:$H$60+1)&lt;Taches!$E$2:$E$60)*($A178-Taches!$H$2:$H$60+1)/Taches!$E$2:$E$60)*Taches!$G$2:$G$60),0)</f>
        <v>162737076</v>
      </c>
      <c r="F178" s="0" t="n">
        <f aca="false">ROUND(SUMPRODUCT((Taches!$B$2:$B$60="LOT-05")*($A178&gt;=Taches!$H$2:$H$60)*((($A178-Taches!$H$2:$H$60+1)&gt;=Taches!$E$2:$E$60)+(($A178-Taches!$H$2:$H$60+1)&lt;Taches!$E$2:$E$60)*($A178-Taches!$H$2:$H$60+1)/Taches!$E$2:$E$60)*Taches!$G$2:$G$60),0)</f>
        <v>0</v>
      </c>
      <c r="G178" s="0" t="n">
        <f aca="false">ROUND(SUMPRODUCT((Taches!$B$2:$B$60="LOT-06")*($A178&gt;=Taches!$H$2:$H$60)*((($A178-Taches!$H$2:$H$60+1)&gt;=Taches!$E$2:$E$60)+(($A178-Taches!$H$2:$H$60+1)&lt;Taches!$E$2:$E$60)*($A178-Taches!$H$2:$H$60+1)/Taches!$E$2:$E$60)*Taches!$G$2:$G$60),0)</f>
        <v>3697000</v>
      </c>
      <c r="H178" s="0" t="n">
        <f aca="false">ROUND(SUMPRODUCT((Taches!$B$2:$B$60="LOT-07")*($A178&gt;=Taches!$H$2:$H$60)*((($A178-Taches!$H$2:$H$60+1)&gt;=Taches!$E$2:$E$60)+(($A178-Taches!$H$2:$H$60+1)&lt;Taches!$E$2:$E$60)*($A178-Taches!$H$2:$H$60+1)/Taches!$E$2:$E$60)*Taches!$G$2:$G$60),0)</f>
        <v>0</v>
      </c>
      <c r="I178" s="0" t="n">
        <f aca="false">ROUND(SUMPRODUCT((Taches!$B$2:$B$60="LOT-08")*($A178&gt;=Taches!$H$2:$H$60)*((($A178-Taches!$H$2:$H$60+1)&gt;=Taches!$E$2:$E$60)+(($A178-Taches!$H$2:$H$60+1)&lt;Taches!$E$2:$E$60)*($A178-Taches!$H$2:$H$60+1)/Taches!$E$2:$E$60)*Taches!$G$2:$G$60),0)</f>
        <v>0</v>
      </c>
      <c r="J178" s="0" t="n">
        <f aca="false">SUM(B178:I178)</f>
        <v>420400476</v>
      </c>
    </row>
    <row r="179" customFormat="false" ht="15" hidden="false" customHeight="false" outlineLevel="0" collapsed="false">
      <c r="A179" s="0" t="n">
        <v>177</v>
      </c>
      <c r="B179" s="0" t="n">
        <f aca="false">ROUND(SUMPRODUCT((Taches!$B$2:$B$60="LOT-01")*($A179&gt;=Taches!$H$2:$H$60)*((($A179-Taches!$H$2:$H$60+1)&gt;=Taches!$E$2:$E$60)+(($A179-Taches!$H$2:$H$60+1)&lt;Taches!$E$2:$E$60)*($A179-Taches!$H$2:$H$60+1)/Taches!$E$2:$E$60)*Taches!$G$2:$G$60),0)</f>
        <v>55890000</v>
      </c>
      <c r="C179" s="0" t="n">
        <f aca="false">ROUND(SUMPRODUCT((Taches!$B$2:$B$60="LOT-02")*($A179&gt;=Taches!$H$2:$H$60)*((($A179-Taches!$H$2:$H$60+1)&gt;=Taches!$E$2:$E$60)+(($A179-Taches!$H$2:$H$60+1)&lt;Taches!$E$2:$E$60)*($A179-Taches!$H$2:$H$60+1)/Taches!$E$2:$E$60)*Taches!$G$2:$G$60),0)</f>
        <v>86960400</v>
      </c>
      <c r="D179" s="0" t="n">
        <f aca="false">ROUND(SUMPRODUCT((Taches!$B$2:$B$60="LOT-03")*($A179&gt;=Taches!$H$2:$H$60)*((($A179-Taches!$H$2:$H$60+1)&gt;=Taches!$E$2:$E$60)+(($A179-Taches!$H$2:$H$60+1)&lt;Taches!$E$2:$E$60)*($A179-Taches!$H$2:$H$60+1)/Taches!$E$2:$E$60)*Taches!$G$2:$G$60),0)</f>
        <v>111116000</v>
      </c>
      <c r="E179" s="0" t="n">
        <f aca="false">ROUND(SUMPRODUCT((Taches!$B$2:$B$60="LOT-04")*($A179&gt;=Taches!$H$2:$H$60)*((($A179-Taches!$H$2:$H$60+1)&gt;=Taches!$E$2:$E$60)+(($A179-Taches!$H$2:$H$60+1)&lt;Taches!$E$2:$E$60)*($A179-Taches!$H$2:$H$60+1)/Taches!$E$2:$E$60)*Taches!$G$2:$G$60),0)</f>
        <v>166316816</v>
      </c>
      <c r="F179" s="0" t="n">
        <f aca="false">ROUND(SUMPRODUCT((Taches!$B$2:$B$60="LOT-05")*($A179&gt;=Taches!$H$2:$H$60)*((($A179-Taches!$H$2:$H$60+1)&gt;=Taches!$E$2:$E$60)+(($A179-Taches!$H$2:$H$60+1)&lt;Taches!$E$2:$E$60)*($A179-Taches!$H$2:$H$60+1)/Taches!$E$2:$E$60)*Taches!$G$2:$G$60),0)</f>
        <v>0</v>
      </c>
      <c r="G179" s="0" t="n">
        <f aca="false">ROUND(SUMPRODUCT((Taches!$B$2:$B$60="LOT-06")*($A179&gt;=Taches!$H$2:$H$60)*((($A179-Taches!$H$2:$H$60+1)&gt;=Taches!$E$2:$E$60)+(($A179-Taches!$H$2:$H$60+1)&lt;Taches!$E$2:$E$60)*($A179-Taches!$H$2:$H$60+1)/Taches!$E$2:$E$60)*Taches!$G$2:$G$60),0)</f>
        <v>4436400</v>
      </c>
      <c r="H179" s="0" t="n">
        <f aca="false">ROUND(SUMPRODUCT((Taches!$B$2:$B$60="LOT-07")*($A179&gt;=Taches!$H$2:$H$60)*((($A179-Taches!$H$2:$H$60+1)&gt;=Taches!$E$2:$E$60)+(($A179-Taches!$H$2:$H$60+1)&lt;Taches!$E$2:$E$60)*($A179-Taches!$H$2:$H$60+1)/Taches!$E$2:$E$60)*Taches!$G$2:$G$60),0)</f>
        <v>0</v>
      </c>
      <c r="I179" s="0" t="n">
        <f aca="false">ROUND(SUMPRODUCT((Taches!$B$2:$B$60="LOT-08")*($A179&gt;=Taches!$H$2:$H$60)*((($A179-Taches!$H$2:$H$60+1)&gt;=Taches!$E$2:$E$60)+(($A179-Taches!$H$2:$H$60+1)&lt;Taches!$E$2:$E$60)*($A179-Taches!$H$2:$H$60+1)/Taches!$E$2:$E$60)*Taches!$G$2:$G$60),0)</f>
        <v>0</v>
      </c>
      <c r="J179" s="0" t="n">
        <f aca="false">SUM(B179:I179)</f>
        <v>424719616</v>
      </c>
    </row>
    <row r="180" customFormat="false" ht="15" hidden="false" customHeight="false" outlineLevel="0" collapsed="false">
      <c r="A180" s="0" t="n">
        <v>178</v>
      </c>
      <c r="B180" s="0" t="n">
        <f aca="false">ROUND(SUMPRODUCT((Taches!$B$2:$B$60="LOT-01")*($A180&gt;=Taches!$H$2:$H$60)*((($A180-Taches!$H$2:$H$60+1)&gt;=Taches!$E$2:$E$60)+(($A180-Taches!$H$2:$H$60+1)&lt;Taches!$E$2:$E$60)*($A180-Taches!$H$2:$H$60+1)/Taches!$E$2:$E$60)*Taches!$G$2:$G$60),0)</f>
        <v>55890000</v>
      </c>
      <c r="C180" s="0" t="n">
        <f aca="false">ROUND(SUMPRODUCT((Taches!$B$2:$B$60="LOT-02")*($A180&gt;=Taches!$H$2:$H$60)*((($A180-Taches!$H$2:$H$60+1)&gt;=Taches!$E$2:$E$60)+(($A180-Taches!$H$2:$H$60+1)&lt;Taches!$E$2:$E$60)*($A180-Taches!$H$2:$H$60+1)/Taches!$E$2:$E$60)*Taches!$G$2:$G$60),0)</f>
        <v>86960400</v>
      </c>
      <c r="D180" s="0" t="n">
        <f aca="false">ROUND(SUMPRODUCT((Taches!$B$2:$B$60="LOT-03")*($A180&gt;=Taches!$H$2:$H$60)*((($A180-Taches!$H$2:$H$60+1)&gt;=Taches!$E$2:$E$60)+(($A180-Taches!$H$2:$H$60+1)&lt;Taches!$E$2:$E$60)*($A180-Taches!$H$2:$H$60+1)/Taches!$E$2:$E$60)*Taches!$G$2:$G$60),0)</f>
        <v>111116000</v>
      </c>
      <c r="E180" s="0" t="n">
        <f aca="false">ROUND(SUMPRODUCT((Taches!$B$2:$B$60="LOT-04")*($A180&gt;=Taches!$H$2:$H$60)*((($A180-Taches!$H$2:$H$60+1)&gt;=Taches!$E$2:$E$60)+(($A180-Taches!$H$2:$H$60+1)&lt;Taches!$E$2:$E$60)*($A180-Taches!$H$2:$H$60+1)/Taches!$E$2:$E$60)*Taches!$G$2:$G$60),0)</f>
        <v>169896556</v>
      </c>
      <c r="F180" s="0" t="n">
        <f aca="false">ROUND(SUMPRODUCT((Taches!$B$2:$B$60="LOT-05")*($A180&gt;=Taches!$H$2:$H$60)*((($A180-Taches!$H$2:$H$60+1)&gt;=Taches!$E$2:$E$60)+(($A180-Taches!$H$2:$H$60+1)&lt;Taches!$E$2:$E$60)*($A180-Taches!$H$2:$H$60+1)/Taches!$E$2:$E$60)*Taches!$G$2:$G$60),0)</f>
        <v>0</v>
      </c>
      <c r="G180" s="0" t="n">
        <f aca="false">ROUND(SUMPRODUCT((Taches!$B$2:$B$60="LOT-06")*($A180&gt;=Taches!$H$2:$H$60)*((($A180-Taches!$H$2:$H$60+1)&gt;=Taches!$E$2:$E$60)+(($A180-Taches!$H$2:$H$60+1)&lt;Taches!$E$2:$E$60)*($A180-Taches!$H$2:$H$60+1)/Taches!$E$2:$E$60)*Taches!$G$2:$G$60),0)</f>
        <v>5175800</v>
      </c>
      <c r="H180" s="0" t="n">
        <f aca="false">ROUND(SUMPRODUCT((Taches!$B$2:$B$60="LOT-07")*($A180&gt;=Taches!$H$2:$H$60)*((($A180-Taches!$H$2:$H$60+1)&gt;=Taches!$E$2:$E$60)+(($A180-Taches!$H$2:$H$60+1)&lt;Taches!$E$2:$E$60)*($A180-Taches!$H$2:$H$60+1)/Taches!$E$2:$E$60)*Taches!$G$2:$G$60),0)</f>
        <v>0</v>
      </c>
      <c r="I180" s="0" t="n">
        <f aca="false">ROUND(SUMPRODUCT((Taches!$B$2:$B$60="LOT-08")*($A180&gt;=Taches!$H$2:$H$60)*((($A180-Taches!$H$2:$H$60+1)&gt;=Taches!$E$2:$E$60)+(($A180-Taches!$H$2:$H$60+1)&lt;Taches!$E$2:$E$60)*($A180-Taches!$H$2:$H$60+1)/Taches!$E$2:$E$60)*Taches!$G$2:$G$60),0)</f>
        <v>0</v>
      </c>
      <c r="J180" s="0" t="n">
        <f aca="false">SUM(B180:I180)</f>
        <v>429038756</v>
      </c>
    </row>
    <row r="181" customFormat="false" ht="15" hidden="false" customHeight="false" outlineLevel="0" collapsed="false">
      <c r="A181" s="0" t="n">
        <v>179</v>
      </c>
      <c r="B181" s="0" t="n">
        <f aca="false">ROUND(SUMPRODUCT((Taches!$B$2:$B$60="LOT-01")*($A181&gt;=Taches!$H$2:$H$60)*((($A181-Taches!$H$2:$H$60+1)&gt;=Taches!$E$2:$E$60)+(($A181-Taches!$H$2:$H$60+1)&lt;Taches!$E$2:$E$60)*($A181-Taches!$H$2:$H$60+1)/Taches!$E$2:$E$60)*Taches!$G$2:$G$60),0)</f>
        <v>55890000</v>
      </c>
      <c r="C181" s="0" t="n">
        <f aca="false">ROUND(SUMPRODUCT((Taches!$B$2:$B$60="LOT-02")*($A181&gt;=Taches!$H$2:$H$60)*((($A181-Taches!$H$2:$H$60+1)&gt;=Taches!$E$2:$E$60)+(($A181-Taches!$H$2:$H$60+1)&lt;Taches!$E$2:$E$60)*($A181-Taches!$H$2:$H$60+1)/Taches!$E$2:$E$60)*Taches!$G$2:$G$60),0)</f>
        <v>86960400</v>
      </c>
      <c r="D181" s="0" t="n">
        <f aca="false">ROUND(SUMPRODUCT((Taches!$B$2:$B$60="LOT-03")*($A181&gt;=Taches!$H$2:$H$60)*((($A181-Taches!$H$2:$H$60+1)&gt;=Taches!$E$2:$E$60)+(($A181-Taches!$H$2:$H$60+1)&lt;Taches!$E$2:$E$60)*($A181-Taches!$H$2:$H$60+1)/Taches!$E$2:$E$60)*Taches!$G$2:$G$60),0)</f>
        <v>111116000</v>
      </c>
      <c r="E181" s="0" t="n">
        <f aca="false">ROUND(SUMPRODUCT((Taches!$B$2:$B$60="LOT-04")*($A181&gt;=Taches!$H$2:$H$60)*((($A181-Taches!$H$2:$H$60+1)&gt;=Taches!$E$2:$E$60)+(($A181-Taches!$H$2:$H$60+1)&lt;Taches!$E$2:$E$60)*($A181-Taches!$H$2:$H$60+1)/Taches!$E$2:$E$60)*Taches!$G$2:$G$60),0)</f>
        <v>173476296</v>
      </c>
      <c r="F181" s="0" t="n">
        <f aca="false">ROUND(SUMPRODUCT((Taches!$B$2:$B$60="LOT-05")*($A181&gt;=Taches!$H$2:$H$60)*((($A181-Taches!$H$2:$H$60+1)&gt;=Taches!$E$2:$E$60)+(($A181-Taches!$H$2:$H$60+1)&lt;Taches!$E$2:$E$60)*($A181-Taches!$H$2:$H$60+1)/Taches!$E$2:$E$60)*Taches!$G$2:$G$60),0)</f>
        <v>0</v>
      </c>
      <c r="G181" s="0" t="n">
        <f aca="false">ROUND(SUMPRODUCT((Taches!$B$2:$B$60="LOT-06")*($A181&gt;=Taches!$H$2:$H$60)*((($A181-Taches!$H$2:$H$60+1)&gt;=Taches!$E$2:$E$60)+(($A181-Taches!$H$2:$H$60+1)&lt;Taches!$E$2:$E$60)*($A181-Taches!$H$2:$H$60+1)/Taches!$E$2:$E$60)*Taches!$G$2:$G$60),0)</f>
        <v>5915200</v>
      </c>
      <c r="H181" s="0" t="n">
        <f aca="false">ROUND(SUMPRODUCT((Taches!$B$2:$B$60="LOT-07")*($A181&gt;=Taches!$H$2:$H$60)*((($A181-Taches!$H$2:$H$60+1)&gt;=Taches!$E$2:$E$60)+(($A181-Taches!$H$2:$H$60+1)&lt;Taches!$E$2:$E$60)*($A181-Taches!$H$2:$H$60+1)/Taches!$E$2:$E$60)*Taches!$G$2:$G$60),0)</f>
        <v>0</v>
      </c>
      <c r="I181" s="0" t="n">
        <f aca="false">ROUND(SUMPRODUCT((Taches!$B$2:$B$60="LOT-08")*($A181&gt;=Taches!$H$2:$H$60)*((($A181-Taches!$H$2:$H$60+1)&gt;=Taches!$E$2:$E$60)+(($A181-Taches!$H$2:$H$60+1)&lt;Taches!$E$2:$E$60)*($A181-Taches!$H$2:$H$60+1)/Taches!$E$2:$E$60)*Taches!$G$2:$G$60),0)</f>
        <v>0</v>
      </c>
      <c r="J181" s="0" t="n">
        <f aca="false">SUM(B181:I181)</f>
        <v>433357896</v>
      </c>
    </row>
    <row r="182" customFormat="false" ht="15" hidden="false" customHeight="false" outlineLevel="0" collapsed="false">
      <c r="A182" s="0" t="n">
        <v>180</v>
      </c>
      <c r="B182" s="0" t="n">
        <f aca="false">ROUND(SUMPRODUCT((Taches!$B$2:$B$60="LOT-01")*($A182&gt;=Taches!$H$2:$H$60)*((($A182-Taches!$H$2:$H$60+1)&gt;=Taches!$E$2:$E$60)+(($A182-Taches!$H$2:$H$60+1)&lt;Taches!$E$2:$E$60)*($A182-Taches!$H$2:$H$60+1)/Taches!$E$2:$E$60)*Taches!$G$2:$G$60),0)</f>
        <v>55890000</v>
      </c>
      <c r="C182" s="0" t="n">
        <f aca="false">ROUND(SUMPRODUCT((Taches!$B$2:$B$60="LOT-02")*($A182&gt;=Taches!$H$2:$H$60)*((($A182-Taches!$H$2:$H$60+1)&gt;=Taches!$E$2:$E$60)+(($A182-Taches!$H$2:$H$60+1)&lt;Taches!$E$2:$E$60)*($A182-Taches!$H$2:$H$60+1)/Taches!$E$2:$E$60)*Taches!$G$2:$G$60),0)</f>
        <v>86960400</v>
      </c>
      <c r="D182" s="0" t="n">
        <f aca="false">ROUND(SUMPRODUCT((Taches!$B$2:$B$60="LOT-03")*($A182&gt;=Taches!$H$2:$H$60)*((($A182-Taches!$H$2:$H$60+1)&gt;=Taches!$E$2:$E$60)+(($A182-Taches!$H$2:$H$60+1)&lt;Taches!$E$2:$E$60)*($A182-Taches!$H$2:$H$60+1)/Taches!$E$2:$E$60)*Taches!$G$2:$G$60),0)</f>
        <v>111116000</v>
      </c>
      <c r="E182" s="0" t="n">
        <f aca="false">ROUND(SUMPRODUCT((Taches!$B$2:$B$60="LOT-04")*($A182&gt;=Taches!$H$2:$H$60)*((($A182-Taches!$H$2:$H$60+1)&gt;=Taches!$E$2:$E$60)+(($A182-Taches!$H$2:$H$60+1)&lt;Taches!$E$2:$E$60)*($A182-Taches!$H$2:$H$60+1)/Taches!$E$2:$E$60)*Taches!$G$2:$G$60),0)</f>
        <v>177056036</v>
      </c>
      <c r="F182" s="0" t="n">
        <f aca="false">ROUND(SUMPRODUCT((Taches!$B$2:$B$60="LOT-05")*($A182&gt;=Taches!$H$2:$H$60)*((($A182-Taches!$H$2:$H$60+1)&gt;=Taches!$E$2:$E$60)+(($A182-Taches!$H$2:$H$60+1)&lt;Taches!$E$2:$E$60)*($A182-Taches!$H$2:$H$60+1)/Taches!$E$2:$E$60)*Taches!$G$2:$G$60),0)</f>
        <v>0</v>
      </c>
      <c r="G182" s="0" t="n">
        <f aca="false">ROUND(SUMPRODUCT((Taches!$B$2:$B$60="LOT-06")*($A182&gt;=Taches!$H$2:$H$60)*((($A182-Taches!$H$2:$H$60+1)&gt;=Taches!$E$2:$E$60)+(($A182-Taches!$H$2:$H$60+1)&lt;Taches!$E$2:$E$60)*($A182-Taches!$H$2:$H$60+1)/Taches!$E$2:$E$60)*Taches!$G$2:$G$60),0)</f>
        <v>6654600</v>
      </c>
      <c r="H182" s="0" t="n">
        <f aca="false">ROUND(SUMPRODUCT((Taches!$B$2:$B$60="LOT-07")*($A182&gt;=Taches!$H$2:$H$60)*((($A182-Taches!$H$2:$H$60+1)&gt;=Taches!$E$2:$E$60)+(($A182-Taches!$H$2:$H$60+1)&lt;Taches!$E$2:$E$60)*($A182-Taches!$H$2:$H$60+1)/Taches!$E$2:$E$60)*Taches!$G$2:$G$60),0)</f>
        <v>417231</v>
      </c>
      <c r="I182" s="0" t="n">
        <f aca="false">ROUND(SUMPRODUCT((Taches!$B$2:$B$60="LOT-08")*($A182&gt;=Taches!$H$2:$H$60)*((($A182-Taches!$H$2:$H$60+1)&gt;=Taches!$E$2:$E$60)+(($A182-Taches!$H$2:$H$60+1)&lt;Taches!$E$2:$E$60)*($A182-Taches!$H$2:$H$60+1)/Taches!$E$2:$E$60)*Taches!$G$2:$G$60),0)</f>
        <v>0</v>
      </c>
      <c r="J182" s="0" t="n">
        <f aca="false">SUM(B182:I182)</f>
        <v>438094267</v>
      </c>
    </row>
    <row r="183" customFormat="false" ht="15" hidden="false" customHeight="false" outlineLevel="0" collapsed="false">
      <c r="A183" s="0" t="n">
        <v>181</v>
      </c>
      <c r="B183" s="0" t="n">
        <f aca="false">ROUND(SUMPRODUCT((Taches!$B$2:$B$60="LOT-01")*($A183&gt;=Taches!$H$2:$H$60)*((($A183-Taches!$H$2:$H$60+1)&gt;=Taches!$E$2:$E$60)+(($A183-Taches!$H$2:$H$60+1)&lt;Taches!$E$2:$E$60)*($A183-Taches!$H$2:$H$60+1)/Taches!$E$2:$E$60)*Taches!$G$2:$G$60),0)</f>
        <v>55890000</v>
      </c>
      <c r="C183" s="0" t="n">
        <f aca="false">ROUND(SUMPRODUCT((Taches!$B$2:$B$60="LOT-02")*($A183&gt;=Taches!$H$2:$H$60)*((($A183-Taches!$H$2:$H$60+1)&gt;=Taches!$E$2:$E$60)+(($A183-Taches!$H$2:$H$60+1)&lt;Taches!$E$2:$E$60)*($A183-Taches!$H$2:$H$60+1)/Taches!$E$2:$E$60)*Taches!$G$2:$G$60),0)</f>
        <v>86960400</v>
      </c>
      <c r="D183" s="0" t="n">
        <f aca="false">ROUND(SUMPRODUCT((Taches!$B$2:$B$60="LOT-03")*($A183&gt;=Taches!$H$2:$H$60)*((($A183-Taches!$H$2:$H$60+1)&gt;=Taches!$E$2:$E$60)+(($A183-Taches!$H$2:$H$60+1)&lt;Taches!$E$2:$E$60)*($A183-Taches!$H$2:$H$60+1)/Taches!$E$2:$E$60)*Taches!$G$2:$G$60),0)</f>
        <v>111116000</v>
      </c>
      <c r="E183" s="0" t="n">
        <f aca="false">ROUND(SUMPRODUCT((Taches!$B$2:$B$60="LOT-04")*($A183&gt;=Taches!$H$2:$H$60)*((($A183-Taches!$H$2:$H$60+1)&gt;=Taches!$E$2:$E$60)+(($A183-Taches!$H$2:$H$60+1)&lt;Taches!$E$2:$E$60)*($A183-Taches!$H$2:$H$60+1)/Taches!$E$2:$E$60)*Taches!$G$2:$G$60),0)</f>
        <v>180635776</v>
      </c>
      <c r="F183" s="0" t="n">
        <f aca="false">ROUND(SUMPRODUCT((Taches!$B$2:$B$60="LOT-05")*($A183&gt;=Taches!$H$2:$H$60)*((($A183-Taches!$H$2:$H$60+1)&gt;=Taches!$E$2:$E$60)+(($A183-Taches!$H$2:$H$60+1)&lt;Taches!$E$2:$E$60)*($A183-Taches!$H$2:$H$60+1)/Taches!$E$2:$E$60)*Taches!$G$2:$G$60),0)</f>
        <v>0</v>
      </c>
      <c r="G183" s="0" t="n">
        <f aca="false">ROUND(SUMPRODUCT((Taches!$B$2:$B$60="LOT-06")*($A183&gt;=Taches!$H$2:$H$60)*((($A183-Taches!$H$2:$H$60+1)&gt;=Taches!$E$2:$E$60)+(($A183-Taches!$H$2:$H$60+1)&lt;Taches!$E$2:$E$60)*($A183-Taches!$H$2:$H$60+1)/Taches!$E$2:$E$60)*Taches!$G$2:$G$60),0)</f>
        <v>7394000</v>
      </c>
      <c r="H183" s="0" t="n">
        <f aca="false">ROUND(SUMPRODUCT((Taches!$B$2:$B$60="LOT-07")*($A183&gt;=Taches!$H$2:$H$60)*((($A183-Taches!$H$2:$H$60+1)&gt;=Taches!$E$2:$E$60)+(($A183-Taches!$H$2:$H$60+1)&lt;Taches!$E$2:$E$60)*($A183-Taches!$H$2:$H$60+1)/Taches!$E$2:$E$60)*Taches!$G$2:$G$60),0)</f>
        <v>834462</v>
      </c>
      <c r="I183" s="0" t="n">
        <f aca="false">ROUND(SUMPRODUCT((Taches!$B$2:$B$60="LOT-08")*($A183&gt;=Taches!$H$2:$H$60)*((($A183-Taches!$H$2:$H$60+1)&gt;=Taches!$E$2:$E$60)+(($A183-Taches!$H$2:$H$60+1)&lt;Taches!$E$2:$E$60)*($A183-Taches!$H$2:$H$60+1)/Taches!$E$2:$E$60)*Taches!$G$2:$G$60),0)</f>
        <v>0</v>
      </c>
      <c r="J183" s="0" t="n">
        <f aca="false">SUM(B183:I183)</f>
        <v>442830638</v>
      </c>
    </row>
    <row r="184" customFormat="false" ht="15" hidden="false" customHeight="false" outlineLevel="0" collapsed="false">
      <c r="A184" s="0" t="n">
        <v>182</v>
      </c>
      <c r="B184" s="0" t="n">
        <f aca="false">ROUND(SUMPRODUCT((Taches!$B$2:$B$60="LOT-01")*($A184&gt;=Taches!$H$2:$H$60)*((($A184-Taches!$H$2:$H$60+1)&gt;=Taches!$E$2:$E$60)+(($A184-Taches!$H$2:$H$60+1)&lt;Taches!$E$2:$E$60)*($A184-Taches!$H$2:$H$60+1)/Taches!$E$2:$E$60)*Taches!$G$2:$G$60),0)</f>
        <v>55890000</v>
      </c>
      <c r="C184" s="0" t="n">
        <f aca="false">ROUND(SUMPRODUCT((Taches!$B$2:$B$60="LOT-02")*($A184&gt;=Taches!$H$2:$H$60)*((($A184-Taches!$H$2:$H$60+1)&gt;=Taches!$E$2:$E$60)+(($A184-Taches!$H$2:$H$60+1)&lt;Taches!$E$2:$E$60)*($A184-Taches!$H$2:$H$60+1)/Taches!$E$2:$E$60)*Taches!$G$2:$G$60),0)</f>
        <v>86960400</v>
      </c>
      <c r="D184" s="0" t="n">
        <f aca="false">ROUND(SUMPRODUCT((Taches!$B$2:$B$60="LOT-03")*($A184&gt;=Taches!$H$2:$H$60)*((($A184-Taches!$H$2:$H$60+1)&gt;=Taches!$E$2:$E$60)+(($A184-Taches!$H$2:$H$60+1)&lt;Taches!$E$2:$E$60)*($A184-Taches!$H$2:$H$60+1)/Taches!$E$2:$E$60)*Taches!$G$2:$G$60),0)</f>
        <v>111116000</v>
      </c>
      <c r="E184" s="0" t="n">
        <f aca="false">ROUND(SUMPRODUCT((Taches!$B$2:$B$60="LOT-04")*($A184&gt;=Taches!$H$2:$H$60)*((($A184-Taches!$H$2:$H$60+1)&gt;=Taches!$E$2:$E$60)+(($A184-Taches!$H$2:$H$60+1)&lt;Taches!$E$2:$E$60)*($A184-Taches!$H$2:$H$60+1)/Taches!$E$2:$E$60)*Taches!$G$2:$G$60),0)</f>
        <v>183072683</v>
      </c>
      <c r="F184" s="0" t="n">
        <f aca="false">ROUND(SUMPRODUCT((Taches!$B$2:$B$60="LOT-05")*($A184&gt;=Taches!$H$2:$H$60)*((($A184-Taches!$H$2:$H$60+1)&gt;=Taches!$E$2:$E$60)+(($A184-Taches!$H$2:$H$60+1)&lt;Taches!$E$2:$E$60)*($A184-Taches!$H$2:$H$60+1)/Taches!$E$2:$E$60)*Taches!$G$2:$G$60),0)</f>
        <v>0</v>
      </c>
      <c r="G184" s="0" t="n">
        <f aca="false">ROUND(SUMPRODUCT((Taches!$B$2:$B$60="LOT-06")*($A184&gt;=Taches!$H$2:$H$60)*((($A184-Taches!$H$2:$H$60+1)&gt;=Taches!$E$2:$E$60)+(($A184-Taches!$H$2:$H$60+1)&lt;Taches!$E$2:$E$60)*($A184-Taches!$H$2:$H$60+1)/Taches!$E$2:$E$60)*Taches!$G$2:$G$60),0)</f>
        <v>8133400</v>
      </c>
      <c r="H184" s="0" t="n">
        <f aca="false">ROUND(SUMPRODUCT((Taches!$B$2:$B$60="LOT-07")*($A184&gt;=Taches!$H$2:$H$60)*((($A184-Taches!$H$2:$H$60+1)&gt;=Taches!$E$2:$E$60)+(($A184-Taches!$H$2:$H$60+1)&lt;Taches!$E$2:$E$60)*($A184-Taches!$H$2:$H$60+1)/Taches!$E$2:$E$60)*Taches!$G$2:$G$60),0)</f>
        <v>1251692</v>
      </c>
      <c r="I184" s="0" t="n">
        <f aca="false">ROUND(SUMPRODUCT((Taches!$B$2:$B$60="LOT-08")*($A184&gt;=Taches!$H$2:$H$60)*((($A184-Taches!$H$2:$H$60+1)&gt;=Taches!$E$2:$E$60)+(($A184-Taches!$H$2:$H$60+1)&lt;Taches!$E$2:$E$60)*($A184-Taches!$H$2:$H$60+1)/Taches!$E$2:$E$60)*Taches!$G$2:$G$60),0)</f>
        <v>0</v>
      </c>
      <c r="J184" s="0" t="n">
        <f aca="false">SUM(B184:I184)</f>
        <v>446424175</v>
      </c>
    </row>
    <row r="185" customFormat="false" ht="15" hidden="false" customHeight="false" outlineLevel="0" collapsed="false">
      <c r="A185" s="0" t="n">
        <v>183</v>
      </c>
      <c r="B185" s="0" t="n">
        <f aca="false">ROUND(SUMPRODUCT((Taches!$B$2:$B$60="LOT-01")*($A185&gt;=Taches!$H$2:$H$60)*((($A185-Taches!$H$2:$H$60+1)&gt;=Taches!$E$2:$E$60)+(($A185-Taches!$H$2:$H$60+1)&lt;Taches!$E$2:$E$60)*($A185-Taches!$H$2:$H$60+1)/Taches!$E$2:$E$60)*Taches!$G$2:$G$60),0)</f>
        <v>55890000</v>
      </c>
      <c r="C185" s="0" t="n">
        <f aca="false">ROUND(SUMPRODUCT((Taches!$B$2:$B$60="LOT-02")*($A185&gt;=Taches!$H$2:$H$60)*((($A185-Taches!$H$2:$H$60+1)&gt;=Taches!$E$2:$E$60)+(($A185-Taches!$H$2:$H$60+1)&lt;Taches!$E$2:$E$60)*($A185-Taches!$H$2:$H$60+1)/Taches!$E$2:$E$60)*Taches!$G$2:$G$60),0)</f>
        <v>86960400</v>
      </c>
      <c r="D185" s="0" t="n">
        <f aca="false">ROUND(SUMPRODUCT((Taches!$B$2:$B$60="LOT-03")*($A185&gt;=Taches!$H$2:$H$60)*((($A185-Taches!$H$2:$H$60+1)&gt;=Taches!$E$2:$E$60)+(($A185-Taches!$H$2:$H$60+1)&lt;Taches!$E$2:$E$60)*($A185-Taches!$H$2:$H$60+1)/Taches!$E$2:$E$60)*Taches!$G$2:$G$60),0)</f>
        <v>111116000</v>
      </c>
      <c r="E185" s="0" t="n">
        <f aca="false">ROUND(SUMPRODUCT((Taches!$B$2:$B$60="LOT-04")*($A185&gt;=Taches!$H$2:$H$60)*((($A185-Taches!$H$2:$H$60+1)&gt;=Taches!$E$2:$E$60)+(($A185-Taches!$H$2:$H$60+1)&lt;Taches!$E$2:$E$60)*($A185-Taches!$H$2:$H$60+1)/Taches!$E$2:$E$60)*Taches!$G$2:$G$60),0)</f>
        <v>185509590</v>
      </c>
      <c r="F185" s="0" t="n">
        <f aca="false">ROUND(SUMPRODUCT((Taches!$B$2:$B$60="LOT-05")*($A185&gt;=Taches!$H$2:$H$60)*((($A185-Taches!$H$2:$H$60+1)&gt;=Taches!$E$2:$E$60)+(($A185-Taches!$H$2:$H$60+1)&lt;Taches!$E$2:$E$60)*($A185-Taches!$H$2:$H$60+1)/Taches!$E$2:$E$60)*Taches!$G$2:$G$60),0)</f>
        <v>0</v>
      </c>
      <c r="G185" s="0" t="n">
        <f aca="false">ROUND(SUMPRODUCT((Taches!$B$2:$B$60="LOT-06")*($A185&gt;=Taches!$H$2:$H$60)*((($A185-Taches!$H$2:$H$60+1)&gt;=Taches!$E$2:$E$60)+(($A185-Taches!$H$2:$H$60+1)&lt;Taches!$E$2:$E$60)*($A185-Taches!$H$2:$H$60+1)/Taches!$E$2:$E$60)*Taches!$G$2:$G$60),0)</f>
        <v>8872800</v>
      </c>
      <c r="H185" s="0" t="n">
        <f aca="false">ROUND(SUMPRODUCT((Taches!$B$2:$B$60="LOT-07")*($A185&gt;=Taches!$H$2:$H$60)*((($A185-Taches!$H$2:$H$60+1)&gt;=Taches!$E$2:$E$60)+(($A185-Taches!$H$2:$H$60+1)&lt;Taches!$E$2:$E$60)*($A185-Taches!$H$2:$H$60+1)/Taches!$E$2:$E$60)*Taches!$G$2:$G$60),0)</f>
        <v>1668923</v>
      </c>
      <c r="I185" s="0" t="n">
        <f aca="false">ROUND(SUMPRODUCT((Taches!$B$2:$B$60="LOT-08")*($A185&gt;=Taches!$H$2:$H$60)*((($A185-Taches!$H$2:$H$60+1)&gt;=Taches!$E$2:$E$60)+(($A185-Taches!$H$2:$H$60+1)&lt;Taches!$E$2:$E$60)*($A185-Taches!$H$2:$H$60+1)/Taches!$E$2:$E$60)*Taches!$G$2:$G$60),0)</f>
        <v>0</v>
      </c>
      <c r="J185" s="0" t="n">
        <f aca="false">SUM(B185:I185)</f>
        <v>450017713</v>
      </c>
    </row>
    <row r="186" customFormat="false" ht="15" hidden="false" customHeight="false" outlineLevel="0" collapsed="false">
      <c r="A186" s="0" t="n">
        <v>184</v>
      </c>
      <c r="B186" s="0" t="n">
        <f aca="false">ROUND(SUMPRODUCT((Taches!$B$2:$B$60="LOT-01")*($A186&gt;=Taches!$H$2:$H$60)*((($A186-Taches!$H$2:$H$60+1)&gt;=Taches!$E$2:$E$60)+(($A186-Taches!$H$2:$H$60+1)&lt;Taches!$E$2:$E$60)*($A186-Taches!$H$2:$H$60+1)/Taches!$E$2:$E$60)*Taches!$G$2:$G$60),0)</f>
        <v>55890000</v>
      </c>
      <c r="C186" s="0" t="n">
        <f aca="false">ROUND(SUMPRODUCT((Taches!$B$2:$B$60="LOT-02")*($A186&gt;=Taches!$H$2:$H$60)*((($A186-Taches!$H$2:$H$60+1)&gt;=Taches!$E$2:$E$60)+(($A186-Taches!$H$2:$H$60+1)&lt;Taches!$E$2:$E$60)*($A186-Taches!$H$2:$H$60+1)/Taches!$E$2:$E$60)*Taches!$G$2:$G$60),0)</f>
        <v>86960400</v>
      </c>
      <c r="D186" s="0" t="n">
        <f aca="false">ROUND(SUMPRODUCT((Taches!$B$2:$B$60="LOT-03")*($A186&gt;=Taches!$H$2:$H$60)*((($A186-Taches!$H$2:$H$60+1)&gt;=Taches!$E$2:$E$60)+(($A186-Taches!$H$2:$H$60+1)&lt;Taches!$E$2:$E$60)*($A186-Taches!$H$2:$H$60+1)/Taches!$E$2:$E$60)*Taches!$G$2:$G$60),0)</f>
        <v>111116000</v>
      </c>
      <c r="E186" s="0" t="n">
        <f aca="false">ROUND(SUMPRODUCT((Taches!$B$2:$B$60="LOT-04")*($A186&gt;=Taches!$H$2:$H$60)*((($A186-Taches!$H$2:$H$60+1)&gt;=Taches!$E$2:$E$60)+(($A186-Taches!$H$2:$H$60+1)&lt;Taches!$E$2:$E$60)*($A186-Taches!$H$2:$H$60+1)/Taches!$E$2:$E$60)*Taches!$G$2:$G$60),0)</f>
        <v>187946497</v>
      </c>
      <c r="F186" s="0" t="n">
        <f aca="false">ROUND(SUMPRODUCT((Taches!$B$2:$B$60="LOT-05")*($A186&gt;=Taches!$H$2:$H$60)*((($A186-Taches!$H$2:$H$60+1)&gt;=Taches!$E$2:$E$60)+(($A186-Taches!$H$2:$H$60+1)&lt;Taches!$E$2:$E$60)*($A186-Taches!$H$2:$H$60+1)/Taches!$E$2:$E$60)*Taches!$G$2:$G$60),0)</f>
        <v>0</v>
      </c>
      <c r="G186" s="0" t="n">
        <f aca="false">ROUND(SUMPRODUCT((Taches!$B$2:$B$60="LOT-06")*($A186&gt;=Taches!$H$2:$H$60)*((($A186-Taches!$H$2:$H$60+1)&gt;=Taches!$E$2:$E$60)+(($A186-Taches!$H$2:$H$60+1)&lt;Taches!$E$2:$E$60)*($A186-Taches!$H$2:$H$60+1)/Taches!$E$2:$E$60)*Taches!$G$2:$G$60),0)</f>
        <v>9612200</v>
      </c>
      <c r="H186" s="0" t="n">
        <f aca="false">ROUND(SUMPRODUCT((Taches!$B$2:$B$60="LOT-07")*($A186&gt;=Taches!$H$2:$H$60)*((($A186-Taches!$H$2:$H$60+1)&gt;=Taches!$E$2:$E$60)+(($A186-Taches!$H$2:$H$60+1)&lt;Taches!$E$2:$E$60)*($A186-Taches!$H$2:$H$60+1)/Taches!$E$2:$E$60)*Taches!$G$2:$G$60),0)</f>
        <v>2693154</v>
      </c>
      <c r="I186" s="0" t="n">
        <f aca="false">ROUND(SUMPRODUCT((Taches!$B$2:$B$60="LOT-08")*($A186&gt;=Taches!$H$2:$H$60)*((($A186-Taches!$H$2:$H$60+1)&gt;=Taches!$E$2:$E$60)+(($A186-Taches!$H$2:$H$60+1)&lt;Taches!$E$2:$E$60)*($A186-Taches!$H$2:$H$60+1)/Taches!$E$2:$E$60)*Taches!$G$2:$G$60),0)</f>
        <v>0</v>
      </c>
      <c r="J186" s="0" t="n">
        <f aca="false">SUM(B186:I186)</f>
        <v>454218251</v>
      </c>
    </row>
    <row r="187" customFormat="false" ht="15" hidden="false" customHeight="false" outlineLevel="0" collapsed="false">
      <c r="A187" s="0" t="n">
        <v>185</v>
      </c>
      <c r="B187" s="0" t="n">
        <f aca="false">ROUND(SUMPRODUCT((Taches!$B$2:$B$60="LOT-01")*($A187&gt;=Taches!$H$2:$H$60)*((($A187-Taches!$H$2:$H$60+1)&gt;=Taches!$E$2:$E$60)+(($A187-Taches!$H$2:$H$60+1)&lt;Taches!$E$2:$E$60)*($A187-Taches!$H$2:$H$60+1)/Taches!$E$2:$E$60)*Taches!$G$2:$G$60),0)</f>
        <v>55890000</v>
      </c>
      <c r="C187" s="0" t="n">
        <f aca="false">ROUND(SUMPRODUCT((Taches!$B$2:$B$60="LOT-02")*($A187&gt;=Taches!$H$2:$H$60)*((($A187-Taches!$H$2:$H$60+1)&gt;=Taches!$E$2:$E$60)+(($A187-Taches!$H$2:$H$60+1)&lt;Taches!$E$2:$E$60)*($A187-Taches!$H$2:$H$60+1)/Taches!$E$2:$E$60)*Taches!$G$2:$G$60),0)</f>
        <v>86960400</v>
      </c>
      <c r="D187" s="0" t="n">
        <f aca="false">ROUND(SUMPRODUCT((Taches!$B$2:$B$60="LOT-03")*($A187&gt;=Taches!$H$2:$H$60)*((($A187-Taches!$H$2:$H$60+1)&gt;=Taches!$E$2:$E$60)+(($A187-Taches!$H$2:$H$60+1)&lt;Taches!$E$2:$E$60)*($A187-Taches!$H$2:$H$60+1)/Taches!$E$2:$E$60)*Taches!$G$2:$G$60),0)</f>
        <v>111116000</v>
      </c>
      <c r="E187" s="0" t="n">
        <f aca="false">ROUND(SUMPRODUCT((Taches!$B$2:$B$60="LOT-04")*($A187&gt;=Taches!$H$2:$H$60)*((($A187-Taches!$H$2:$H$60+1)&gt;=Taches!$E$2:$E$60)+(($A187-Taches!$H$2:$H$60+1)&lt;Taches!$E$2:$E$60)*($A187-Taches!$H$2:$H$60+1)/Taches!$E$2:$E$60)*Taches!$G$2:$G$60),0)</f>
        <v>190383404</v>
      </c>
      <c r="F187" s="0" t="n">
        <f aca="false">ROUND(SUMPRODUCT((Taches!$B$2:$B$60="LOT-05")*($A187&gt;=Taches!$H$2:$H$60)*((($A187-Taches!$H$2:$H$60+1)&gt;=Taches!$E$2:$E$60)+(($A187-Taches!$H$2:$H$60+1)&lt;Taches!$E$2:$E$60)*($A187-Taches!$H$2:$H$60+1)/Taches!$E$2:$E$60)*Taches!$G$2:$G$60),0)</f>
        <v>0</v>
      </c>
      <c r="G187" s="0" t="n">
        <f aca="false">ROUND(SUMPRODUCT((Taches!$B$2:$B$60="LOT-06")*($A187&gt;=Taches!$H$2:$H$60)*((($A187-Taches!$H$2:$H$60+1)&gt;=Taches!$E$2:$E$60)+(($A187-Taches!$H$2:$H$60+1)&lt;Taches!$E$2:$E$60)*($A187-Taches!$H$2:$H$60+1)/Taches!$E$2:$E$60)*Taches!$G$2:$G$60),0)</f>
        <v>10351600</v>
      </c>
      <c r="H187" s="0" t="n">
        <f aca="false">ROUND(SUMPRODUCT((Taches!$B$2:$B$60="LOT-07")*($A187&gt;=Taches!$H$2:$H$60)*((($A187-Taches!$H$2:$H$60+1)&gt;=Taches!$E$2:$E$60)+(($A187-Taches!$H$2:$H$60+1)&lt;Taches!$E$2:$E$60)*($A187-Taches!$H$2:$H$60+1)/Taches!$E$2:$E$60)*Taches!$G$2:$G$60),0)</f>
        <v>3717385</v>
      </c>
      <c r="I187" s="0" t="n">
        <f aca="false">ROUND(SUMPRODUCT((Taches!$B$2:$B$60="LOT-08")*($A187&gt;=Taches!$H$2:$H$60)*((($A187-Taches!$H$2:$H$60+1)&gt;=Taches!$E$2:$E$60)+(($A187-Taches!$H$2:$H$60+1)&lt;Taches!$E$2:$E$60)*($A187-Taches!$H$2:$H$60+1)/Taches!$E$2:$E$60)*Taches!$G$2:$G$60),0)</f>
        <v>0</v>
      </c>
      <c r="J187" s="0" t="n">
        <f aca="false">SUM(B187:I187)</f>
        <v>458418789</v>
      </c>
    </row>
    <row r="188" customFormat="false" ht="15" hidden="false" customHeight="false" outlineLevel="0" collapsed="false">
      <c r="A188" s="0" t="n">
        <v>186</v>
      </c>
      <c r="B188" s="0" t="n">
        <f aca="false">ROUND(SUMPRODUCT((Taches!$B$2:$B$60="LOT-01")*($A188&gt;=Taches!$H$2:$H$60)*((($A188-Taches!$H$2:$H$60+1)&gt;=Taches!$E$2:$E$60)+(($A188-Taches!$H$2:$H$60+1)&lt;Taches!$E$2:$E$60)*($A188-Taches!$H$2:$H$60+1)/Taches!$E$2:$E$60)*Taches!$G$2:$G$60),0)</f>
        <v>55890000</v>
      </c>
      <c r="C188" s="0" t="n">
        <f aca="false">ROUND(SUMPRODUCT((Taches!$B$2:$B$60="LOT-02")*($A188&gt;=Taches!$H$2:$H$60)*((($A188-Taches!$H$2:$H$60+1)&gt;=Taches!$E$2:$E$60)+(($A188-Taches!$H$2:$H$60+1)&lt;Taches!$E$2:$E$60)*($A188-Taches!$H$2:$H$60+1)/Taches!$E$2:$E$60)*Taches!$G$2:$G$60),0)</f>
        <v>86960400</v>
      </c>
      <c r="D188" s="0" t="n">
        <f aca="false">ROUND(SUMPRODUCT((Taches!$B$2:$B$60="LOT-03")*($A188&gt;=Taches!$H$2:$H$60)*((($A188-Taches!$H$2:$H$60+1)&gt;=Taches!$E$2:$E$60)+(($A188-Taches!$H$2:$H$60+1)&lt;Taches!$E$2:$E$60)*($A188-Taches!$H$2:$H$60+1)/Taches!$E$2:$E$60)*Taches!$G$2:$G$60),0)</f>
        <v>111116000</v>
      </c>
      <c r="E188" s="0" t="n">
        <f aca="false">ROUND(SUMPRODUCT((Taches!$B$2:$B$60="LOT-04")*($A188&gt;=Taches!$H$2:$H$60)*((($A188-Taches!$H$2:$H$60+1)&gt;=Taches!$E$2:$E$60)+(($A188-Taches!$H$2:$H$60+1)&lt;Taches!$E$2:$E$60)*($A188-Taches!$H$2:$H$60+1)/Taches!$E$2:$E$60)*Taches!$G$2:$G$60),0)</f>
        <v>192820311</v>
      </c>
      <c r="F188" s="0" t="n">
        <f aca="false">ROUND(SUMPRODUCT((Taches!$B$2:$B$60="LOT-05")*($A188&gt;=Taches!$H$2:$H$60)*((($A188-Taches!$H$2:$H$60+1)&gt;=Taches!$E$2:$E$60)+(($A188-Taches!$H$2:$H$60+1)&lt;Taches!$E$2:$E$60)*($A188-Taches!$H$2:$H$60+1)/Taches!$E$2:$E$60)*Taches!$G$2:$G$60),0)</f>
        <v>0</v>
      </c>
      <c r="G188" s="0" t="n">
        <f aca="false">ROUND(SUMPRODUCT((Taches!$B$2:$B$60="LOT-06")*($A188&gt;=Taches!$H$2:$H$60)*((($A188-Taches!$H$2:$H$60+1)&gt;=Taches!$E$2:$E$60)+(($A188-Taches!$H$2:$H$60+1)&lt;Taches!$E$2:$E$60)*($A188-Taches!$H$2:$H$60+1)/Taches!$E$2:$E$60)*Taches!$G$2:$G$60),0)</f>
        <v>11091000</v>
      </c>
      <c r="H188" s="0" t="n">
        <f aca="false">ROUND(SUMPRODUCT((Taches!$B$2:$B$60="LOT-07")*($A188&gt;=Taches!$H$2:$H$60)*((($A188-Taches!$H$2:$H$60+1)&gt;=Taches!$E$2:$E$60)+(($A188-Taches!$H$2:$H$60+1)&lt;Taches!$E$2:$E$60)*($A188-Taches!$H$2:$H$60+1)/Taches!$E$2:$E$60)*Taches!$G$2:$G$60),0)</f>
        <v>4741615</v>
      </c>
      <c r="I188" s="0" t="n">
        <f aca="false">ROUND(SUMPRODUCT((Taches!$B$2:$B$60="LOT-08")*($A188&gt;=Taches!$H$2:$H$60)*((($A188-Taches!$H$2:$H$60+1)&gt;=Taches!$E$2:$E$60)+(($A188-Taches!$H$2:$H$60+1)&lt;Taches!$E$2:$E$60)*($A188-Taches!$H$2:$H$60+1)/Taches!$E$2:$E$60)*Taches!$G$2:$G$60),0)</f>
        <v>0</v>
      </c>
      <c r="J188" s="0" t="n">
        <f aca="false">SUM(B188:I188)</f>
        <v>462619326</v>
      </c>
    </row>
    <row r="189" customFormat="false" ht="15" hidden="false" customHeight="false" outlineLevel="0" collapsed="false">
      <c r="A189" s="0" t="n">
        <v>187</v>
      </c>
      <c r="B189" s="0" t="n">
        <f aca="false">ROUND(SUMPRODUCT((Taches!$B$2:$B$60="LOT-01")*($A189&gt;=Taches!$H$2:$H$60)*((($A189-Taches!$H$2:$H$60+1)&gt;=Taches!$E$2:$E$60)+(($A189-Taches!$H$2:$H$60+1)&lt;Taches!$E$2:$E$60)*($A189-Taches!$H$2:$H$60+1)/Taches!$E$2:$E$60)*Taches!$G$2:$G$60),0)</f>
        <v>55890000</v>
      </c>
      <c r="C189" s="0" t="n">
        <f aca="false">ROUND(SUMPRODUCT((Taches!$B$2:$B$60="LOT-02")*($A189&gt;=Taches!$H$2:$H$60)*((($A189-Taches!$H$2:$H$60+1)&gt;=Taches!$E$2:$E$60)+(($A189-Taches!$H$2:$H$60+1)&lt;Taches!$E$2:$E$60)*($A189-Taches!$H$2:$H$60+1)/Taches!$E$2:$E$60)*Taches!$G$2:$G$60),0)</f>
        <v>86960400</v>
      </c>
      <c r="D189" s="0" t="n">
        <f aca="false">ROUND(SUMPRODUCT((Taches!$B$2:$B$60="LOT-03")*($A189&gt;=Taches!$H$2:$H$60)*((($A189-Taches!$H$2:$H$60+1)&gt;=Taches!$E$2:$E$60)+(($A189-Taches!$H$2:$H$60+1)&lt;Taches!$E$2:$E$60)*($A189-Taches!$H$2:$H$60+1)/Taches!$E$2:$E$60)*Taches!$G$2:$G$60),0)</f>
        <v>111116000</v>
      </c>
      <c r="E189" s="0" t="n">
        <f aca="false">ROUND(SUMPRODUCT((Taches!$B$2:$B$60="LOT-04")*($A189&gt;=Taches!$H$2:$H$60)*((($A189-Taches!$H$2:$H$60+1)&gt;=Taches!$E$2:$E$60)+(($A189-Taches!$H$2:$H$60+1)&lt;Taches!$E$2:$E$60)*($A189-Taches!$H$2:$H$60+1)/Taches!$E$2:$E$60)*Taches!$G$2:$G$60),0)</f>
        <v>195257217</v>
      </c>
      <c r="F189" s="0" t="n">
        <f aca="false">ROUND(SUMPRODUCT((Taches!$B$2:$B$60="LOT-05")*($A189&gt;=Taches!$H$2:$H$60)*((($A189-Taches!$H$2:$H$60+1)&gt;=Taches!$E$2:$E$60)+(($A189-Taches!$H$2:$H$60+1)&lt;Taches!$E$2:$E$60)*($A189-Taches!$H$2:$H$60+1)/Taches!$E$2:$E$60)*Taches!$G$2:$G$60),0)</f>
        <v>0</v>
      </c>
      <c r="G189" s="0" t="n">
        <f aca="false">ROUND(SUMPRODUCT((Taches!$B$2:$B$60="LOT-06")*($A189&gt;=Taches!$H$2:$H$60)*((($A189-Taches!$H$2:$H$60+1)&gt;=Taches!$E$2:$E$60)+(($A189-Taches!$H$2:$H$60+1)&lt;Taches!$E$2:$E$60)*($A189-Taches!$H$2:$H$60+1)/Taches!$E$2:$E$60)*Taches!$G$2:$G$60),0)</f>
        <v>11830400</v>
      </c>
      <c r="H189" s="0" t="n">
        <f aca="false">ROUND(SUMPRODUCT((Taches!$B$2:$B$60="LOT-07")*($A189&gt;=Taches!$H$2:$H$60)*((($A189-Taches!$H$2:$H$60+1)&gt;=Taches!$E$2:$E$60)+(($A189-Taches!$H$2:$H$60+1)&lt;Taches!$E$2:$E$60)*($A189-Taches!$H$2:$H$60+1)/Taches!$E$2:$E$60)*Taches!$G$2:$G$60),0)</f>
        <v>5765846</v>
      </c>
      <c r="I189" s="0" t="n">
        <f aca="false">ROUND(SUMPRODUCT((Taches!$B$2:$B$60="LOT-08")*($A189&gt;=Taches!$H$2:$H$60)*((($A189-Taches!$H$2:$H$60+1)&gt;=Taches!$E$2:$E$60)+(($A189-Taches!$H$2:$H$60+1)&lt;Taches!$E$2:$E$60)*($A189-Taches!$H$2:$H$60+1)/Taches!$E$2:$E$60)*Taches!$G$2:$G$60),0)</f>
        <v>0</v>
      </c>
      <c r="J189" s="0" t="n">
        <f aca="false">SUM(B189:I189)</f>
        <v>466819863</v>
      </c>
    </row>
    <row r="190" customFormat="false" ht="15" hidden="false" customHeight="false" outlineLevel="0" collapsed="false">
      <c r="A190" s="0" t="n">
        <v>188</v>
      </c>
      <c r="B190" s="0" t="n">
        <f aca="false">ROUND(SUMPRODUCT((Taches!$B$2:$B$60="LOT-01")*($A190&gt;=Taches!$H$2:$H$60)*((($A190-Taches!$H$2:$H$60+1)&gt;=Taches!$E$2:$E$60)+(($A190-Taches!$H$2:$H$60+1)&lt;Taches!$E$2:$E$60)*($A190-Taches!$H$2:$H$60+1)/Taches!$E$2:$E$60)*Taches!$G$2:$G$60),0)</f>
        <v>55890000</v>
      </c>
      <c r="C190" s="0" t="n">
        <f aca="false">ROUND(SUMPRODUCT((Taches!$B$2:$B$60="LOT-02")*($A190&gt;=Taches!$H$2:$H$60)*((($A190-Taches!$H$2:$H$60+1)&gt;=Taches!$E$2:$E$60)+(($A190-Taches!$H$2:$H$60+1)&lt;Taches!$E$2:$E$60)*($A190-Taches!$H$2:$H$60+1)/Taches!$E$2:$E$60)*Taches!$G$2:$G$60),0)</f>
        <v>86960400</v>
      </c>
      <c r="D190" s="0" t="n">
        <f aca="false">ROUND(SUMPRODUCT((Taches!$B$2:$B$60="LOT-03")*($A190&gt;=Taches!$H$2:$H$60)*((($A190-Taches!$H$2:$H$60+1)&gt;=Taches!$E$2:$E$60)+(($A190-Taches!$H$2:$H$60+1)&lt;Taches!$E$2:$E$60)*($A190-Taches!$H$2:$H$60+1)/Taches!$E$2:$E$60)*Taches!$G$2:$G$60),0)</f>
        <v>111116000</v>
      </c>
      <c r="E190" s="0" t="n">
        <f aca="false">ROUND(SUMPRODUCT((Taches!$B$2:$B$60="LOT-04")*($A190&gt;=Taches!$H$2:$H$60)*((($A190-Taches!$H$2:$H$60+1)&gt;=Taches!$E$2:$E$60)+(($A190-Taches!$H$2:$H$60+1)&lt;Taches!$E$2:$E$60)*($A190-Taches!$H$2:$H$60+1)/Taches!$E$2:$E$60)*Taches!$G$2:$G$60),0)</f>
        <v>198014529</v>
      </c>
      <c r="F190" s="0" t="n">
        <f aca="false">ROUND(SUMPRODUCT((Taches!$B$2:$B$60="LOT-05")*($A190&gt;=Taches!$H$2:$H$60)*((($A190-Taches!$H$2:$H$60+1)&gt;=Taches!$E$2:$E$60)+(($A190-Taches!$H$2:$H$60+1)&lt;Taches!$E$2:$E$60)*($A190-Taches!$H$2:$H$60+1)/Taches!$E$2:$E$60)*Taches!$G$2:$G$60),0)</f>
        <v>0</v>
      </c>
      <c r="G190" s="0" t="n">
        <f aca="false">ROUND(SUMPRODUCT((Taches!$B$2:$B$60="LOT-06")*($A190&gt;=Taches!$H$2:$H$60)*((($A190-Taches!$H$2:$H$60+1)&gt;=Taches!$E$2:$E$60)+(($A190-Taches!$H$2:$H$60+1)&lt;Taches!$E$2:$E$60)*($A190-Taches!$H$2:$H$60+1)/Taches!$E$2:$E$60)*Taches!$G$2:$G$60),0)</f>
        <v>12569800</v>
      </c>
      <c r="H190" s="0" t="n">
        <f aca="false">ROUND(SUMPRODUCT((Taches!$B$2:$B$60="LOT-07")*($A190&gt;=Taches!$H$2:$H$60)*((($A190-Taches!$H$2:$H$60+1)&gt;=Taches!$E$2:$E$60)+(($A190-Taches!$H$2:$H$60+1)&lt;Taches!$E$2:$E$60)*($A190-Taches!$H$2:$H$60+1)/Taches!$E$2:$E$60)*Taches!$G$2:$G$60),0)</f>
        <v>6790077</v>
      </c>
      <c r="I190" s="0" t="n">
        <f aca="false">ROUND(SUMPRODUCT((Taches!$B$2:$B$60="LOT-08")*($A190&gt;=Taches!$H$2:$H$60)*((($A190-Taches!$H$2:$H$60+1)&gt;=Taches!$E$2:$E$60)+(($A190-Taches!$H$2:$H$60+1)&lt;Taches!$E$2:$E$60)*($A190-Taches!$H$2:$H$60+1)/Taches!$E$2:$E$60)*Taches!$G$2:$G$60),0)</f>
        <v>0</v>
      </c>
      <c r="J190" s="0" t="n">
        <f aca="false">SUM(B190:I190)</f>
        <v>471340806</v>
      </c>
    </row>
    <row r="191" customFormat="false" ht="15" hidden="false" customHeight="false" outlineLevel="0" collapsed="false">
      <c r="A191" s="0" t="n">
        <v>189</v>
      </c>
      <c r="B191" s="0" t="n">
        <f aca="false">ROUND(SUMPRODUCT((Taches!$B$2:$B$60="LOT-01")*($A191&gt;=Taches!$H$2:$H$60)*((($A191-Taches!$H$2:$H$60+1)&gt;=Taches!$E$2:$E$60)+(($A191-Taches!$H$2:$H$60+1)&lt;Taches!$E$2:$E$60)*($A191-Taches!$H$2:$H$60+1)/Taches!$E$2:$E$60)*Taches!$G$2:$G$60),0)</f>
        <v>55890000</v>
      </c>
      <c r="C191" s="0" t="n">
        <f aca="false">ROUND(SUMPRODUCT((Taches!$B$2:$B$60="LOT-02")*($A191&gt;=Taches!$H$2:$H$60)*((($A191-Taches!$H$2:$H$60+1)&gt;=Taches!$E$2:$E$60)+(($A191-Taches!$H$2:$H$60+1)&lt;Taches!$E$2:$E$60)*($A191-Taches!$H$2:$H$60+1)/Taches!$E$2:$E$60)*Taches!$G$2:$G$60),0)</f>
        <v>86960400</v>
      </c>
      <c r="D191" s="0" t="n">
        <f aca="false">ROUND(SUMPRODUCT((Taches!$B$2:$B$60="LOT-03")*($A191&gt;=Taches!$H$2:$H$60)*((($A191-Taches!$H$2:$H$60+1)&gt;=Taches!$E$2:$E$60)+(($A191-Taches!$H$2:$H$60+1)&lt;Taches!$E$2:$E$60)*($A191-Taches!$H$2:$H$60+1)/Taches!$E$2:$E$60)*Taches!$G$2:$G$60),0)</f>
        <v>111116000</v>
      </c>
      <c r="E191" s="0" t="n">
        <f aca="false">ROUND(SUMPRODUCT((Taches!$B$2:$B$60="LOT-04")*($A191&gt;=Taches!$H$2:$H$60)*((($A191-Taches!$H$2:$H$60+1)&gt;=Taches!$E$2:$E$60)+(($A191-Taches!$H$2:$H$60+1)&lt;Taches!$E$2:$E$60)*($A191-Taches!$H$2:$H$60+1)/Taches!$E$2:$E$60)*Taches!$G$2:$G$60),0)</f>
        <v>200771841</v>
      </c>
      <c r="F191" s="0" t="n">
        <f aca="false">ROUND(SUMPRODUCT((Taches!$B$2:$B$60="LOT-05")*($A191&gt;=Taches!$H$2:$H$60)*((($A191-Taches!$H$2:$H$60+1)&gt;=Taches!$E$2:$E$60)+(($A191-Taches!$H$2:$H$60+1)&lt;Taches!$E$2:$E$60)*($A191-Taches!$H$2:$H$60+1)/Taches!$E$2:$E$60)*Taches!$G$2:$G$60),0)</f>
        <v>0</v>
      </c>
      <c r="G191" s="0" t="n">
        <f aca="false">ROUND(SUMPRODUCT((Taches!$B$2:$B$60="LOT-06")*($A191&gt;=Taches!$H$2:$H$60)*((($A191-Taches!$H$2:$H$60+1)&gt;=Taches!$E$2:$E$60)+(($A191-Taches!$H$2:$H$60+1)&lt;Taches!$E$2:$E$60)*($A191-Taches!$H$2:$H$60+1)/Taches!$E$2:$E$60)*Taches!$G$2:$G$60),0)</f>
        <v>13309200</v>
      </c>
      <c r="H191" s="0" t="n">
        <f aca="false">ROUND(SUMPRODUCT((Taches!$B$2:$B$60="LOT-07")*($A191&gt;=Taches!$H$2:$H$60)*((($A191-Taches!$H$2:$H$60+1)&gt;=Taches!$E$2:$E$60)+(($A191-Taches!$H$2:$H$60+1)&lt;Taches!$E$2:$E$60)*($A191-Taches!$H$2:$H$60+1)/Taches!$E$2:$E$60)*Taches!$G$2:$G$60),0)</f>
        <v>7814308</v>
      </c>
      <c r="I191" s="0" t="n">
        <f aca="false">ROUND(SUMPRODUCT((Taches!$B$2:$B$60="LOT-08")*($A191&gt;=Taches!$H$2:$H$60)*((($A191-Taches!$H$2:$H$60+1)&gt;=Taches!$E$2:$E$60)+(($A191-Taches!$H$2:$H$60+1)&lt;Taches!$E$2:$E$60)*($A191-Taches!$H$2:$H$60+1)/Taches!$E$2:$E$60)*Taches!$G$2:$G$60),0)</f>
        <v>0</v>
      </c>
      <c r="J191" s="0" t="n">
        <f aca="false">SUM(B191:I191)</f>
        <v>475861749</v>
      </c>
    </row>
    <row r="192" customFormat="false" ht="15" hidden="false" customHeight="false" outlineLevel="0" collapsed="false">
      <c r="A192" s="0" t="n">
        <v>190</v>
      </c>
      <c r="B192" s="0" t="n">
        <f aca="false">ROUND(SUMPRODUCT((Taches!$B$2:$B$60="LOT-01")*($A192&gt;=Taches!$H$2:$H$60)*((($A192-Taches!$H$2:$H$60+1)&gt;=Taches!$E$2:$E$60)+(($A192-Taches!$H$2:$H$60+1)&lt;Taches!$E$2:$E$60)*($A192-Taches!$H$2:$H$60+1)/Taches!$E$2:$E$60)*Taches!$G$2:$G$60),0)</f>
        <v>55890000</v>
      </c>
      <c r="C192" s="0" t="n">
        <f aca="false">ROUND(SUMPRODUCT((Taches!$B$2:$B$60="LOT-02")*($A192&gt;=Taches!$H$2:$H$60)*((($A192-Taches!$H$2:$H$60+1)&gt;=Taches!$E$2:$E$60)+(($A192-Taches!$H$2:$H$60+1)&lt;Taches!$E$2:$E$60)*($A192-Taches!$H$2:$H$60+1)/Taches!$E$2:$E$60)*Taches!$G$2:$G$60),0)</f>
        <v>86960400</v>
      </c>
      <c r="D192" s="0" t="n">
        <f aca="false">ROUND(SUMPRODUCT((Taches!$B$2:$B$60="LOT-03")*($A192&gt;=Taches!$H$2:$H$60)*((($A192-Taches!$H$2:$H$60+1)&gt;=Taches!$E$2:$E$60)+(($A192-Taches!$H$2:$H$60+1)&lt;Taches!$E$2:$E$60)*($A192-Taches!$H$2:$H$60+1)/Taches!$E$2:$E$60)*Taches!$G$2:$G$60),0)</f>
        <v>111116000</v>
      </c>
      <c r="E192" s="0" t="n">
        <f aca="false">ROUND(SUMPRODUCT((Taches!$B$2:$B$60="LOT-04")*($A192&gt;=Taches!$H$2:$H$60)*((($A192-Taches!$H$2:$H$60+1)&gt;=Taches!$E$2:$E$60)+(($A192-Taches!$H$2:$H$60+1)&lt;Taches!$E$2:$E$60)*($A192-Taches!$H$2:$H$60+1)/Taches!$E$2:$E$60)*Taches!$G$2:$G$60),0)</f>
        <v>203529152</v>
      </c>
      <c r="F192" s="0" t="n">
        <f aca="false">ROUND(SUMPRODUCT((Taches!$B$2:$B$60="LOT-05")*($A192&gt;=Taches!$H$2:$H$60)*((($A192-Taches!$H$2:$H$60+1)&gt;=Taches!$E$2:$E$60)+(($A192-Taches!$H$2:$H$60+1)&lt;Taches!$E$2:$E$60)*($A192-Taches!$H$2:$H$60+1)/Taches!$E$2:$E$60)*Taches!$G$2:$G$60),0)</f>
        <v>0</v>
      </c>
      <c r="G192" s="0" t="n">
        <f aca="false">ROUND(SUMPRODUCT((Taches!$B$2:$B$60="LOT-06")*($A192&gt;=Taches!$H$2:$H$60)*((($A192-Taches!$H$2:$H$60+1)&gt;=Taches!$E$2:$E$60)+(($A192-Taches!$H$2:$H$60+1)&lt;Taches!$E$2:$E$60)*($A192-Taches!$H$2:$H$60+1)/Taches!$E$2:$E$60)*Taches!$G$2:$G$60),0)</f>
        <v>14048600</v>
      </c>
      <c r="H192" s="0" t="n">
        <f aca="false">ROUND(SUMPRODUCT((Taches!$B$2:$B$60="LOT-07")*($A192&gt;=Taches!$H$2:$H$60)*((($A192-Taches!$H$2:$H$60+1)&gt;=Taches!$E$2:$E$60)+(($A192-Taches!$H$2:$H$60+1)&lt;Taches!$E$2:$E$60)*($A192-Taches!$H$2:$H$60+1)/Taches!$E$2:$E$60)*Taches!$G$2:$G$60),0)</f>
        <v>8838538</v>
      </c>
      <c r="I192" s="0" t="n">
        <f aca="false">ROUND(SUMPRODUCT((Taches!$B$2:$B$60="LOT-08")*($A192&gt;=Taches!$H$2:$H$60)*((($A192-Taches!$H$2:$H$60+1)&gt;=Taches!$E$2:$E$60)+(($A192-Taches!$H$2:$H$60+1)&lt;Taches!$E$2:$E$60)*($A192-Taches!$H$2:$H$60+1)/Taches!$E$2:$E$60)*Taches!$G$2:$G$60),0)</f>
        <v>0</v>
      </c>
      <c r="J192" s="0" t="n">
        <f aca="false">SUM(B192:I192)</f>
        <v>480382690</v>
      </c>
    </row>
    <row r="193" customFormat="false" ht="15" hidden="false" customHeight="false" outlineLevel="0" collapsed="false">
      <c r="A193" s="0" t="n">
        <v>191</v>
      </c>
      <c r="B193" s="0" t="n">
        <f aca="false">ROUND(SUMPRODUCT((Taches!$B$2:$B$60="LOT-01")*($A193&gt;=Taches!$H$2:$H$60)*((($A193-Taches!$H$2:$H$60+1)&gt;=Taches!$E$2:$E$60)+(($A193-Taches!$H$2:$H$60+1)&lt;Taches!$E$2:$E$60)*($A193-Taches!$H$2:$H$60+1)/Taches!$E$2:$E$60)*Taches!$G$2:$G$60),0)</f>
        <v>55890000</v>
      </c>
      <c r="C193" s="0" t="n">
        <f aca="false">ROUND(SUMPRODUCT((Taches!$B$2:$B$60="LOT-02")*($A193&gt;=Taches!$H$2:$H$60)*((($A193-Taches!$H$2:$H$60+1)&gt;=Taches!$E$2:$E$60)+(($A193-Taches!$H$2:$H$60+1)&lt;Taches!$E$2:$E$60)*($A193-Taches!$H$2:$H$60+1)/Taches!$E$2:$E$60)*Taches!$G$2:$G$60),0)</f>
        <v>86960400</v>
      </c>
      <c r="D193" s="0" t="n">
        <f aca="false">ROUND(SUMPRODUCT((Taches!$B$2:$B$60="LOT-03")*($A193&gt;=Taches!$H$2:$H$60)*((($A193-Taches!$H$2:$H$60+1)&gt;=Taches!$E$2:$E$60)+(($A193-Taches!$H$2:$H$60+1)&lt;Taches!$E$2:$E$60)*($A193-Taches!$H$2:$H$60+1)/Taches!$E$2:$E$60)*Taches!$G$2:$G$60),0)</f>
        <v>111116000</v>
      </c>
      <c r="E193" s="0" t="n">
        <f aca="false">ROUND(SUMPRODUCT((Taches!$B$2:$B$60="LOT-04")*($A193&gt;=Taches!$H$2:$H$60)*((($A193-Taches!$H$2:$H$60+1)&gt;=Taches!$E$2:$E$60)+(($A193-Taches!$H$2:$H$60+1)&lt;Taches!$E$2:$E$60)*($A193-Taches!$H$2:$H$60+1)/Taches!$E$2:$E$60)*Taches!$G$2:$G$60),0)</f>
        <v>206286464</v>
      </c>
      <c r="F193" s="0" t="n">
        <f aca="false">ROUND(SUMPRODUCT((Taches!$B$2:$B$60="LOT-05")*($A193&gt;=Taches!$H$2:$H$60)*((($A193-Taches!$H$2:$H$60+1)&gt;=Taches!$E$2:$E$60)+(($A193-Taches!$H$2:$H$60+1)&lt;Taches!$E$2:$E$60)*($A193-Taches!$H$2:$H$60+1)/Taches!$E$2:$E$60)*Taches!$G$2:$G$60),0)</f>
        <v>0</v>
      </c>
      <c r="G193" s="0" t="n">
        <f aca="false">ROUND(SUMPRODUCT((Taches!$B$2:$B$60="LOT-06")*($A193&gt;=Taches!$H$2:$H$60)*((($A193-Taches!$H$2:$H$60+1)&gt;=Taches!$E$2:$E$60)+(($A193-Taches!$H$2:$H$60+1)&lt;Taches!$E$2:$E$60)*($A193-Taches!$H$2:$H$60+1)/Taches!$E$2:$E$60)*Taches!$G$2:$G$60),0)</f>
        <v>14788000</v>
      </c>
      <c r="H193" s="0" t="n">
        <f aca="false">ROUND(SUMPRODUCT((Taches!$B$2:$B$60="LOT-07")*($A193&gt;=Taches!$H$2:$H$60)*((($A193-Taches!$H$2:$H$60+1)&gt;=Taches!$E$2:$E$60)+(($A193-Taches!$H$2:$H$60+1)&lt;Taches!$E$2:$E$60)*($A193-Taches!$H$2:$H$60+1)/Taches!$E$2:$E$60)*Taches!$G$2:$G$60),0)</f>
        <v>9862769</v>
      </c>
      <c r="I193" s="0" t="n">
        <f aca="false">ROUND(SUMPRODUCT((Taches!$B$2:$B$60="LOT-08")*($A193&gt;=Taches!$H$2:$H$60)*((($A193-Taches!$H$2:$H$60+1)&gt;=Taches!$E$2:$E$60)+(($A193-Taches!$H$2:$H$60+1)&lt;Taches!$E$2:$E$60)*($A193-Taches!$H$2:$H$60+1)/Taches!$E$2:$E$60)*Taches!$G$2:$G$60),0)</f>
        <v>0</v>
      </c>
      <c r="J193" s="0" t="n">
        <f aca="false">SUM(B193:I193)</f>
        <v>484903633</v>
      </c>
    </row>
    <row r="194" customFormat="false" ht="15" hidden="false" customHeight="false" outlineLevel="0" collapsed="false">
      <c r="A194" s="0" t="n">
        <v>192</v>
      </c>
      <c r="B194" s="0" t="n">
        <f aca="false">ROUND(SUMPRODUCT((Taches!$B$2:$B$60="LOT-01")*($A194&gt;=Taches!$H$2:$H$60)*((($A194-Taches!$H$2:$H$60+1)&gt;=Taches!$E$2:$E$60)+(($A194-Taches!$H$2:$H$60+1)&lt;Taches!$E$2:$E$60)*($A194-Taches!$H$2:$H$60+1)/Taches!$E$2:$E$60)*Taches!$G$2:$G$60),0)</f>
        <v>55890000</v>
      </c>
      <c r="C194" s="0" t="n">
        <f aca="false">ROUND(SUMPRODUCT((Taches!$B$2:$B$60="LOT-02")*($A194&gt;=Taches!$H$2:$H$60)*((($A194-Taches!$H$2:$H$60+1)&gt;=Taches!$E$2:$E$60)+(($A194-Taches!$H$2:$H$60+1)&lt;Taches!$E$2:$E$60)*($A194-Taches!$H$2:$H$60+1)/Taches!$E$2:$E$60)*Taches!$G$2:$G$60),0)</f>
        <v>86960400</v>
      </c>
      <c r="D194" s="0" t="n">
        <f aca="false">ROUND(SUMPRODUCT((Taches!$B$2:$B$60="LOT-03")*($A194&gt;=Taches!$H$2:$H$60)*((($A194-Taches!$H$2:$H$60+1)&gt;=Taches!$E$2:$E$60)+(($A194-Taches!$H$2:$H$60+1)&lt;Taches!$E$2:$E$60)*($A194-Taches!$H$2:$H$60+1)/Taches!$E$2:$E$60)*Taches!$G$2:$G$60),0)</f>
        <v>111116000</v>
      </c>
      <c r="E194" s="0" t="n">
        <f aca="false">ROUND(SUMPRODUCT((Taches!$B$2:$B$60="LOT-04")*($A194&gt;=Taches!$H$2:$H$60)*((($A194-Taches!$H$2:$H$60+1)&gt;=Taches!$E$2:$E$60)+(($A194-Taches!$H$2:$H$60+1)&lt;Taches!$E$2:$E$60)*($A194-Taches!$H$2:$H$60+1)/Taches!$E$2:$E$60)*Taches!$G$2:$G$60),0)</f>
        <v>209043775</v>
      </c>
      <c r="F194" s="0" t="n">
        <f aca="false">ROUND(SUMPRODUCT((Taches!$B$2:$B$60="LOT-05")*($A194&gt;=Taches!$H$2:$H$60)*((($A194-Taches!$H$2:$H$60+1)&gt;=Taches!$E$2:$E$60)+(($A194-Taches!$H$2:$H$60+1)&lt;Taches!$E$2:$E$60)*($A194-Taches!$H$2:$H$60+1)/Taches!$E$2:$E$60)*Taches!$G$2:$G$60),0)</f>
        <v>0</v>
      </c>
      <c r="G194" s="0" t="n">
        <f aca="false">ROUND(SUMPRODUCT((Taches!$B$2:$B$60="LOT-06")*($A194&gt;=Taches!$H$2:$H$60)*((($A194-Taches!$H$2:$H$60+1)&gt;=Taches!$E$2:$E$60)+(($A194-Taches!$H$2:$H$60+1)&lt;Taches!$E$2:$E$60)*($A194-Taches!$H$2:$H$60+1)/Taches!$E$2:$E$60)*Taches!$G$2:$G$60),0)</f>
        <v>15527400</v>
      </c>
      <c r="H194" s="0" t="n">
        <f aca="false">ROUND(SUMPRODUCT((Taches!$B$2:$B$60="LOT-07")*($A194&gt;=Taches!$H$2:$H$60)*((($A194-Taches!$H$2:$H$60+1)&gt;=Taches!$E$2:$E$60)+(($A194-Taches!$H$2:$H$60+1)&lt;Taches!$E$2:$E$60)*($A194-Taches!$H$2:$H$60+1)/Taches!$E$2:$E$60)*Taches!$G$2:$G$60),0)</f>
        <v>10887000</v>
      </c>
      <c r="I194" s="0" t="n">
        <f aca="false">ROUND(SUMPRODUCT((Taches!$B$2:$B$60="LOT-08")*($A194&gt;=Taches!$H$2:$H$60)*((($A194-Taches!$H$2:$H$60+1)&gt;=Taches!$E$2:$E$60)+(($A194-Taches!$H$2:$H$60+1)&lt;Taches!$E$2:$E$60)*($A194-Taches!$H$2:$H$60+1)/Taches!$E$2:$E$60)*Taches!$G$2:$G$60),0)</f>
        <v>0</v>
      </c>
      <c r="J194" s="0" t="n">
        <f aca="false">SUM(B194:I194)</f>
        <v>489424575</v>
      </c>
    </row>
    <row r="195" customFormat="false" ht="15" hidden="false" customHeight="false" outlineLevel="0" collapsed="false">
      <c r="A195" s="0" t="n">
        <v>193</v>
      </c>
      <c r="B195" s="0" t="n">
        <f aca="false">ROUND(SUMPRODUCT((Taches!$B$2:$B$60="LOT-01")*($A195&gt;=Taches!$H$2:$H$60)*((($A195-Taches!$H$2:$H$60+1)&gt;=Taches!$E$2:$E$60)+(($A195-Taches!$H$2:$H$60+1)&lt;Taches!$E$2:$E$60)*($A195-Taches!$H$2:$H$60+1)/Taches!$E$2:$E$60)*Taches!$G$2:$G$60),0)</f>
        <v>55890000</v>
      </c>
      <c r="C195" s="0" t="n">
        <f aca="false">ROUND(SUMPRODUCT((Taches!$B$2:$B$60="LOT-02")*($A195&gt;=Taches!$H$2:$H$60)*((($A195-Taches!$H$2:$H$60+1)&gt;=Taches!$E$2:$E$60)+(($A195-Taches!$H$2:$H$60+1)&lt;Taches!$E$2:$E$60)*($A195-Taches!$H$2:$H$60+1)/Taches!$E$2:$E$60)*Taches!$G$2:$G$60),0)</f>
        <v>86960400</v>
      </c>
      <c r="D195" s="0" t="n">
        <f aca="false">ROUND(SUMPRODUCT((Taches!$B$2:$B$60="LOT-03")*($A195&gt;=Taches!$H$2:$H$60)*((($A195-Taches!$H$2:$H$60+1)&gt;=Taches!$E$2:$E$60)+(($A195-Taches!$H$2:$H$60+1)&lt;Taches!$E$2:$E$60)*($A195-Taches!$H$2:$H$60+1)/Taches!$E$2:$E$60)*Taches!$G$2:$G$60),0)</f>
        <v>111116000</v>
      </c>
      <c r="E195" s="0" t="n">
        <f aca="false">ROUND(SUMPRODUCT((Taches!$B$2:$B$60="LOT-04")*($A195&gt;=Taches!$H$2:$H$60)*((($A195-Taches!$H$2:$H$60+1)&gt;=Taches!$E$2:$E$60)+(($A195-Taches!$H$2:$H$60+1)&lt;Taches!$E$2:$E$60)*($A195-Taches!$H$2:$H$60+1)/Taches!$E$2:$E$60)*Taches!$G$2:$G$60),0)</f>
        <v>211801087</v>
      </c>
      <c r="F195" s="0" t="n">
        <f aca="false">ROUND(SUMPRODUCT((Taches!$B$2:$B$60="LOT-05")*($A195&gt;=Taches!$H$2:$H$60)*((($A195-Taches!$H$2:$H$60+1)&gt;=Taches!$E$2:$E$60)+(($A195-Taches!$H$2:$H$60+1)&lt;Taches!$E$2:$E$60)*($A195-Taches!$H$2:$H$60+1)/Taches!$E$2:$E$60)*Taches!$G$2:$G$60),0)</f>
        <v>0</v>
      </c>
      <c r="G195" s="0" t="n">
        <f aca="false">ROUND(SUMPRODUCT((Taches!$B$2:$B$60="LOT-06")*($A195&gt;=Taches!$H$2:$H$60)*((($A195-Taches!$H$2:$H$60+1)&gt;=Taches!$E$2:$E$60)+(($A195-Taches!$H$2:$H$60+1)&lt;Taches!$E$2:$E$60)*($A195-Taches!$H$2:$H$60+1)/Taches!$E$2:$E$60)*Taches!$G$2:$G$60),0)</f>
        <v>16266800</v>
      </c>
      <c r="H195" s="0" t="n">
        <f aca="false">ROUND(SUMPRODUCT((Taches!$B$2:$B$60="LOT-07")*($A195&gt;=Taches!$H$2:$H$60)*((($A195-Taches!$H$2:$H$60+1)&gt;=Taches!$E$2:$E$60)+(($A195-Taches!$H$2:$H$60+1)&lt;Taches!$E$2:$E$60)*($A195-Taches!$H$2:$H$60+1)/Taches!$E$2:$E$60)*Taches!$G$2:$G$60),0)</f>
        <v>11911231</v>
      </c>
      <c r="I195" s="0" t="n">
        <f aca="false">ROUND(SUMPRODUCT((Taches!$B$2:$B$60="LOT-08")*($A195&gt;=Taches!$H$2:$H$60)*((($A195-Taches!$H$2:$H$60+1)&gt;=Taches!$E$2:$E$60)+(($A195-Taches!$H$2:$H$60+1)&lt;Taches!$E$2:$E$60)*($A195-Taches!$H$2:$H$60+1)/Taches!$E$2:$E$60)*Taches!$G$2:$G$60),0)</f>
        <v>0</v>
      </c>
      <c r="J195" s="0" t="n">
        <f aca="false">SUM(B195:I195)</f>
        <v>493945518</v>
      </c>
    </row>
    <row r="196" customFormat="false" ht="15" hidden="false" customHeight="false" outlineLevel="0" collapsed="false">
      <c r="A196" s="0" t="n">
        <v>194</v>
      </c>
      <c r="B196" s="0" t="n">
        <f aca="false">ROUND(SUMPRODUCT((Taches!$B$2:$B$60="LOT-01")*($A196&gt;=Taches!$H$2:$H$60)*((($A196-Taches!$H$2:$H$60+1)&gt;=Taches!$E$2:$E$60)+(($A196-Taches!$H$2:$H$60+1)&lt;Taches!$E$2:$E$60)*($A196-Taches!$H$2:$H$60+1)/Taches!$E$2:$E$60)*Taches!$G$2:$G$60),0)</f>
        <v>55890000</v>
      </c>
      <c r="C196" s="0" t="n">
        <f aca="false">ROUND(SUMPRODUCT((Taches!$B$2:$B$60="LOT-02")*($A196&gt;=Taches!$H$2:$H$60)*((($A196-Taches!$H$2:$H$60+1)&gt;=Taches!$E$2:$E$60)+(($A196-Taches!$H$2:$H$60+1)&lt;Taches!$E$2:$E$60)*($A196-Taches!$H$2:$H$60+1)/Taches!$E$2:$E$60)*Taches!$G$2:$G$60),0)</f>
        <v>86960400</v>
      </c>
      <c r="D196" s="0" t="n">
        <f aca="false">ROUND(SUMPRODUCT((Taches!$B$2:$B$60="LOT-03")*($A196&gt;=Taches!$H$2:$H$60)*((($A196-Taches!$H$2:$H$60+1)&gt;=Taches!$E$2:$E$60)+(($A196-Taches!$H$2:$H$60+1)&lt;Taches!$E$2:$E$60)*($A196-Taches!$H$2:$H$60+1)/Taches!$E$2:$E$60)*Taches!$G$2:$G$60),0)</f>
        <v>111116000</v>
      </c>
      <c r="E196" s="0" t="n">
        <f aca="false">ROUND(SUMPRODUCT((Taches!$B$2:$B$60="LOT-04")*($A196&gt;=Taches!$H$2:$H$60)*((($A196-Taches!$H$2:$H$60+1)&gt;=Taches!$E$2:$E$60)+(($A196-Taches!$H$2:$H$60+1)&lt;Taches!$E$2:$E$60)*($A196-Taches!$H$2:$H$60+1)/Taches!$E$2:$E$60)*Taches!$G$2:$G$60),0)</f>
        <v>214558399</v>
      </c>
      <c r="F196" s="0" t="n">
        <f aca="false">ROUND(SUMPRODUCT((Taches!$B$2:$B$60="LOT-05")*($A196&gt;=Taches!$H$2:$H$60)*((($A196-Taches!$H$2:$H$60+1)&gt;=Taches!$E$2:$E$60)+(($A196-Taches!$H$2:$H$60+1)&lt;Taches!$E$2:$E$60)*($A196-Taches!$H$2:$H$60+1)/Taches!$E$2:$E$60)*Taches!$G$2:$G$60),0)</f>
        <v>0</v>
      </c>
      <c r="G196" s="0" t="n">
        <f aca="false">ROUND(SUMPRODUCT((Taches!$B$2:$B$60="LOT-06")*($A196&gt;=Taches!$H$2:$H$60)*((($A196-Taches!$H$2:$H$60+1)&gt;=Taches!$E$2:$E$60)+(($A196-Taches!$H$2:$H$60+1)&lt;Taches!$E$2:$E$60)*($A196-Taches!$H$2:$H$60+1)/Taches!$E$2:$E$60)*Taches!$G$2:$G$60),0)</f>
        <v>17006200</v>
      </c>
      <c r="H196" s="0" t="n">
        <f aca="false">ROUND(SUMPRODUCT((Taches!$B$2:$B$60="LOT-07")*($A196&gt;=Taches!$H$2:$H$60)*((($A196-Taches!$H$2:$H$60+1)&gt;=Taches!$E$2:$E$60)+(($A196-Taches!$H$2:$H$60+1)&lt;Taches!$E$2:$E$60)*($A196-Taches!$H$2:$H$60+1)/Taches!$E$2:$E$60)*Taches!$G$2:$G$60),0)</f>
        <v>12935462</v>
      </c>
      <c r="I196" s="0" t="n">
        <f aca="false">ROUND(SUMPRODUCT((Taches!$B$2:$B$60="LOT-08")*($A196&gt;=Taches!$H$2:$H$60)*((($A196-Taches!$H$2:$H$60+1)&gt;=Taches!$E$2:$E$60)+(($A196-Taches!$H$2:$H$60+1)&lt;Taches!$E$2:$E$60)*($A196-Taches!$H$2:$H$60+1)/Taches!$E$2:$E$60)*Taches!$G$2:$G$60),0)</f>
        <v>0</v>
      </c>
      <c r="J196" s="0" t="n">
        <f aca="false">SUM(B196:I196)</f>
        <v>498466461</v>
      </c>
    </row>
    <row r="197" customFormat="false" ht="15" hidden="false" customHeight="false" outlineLevel="0" collapsed="false">
      <c r="A197" s="0" t="n">
        <v>195</v>
      </c>
      <c r="B197" s="0" t="n">
        <f aca="false">ROUND(SUMPRODUCT((Taches!$B$2:$B$60="LOT-01")*($A197&gt;=Taches!$H$2:$H$60)*((($A197-Taches!$H$2:$H$60+1)&gt;=Taches!$E$2:$E$60)+(($A197-Taches!$H$2:$H$60+1)&lt;Taches!$E$2:$E$60)*($A197-Taches!$H$2:$H$60+1)/Taches!$E$2:$E$60)*Taches!$G$2:$G$60),0)</f>
        <v>55890000</v>
      </c>
      <c r="C197" s="0" t="n">
        <f aca="false">ROUND(SUMPRODUCT((Taches!$B$2:$B$60="LOT-02")*($A197&gt;=Taches!$H$2:$H$60)*((($A197-Taches!$H$2:$H$60+1)&gt;=Taches!$E$2:$E$60)+(($A197-Taches!$H$2:$H$60+1)&lt;Taches!$E$2:$E$60)*($A197-Taches!$H$2:$H$60+1)/Taches!$E$2:$E$60)*Taches!$G$2:$G$60),0)</f>
        <v>86960400</v>
      </c>
      <c r="D197" s="0" t="n">
        <f aca="false">ROUND(SUMPRODUCT((Taches!$B$2:$B$60="LOT-03")*($A197&gt;=Taches!$H$2:$H$60)*((($A197-Taches!$H$2:$H$60+1)&gt;=Taches!$E$2:$E$60)+(($A197-Taches!$H$2:$H$60+1)&lt;Taches!$E$2:$E$60)*($A197-Taches!$H$2:$H$60+1)/Taches!$E$2:$E$60)*Taches!$G$2:$G$60),0)</f>
        <v>111116000</v>
      </c>
      <c r="E197" s="0" t="n">
        <f aca="false">ROUND(SUMPRODUCT((Taches!$B$2:$B$60="LOT-04")*($A197&gt;=Taches!$H$2:$H$60)*((($A197-Taches!$H$2:$H$60+1)&gt;=Taches!$E$2:$E$60)+(($A197-Taches!$H$2:$H$60+1)&lt;Taches!$E$2:$E$60)*($A197-Taches!$H$2:$H$60+1)/Taches!$E$2:$E$60)*Taches!$G$2:$G$60),0)</f>
        <v>217315710</v>
      </c>
      <c r="F197" s="0" t="n">
        <f aca="false">ROUND(SUMPRODUCT((Taches!$B$2:$B$60="LOT-05")*($A197&gt;=Taches!$H$2:$H$60)*((($A197-Taches!$H$2:$H$60+1)&gt;=Taches!$E$2:$E$60)+(($A197-Taches!$H$2:$H$60+1)&lt;Taches!$E$2:$E$60)*($A197-Taches!$H$2:$H$60+1)/Taches!$E$2:$E$60)*Taches!$G$2:$G$60),0)</f>
        <v>0</v>
      </c>
      <c r="G197" s="0" t="n">
        <f aca="false">ROUND(SUMPRODUCT((Taches!$B$2:$B$60="LOT-06")*($A197&gt;=Taches!$H$2:$H$60)*((($A197-Taches!$H$2:$H$60+1)&gt;=Taches!$E$2:$E$60)+(($A197-Taches!$H$2:$H$60+1)&lt;Taches!$E$2:$E$60)*($A197-Taches!$H$2:$H$60+1)/Taches!$E$2:$E$60)*Taches!$G$2:$G$60),0)</f>
        <v>17745600</v>
      </c>
      <c r="H197" s="0" t="n">
        <f aca="false">ROUND(SUMPRODUCT((Taches!$B$2:$B$60="LOT-07")*($A197&gt;=Taches!$H$2:$H$60)*((($A197-Taches!$H$2:$H$60+1)&gt;=Taches!$E$2:$E$60)+(($A197-Taches!$H$2:$H$60+1)&lt;Taches!$E$2:$E$60)*($A197-Taches!$H$2:$H$60+1)/Taches!$E$2:$E$60)*Taches!$G$2:$G$60),0)</f>
        <v>13959692</v>
      </c>
      <c r="I197" s="0" t="n">
        <f aca="false">ROUND(SUMPRODUCT((Taches!$B$2:$B$60="LOT-08")*($A197&gt;=Taches!$H$2:$H$60)*((($A197-Taches!$H$2:$H$60+1)&gt;=Taches!$E$2:$E$60)+(($A197-Taches!$H$2:$H$60+1)&lt;Taches!$E$2:$E$60)*($A197-Taches!$H$2:$H$60+1)/Taches!$E$2:$E$60)*Taches!$G$2:$G$60),0)</f>
        <v>0</v>
      </c>
      <c r="J197" s="0" t="n">
        <f aca="false">SUM(B197:I197)</f>
        <v>502987402</v>
      </c>
    </row>
    <row r="198" customFormat="false" ht="15" hidden="false" customHeight="false" outlineLevel="0" collapsed="false">
      <c r="A198" s="0" t="n">
        <v>196</v>
      </c>
      <c r="B198" s="0" t="n">
        <f aca="false">ROUND(SUMPRODUCT((Taches!$B$2:$B$60="LOT-01")*($A198&gt;=Taches!$H$2:$H$60)*((($A198-Taches!$H$2:$H$60+1)&gt;=Taches!$E$2:$E$60)+(($A198-Taches!$H$2:$H$60+1)&lt;Taches!$E$2:$E$60)*($A198-Taches!$H$2:$H$60+1)/Taches!$E$2:$E$60)*Taches!$G$2:$G$60),0)</f>
        <v>55890000</v>
      </c>
      <c r="C198" s="0" t="n">
        <f aca="false">ROUND(SUMPRODUCT((Taches!$B$2:$B$60="LOT-02")*($A198&gt;=Taches!$H$2:$H$60)*((($A198-Taches!$H$2:$H$60+1)&gt;=Taches!$E$2:$E$60)+(($A198-Taches!$H$2:$H$60+1)&lt;Taches!$E$2:$E$60)*($A198-Taches!$H$2:$H$60+1)/Taches!$E$2:$E$60)*Taches!$G$2:$G$60),0)</f>
        <v>86960400</v>
      </c>
      <c r="D198" s="0" t="n">
        <f aca="false">ROUND(SUMPRODUCT((Taches!$B$2:$B$60="LOT-03")*($A198&gt;=Taches!$H$2:$H$60)*((($A198-Taches!$H$2:$H$60+1)&gt;=Taches!$E$2:$E$60)+(($A198-Taches!$H$2:$H$60+1)&lt;Taches!$E$2:$E$60)*($A198-Taches!$H$2:$H$60+1)/Taches!$E$2:$E$60)*Taches!$G$2:$G$60),0)</f>
        <v>111116000</v>
      </c>
      <c r="E198" s="0" t="n">
        <f aca="false">ROUND(SUMPRODUCT((Taches!$B$2:$B$60="LOT-04")*($A198&gt;=Taches!$H$2:$H$60)*((($A198-Taches!$H$2:$H$60+1)&gt;=Taches!$E$2:$E$60)+(($A198-Taches!$H$2:$H$60+1)&lt;Taches!$E$2:$E$60)*($A198-Taches!$H$2:$H$60+1)/Taches!$E$2:$E$60)*Taches!$G$2:$G$60),0)</f>
        <v>220073022</v>
      </c>
      <c r="F198" s="0" t="n">
        <f aca="false">ROUND(SUMPRODUCT((Taches!$B$2:$B$60="LOT-05")*($A198&gt;=Taches!$H$2:$H$60)*((($A198-Taches!$H$2:$H$60+1)&gt;=Taches!$E$2:$E$60)+(($A198-Taches!$H$2:$H$60+1)&lt;Taches!$E$2:$E$60)*($A198-Taches!$H$2:$H$60+1)/Taches!$E$2:$E$60)*Taches!$G$2:$G$60),0)</f>
        <v>0</v>
      </c>
      <c r="G198" s="0" t="n">
        <f aca="false">ROUND(SUMPRODUCT((Taches!$B$2:$B$60="LOT-06")*($A198&gt;=Taches!$H$2:$H$60)*((($A198-Taches!$H$2:$H$60+1)&gt;=Taches!$E$2:$E$60)+(($A198-Taches!$H$2:$H$60+1)&lt;Taches!$E$2:$E$60)*($A198-Taches!$H$2:$H$60+1)/Taches!$E$2:$E$60)*Taches!$G$2:$G$60),0)</f>
        <v>18485000</v>
      </c>
      <c r="H198" s="0" t="n">
        <f aca="false">ROUND(SUMPRODUCT((Taches!$B$2:$B$60="LOT-07")*($A198&gt;=Taches!$H$2:$H$60)*((($A198-Taches!$H$2:$H$60+1)&gt;=Taches!$E$2:$E$60)+(($A198-Taches!$H$2:$H$60+1)&lt;Taches!$E$2:$E$60)*($A198-Taches!$H$2:$H$60+1)/Taches!$E$2:$E$60)*Taches!$G$2:$G$60),0)</f>
        <v>14983923</v>
      </c>
      <c r="I198" s="0" t="n">
        <f aca="false">ROUND(SUMPRODUCT((Taches!$B$2:$B$60="LOT-08")*($A198&gt;=Taches!$H$2:$H$60)*((($A198-Taches!$H$2:$H$60+1)&gt;=Taches!$E$2:$E$60)+(($A198-Taches!$H$2:$H$60+1)&lt;Taches!$E$2:$E$60)*($A198-Taches!$H$2:$H$60+1)/Taches!$E$2:$E$60)*Taches!$G$2:$G$60),0)</f>
        <v>0</v>
      </c>
      <c r="J198" s="0" t="n">
        <f aca="false">SUM(B198:I198)</f>
        <v>507508345</v>
      </c>
    </row>
    <row r="199" customFormat="false" ht="15" hidden="false" customHeight="false" outlineLevel="0" collapsed="false">
      <c r="A199" s="0" t="n">
        <v>197</v>
      </c>
      <c r="B199" s="0" t="n">
        <f aca="false">ROUND(SUMPRODUCT((Taches!$B$2:$B$60="LOT-01")*($A199&gt;=Taches!$H$2:$H$60)*((($A199-Taches!$H$2:$H$60+1)&gt;=Taches!$E$2:$E$60)+(($A199-Taches!$H$2:$H$60+1)&lt;Taches!$E$2:$E$60)*($A199-Taches!$H$2:$H$60+1)/Taches!$E$2:$E$60)*Taches!$G$2:$G$60),0)</f>
        <v>55890000</v>
      </c>
      <c r="C199" s="0" t="n">
        <f aca="false">ROUND(SUMPRODUCT((Taches!$B$2:$B$60="LOT-02")*($A199&gt;=Taches!$H$2:$H$60)*((($A199-Taches!$H$2:$H$60+1)&gt;=Taches!$E$2:$E$60)+(($A199-Taches!$H$2:$H$60+1)&lt;Taches!$E$2:$E$60)*($A199-Taches!$H$2:$H$60+1)/Taches!$E$2:$E$60)*Taches!$G$2:$G$60),0)</f>
        <v>86960400</v>
      </c>
      <c r="D199" s="0" t="n">
        <f aca="false">ROUND(SUMPRODUCT((Taches!$B$2:$B$60="LOT-03")*($A199&gt;=Taches!$H$2:$H$60)*((($A199-Taches!$H$2:$H$60+1)&gt;=Taches!$E$2:$E$60)+(($A199-Taches!$H$2:$H$60+1)&lt;Taches!$E$2:$E$60)*($A199-Taches!$H$2:$H$60+1)/Taches!$E$2:$E$60)*Taches!$G$2:$G$60),0)</f>
        <v>111116000</v>
      </c>
      <c r="E199" s="0" t="n">
        <f aca="false">ROUND(SUMPRODUCT((Taches!$B$2:$B$60="LOT-04")*($A199&gt;=Taches!$H$2:$H$60)*((($A199-Taches!$H$2:$H$60+1)&gt;=Taches!$E$2:$E$60)+(($A199-Taches!$H$2:$H$60+1)&lt;Taches!$E$2:$E$60)*($A199-Taches!$H$2:$H$60+1)/Taches!$E$2:$E$60)*Taches!$G$2:$G$60),0)</f>
        <v>222830333</v>
      </c>
      <c r="F199" s="0" t="n">
        <f aca="false">ROUND(SUMPRODUCT((Taches!$B$2:$B$60="LOT-05")*($A199&gt;=Taches!$H$2:$H$60)*((($A199-Taches!$H$2:$H$60+1)&gt;=Taches!$E$2:$E$60)+(($A199-Taches!$H$2:$H$60+1)&lt;Taches!$E$2:$E$60)*($A199-Taches!$H$2:$H$60+1)/Taches!$E$2:$E$60)*Taches!$G$2:$G$60),0)</f>
        <v>0</v>
      </c>
      <c r="G199" s="0" t="n">
        <f aca="false">ROUND(SUMPRODUCT((Taches!$B$2:$B$60="LOT-06")*($A199&gt;=Taches!$H$2:$H$60)*((($A199-Taches!$H$2:$H$60+1)&gt;=Taches!$E$2:$E$60)+(($A199-Taches!$H$2:$H$60+1)&lt;Taches!$E$2:$E$60)*($A199-Taches!$H$2:$H$60+1)/Taches!$E$2:$E$60)*Taches!$G$2:$G$60),0)</f>
        <v>19224400</v>
      </c>
      <c r="H199" s="0" t="n">
        <f aca="false">ROUND(SUMPRODUCT((Taches!$B$2:$B$60="LOT-07")*($A199&gt;=Taches!$H$2:$H$60)*((($A199-Taches!$H$2:$H$60+1)&gt;=Taches!$E$2:$E$60)+(($A199-Taches!$H$2:$H$60+1)&lt;Taches!$E$2:$E$60)*($A199-Taches!$H$2:$H$60+1)/Taches!$E$2:$E$60)*Taches!$G$2:$G$60),0)</f>
        <v>16008154</v>
      </c>
      <c r="I199" s="0" t="n">
        <f aca="false">ROUND(SUMPRODUCT((Taches!$B$2:$B$60="LOT-08")*($A199&gt;=Taches!$H$2:$H$60)*((($A199-Taches!$H$2:$H$60+1)&gt;=Taches!$E$2:$E$60)+(($A199-Taches!$H$2:$H$60+1)&lt;Taches!$E$2:$E$60)*($A199-Taches!$H$2:$H$60+1)/Taches!$E$2:$E$60)*Taches!$G$2:$G$60),0)</f>
        <v>0</v>
      </c>
      <c r="J199" s="0" t="n">
        <f aca="false">SUM(B199:I199)</f>
        <v>512029287</v>
      </c>
    </row>
    <row r="200" customFormat="false" ht="15" hidden="false" customHeight="false" outlineLevel="0" collapsed="false">
      <c r="A200" s="0" t="n">
        <v>198</v>
      </c>
      <c r="B200" s="0" t="n">
        <f aca="false">ROUND(SUMPRODUCT((Taches!$B$2:$B$60="LOT-01")*($A200&gt;=Taches!$H$2:$H$60)*((($A200-Taches!$H$2:$H$60+1)&gt;=Taches!$E$2:$E$60)+(($A200-Taches!$H$2:$H$60+1)&lt;Taches!$E$2:$E$60)*($A200-Taches!$H$2:$H$60+1)/Taches!$E$2:$E$60)*Taches!$G$2:$G$60),0)</f>
        <v>55890000</v>
      </c>
      <c r="C200" s="0" t="n">
        <f aca="false">ROUND(SUMPRODUCT((Taches!$B$2:$B$60="LOT-02")*($A200&gt;=Taches!$H$2:$H$60)*((($A200-Taches!$H$2:$H$60+1)&gt;=Taches!$E$2:$E$60)+(($A200-Taches!$H$2:$H$60+1)&lt;Taches!$E$2:$E$60)*($A200-Taches!$H$2:$H$60+1)/Taches!$E$2:$E$60)*Taches!$G$2:$G$60),0)</f>
        <v>86960400</v>
      </c>
      <c r="D200" s="0" t="n">
        <f aca="false">ROUND(SUMPRODUCT((Taches!$B$2:$B$60="LOT-03")*($A200&gt;=Taches!$H$2:$H$60)*((($A200-Taches!$H$2:$H$60+1)&gt;=Taches!$E$2:$E$60)+(($A200-Taches!$H$2:$H$60+1)&lt;Taches!$E$2:$E$60)*($A200-Taches!$H$2:$H$60+1)/Taches!$E$2:$E$60)*Taches!$G$2:$G$60),0)</f>
        <v>111116000</v>
      </c>
      <c r="E200" s="0" t="n">
        <f aca="false">ROUND(SUMPRODUCT((Taches!$B$2:$B$60="LOT-04")*($A200&gt;=Taches!$H$2:$H$60)*((($A200-Taches!$H$2:$H$60+1)&gt;=Taches!$E$2:$E$60)+(($A200-Taches!$H$2:$H$60+1)&lt;Taches!$E$2:$E$60)*($A200-Taches!$H$2:$H$60+1)/Taches!$E$2:$E$60)*Taches!$G$2:$G$60),0)</f>
        <v>224414167</v>
      </c>
      <c r="F200" s="0" t="n">
        <f aca="false">ROUND(SUMPRODUCT((Taches!$B$2:$B$60="LOT-05")*($A200&gt;=Taches!$H$2:$H$60)*((($A200-Taches!$H$2:$H$60+1)&gt;=Taches!$E$2:$E$60)+(($A200-Taches!$H$2:$H$60+1)&lt;Taches!$E$2:$E$60)*($A200-Taches!$H$2:$H$60+1)/Taches!$E$2:$E$60)*Taches!$G$2:$G$60),0)</f>
        <v>0</v>
      </c>
      <c r="G200" s="0" t="n">
        <f aca="false">ROUND(SUMPRODUCT((Taches!$B$2:$B$60="LOT-06")*($A200&gt;=Taches!$H$2:$H$60)*((($A200-Taches!$H$2:$H$60+1)&gt;=Taches!$E$2:$E$60)+(($A200-Taches!$H$2:$H$60+1)&lt;Taches!$E$2:$E$60)*($A200-Taches!$H$2:$H$60+1)/Taches!$E$2:$E$60)*Taches!$G$2:$G$60),0)</f>
        <v>19963800</v>
      </c>
      <c r="H200" s="0" t="n">
        <f aca="false">ROUND(SUMPRODUCT((Taches!$B$2:$B$60="LOT-07")*($A200&gt;=Taches!$H$2:$H$60)*((($A200-Taches!$H$2:$H$60+1)&gt;=Taches!$E$2:$E$60)+(($A200-Taches!$H$2:$H$60+1)&lt;Taches!$E$2:$E$60)*($A200-Taches!$H$2:$H$60+1)/Taches!$E$2:$E$60)*Taches!$G$2:$G$60),0)</f>
        <v>17032385</v>
      </c>
      <c r="I200" s="0" t="n">
        <f aca="false">ROUND(SUMPRODUCT((Taches!$B$2:$B$60="LOT-08")*($A200&gt;=Taches!$H$2:$H$60)*((($A200-Taches!$H$2:$H$60+1)&gt;=Taches!$E$2:$E$60)+(($A200-Taches!$H$2:$H$60+1)&lt;Taches!$E$2:$E$60)*($A200-Taches!$H$2:$H$60+1)/Taches!$E$2:$E$60)*Taches!$G$2:$G$60),0)</f>
        <v>0</v>
      </c>
      <c r="J200" s="0" t="n">
        <f aca="false">SUM(B200:I200)</f>
        <v>515376752</v>
      </c>
    </row>
    <row r="201" customFormat="false" ht="15" hidden="false" customHeight="false" outlineLevel="0" collapsed="false">
      <c r="A201" s="0" t="n">
        <v>199</v>
      </c>
      <c r="B201" s="0" t="n">
        <f aca="false">ROUND(SUMPRODUCT((Taches!$B$2:$B$60="LOT-01")*($A201&gt;=Taches!$H$2:$H$60)*((($A201-Taches!$H$2:$H$60+1)&gt;=Taches!$E$2:$E$60)+(($A201-Taches!$H$2:$H$60+1)&lt;Taches!$E$2:$E$60)*($A201-Taches!$H$2:$H$60+1)/Taches!$E$2:$E$60)*Taches!$G$2:$G$60),0)</f>
        <v>55890000</v>
      </c>
      <c r="C201" s="0" t="n">
        <f aca="false">ROUND(SUMPRODUCT((Taches!$B$2:$B$60="LOT-02")*($A201&gt;=Taches!$H$2:$H$60)*((($A201-Taches!$H$2:$H$60+1)&gt;=Taches!$E$2:$E$60)+(($A201-Taches!$H$2:$H$60+1)&lt;Taches!$E$2:$E$60)*($A201-Taches!$H$2:$H$60+1)/Taches!$E$2:$E$60)*Taches!$G$2:$G$60),0)</f>
        <v>86960400</v>
      </c>
      <c r="D201" s="0" t="n">
        <f aca="false">ROUND(SUMPRODUCT((Taches!$B$2:$B$60="LOT-03")*($A201&gt;=Taches!$H$2:$H$60)*((($A201-Taches!$H$2:$H$60+1)&gt;=Taches!$E$2:$E$60)+(($A201-Taches!$H$2:$H$60+1)&lt;Taches!$E$2:$E$60)*($A201-Taches!$H$2:$H$60+1)/Taches!$E$2:$E$60)*Taches!$G$2:$G$60),0)</f>
        <v>111116000</v>
      </c>
      <c r="E201" s="0" t="n">
        <f aca="false">ROUND(SUMPRODUCT((Taches!$B$2:$B$60="LOT-04")*($A201&gt;=Taches!$H$2:$H$60)*((($A201-Taches!$H$2:$H$60+1)&gt;=Taches!$E$2:$E$60)+(($A201-Taches!$H$2:$H$60+1)&lt;Taches!$E$2:$E$60)*($A201-Taches!$H$2:$H$60+1)/Taches!$E$2:$E$60)*Taches!$G$2:$G$60),0)</f>
        <v>225998000</v>
      </c>
      <c r="F201" s="0" t="n">
        <f aca="false">ROUND(SUMPRODUCT((Taches!$B$2:$B$60="LOT-05")*($A201&gt;=Taches!$H$2:$H$60)*((($A201-Taches!$H$2:$H$60+1)&gt;=Taches!$E$2:$E$60)+(($A201-Taches!$H$2:$H$60+1)&lt;Taches!$E$2:$E$60)*($A201-Taches!$H$2:$H$60+1)/Taches!$E$2:$E$60)*Taches!$G$2:$G$60),0)</f>
        <v>0</v>
      </c>
      <c r="G201" s="0" t="n">
        <f aca="false">ROUND(SUMPRODUCT((Taches!$B$2:$B$60="LOT-06")*($A201&gt;=Taches!$H$2:$H$60)*((($A201-Taches!$H$2:$H$60+1)&gt;=Taches!$E$2:$E$60)+(($A201-Taches!$H$2:$H$60+1)&lt;Taches!$E$2:$E$60)*($A201-Taches!$H$2:$H$60+1)/Taches!$E$2:$E$60)*Taches!$G$2:$G$60),0)</f>
        <v>20703200</v>
      </c>
      <c r="H201" s="0" t="n">
        <f aca="false">ROUND(SUMPRODUCT((Taches!$B$2:$B$60="LOT-07")*($A201&gt;=Taches!$H$2:$H$60)*((($A201-Taches!$H$2:$H$60+1)&gt;=Taches!$E$2:$E$60)+(($A201-Taches!$H$2:$H$60+1)&lt;Taches!$E$2:$E$60)*($A201-Taches!$H$2:$H$60+1)/Taches!$E$2:$E$60)*Taches!$G$2:$G$60),0)</f>
        <v>18056615</v>
      </c>
      <c r="I201" s="0" t="n">
        <f aca="false">ROUND(SUMPRODUCT((Taches!$B$2:$B$60="LOT-08")*($A201&gt;=Taches!$H$2:$H$60)*((($A201-Taches!$H$2:$H$60+1)&gt;=Taches!$E$2:$E$60)+(($A201-Taches!$H$2:$H$60+1)&lt;Taches!$E$2:$E$60)*($A201-Taches!$H$2:$H$60+1)/Taches!$E$2:$E$60)*Taches!$G$2:$G$60),0)</f>
        <v>0</v>
      </c>
      <c r="J201" s="0" t="n">
        <f aca="false">SUM(B201:I201)</f>
        <v>518724215</v>
      </c>
    </row>
    <row r="202" customFormat="false" ht="15" hidden="false" customHeight="false" outlineLevel="0" collapsed="false">
      <c r="A202" s="0" t="n">
        <v>200</v>
      </c>
      <c r="B202" s="0" t="n">
        <f aca="false">ROUND(SUMPRODUCT((Taches!$B$2:$B$60="LOT-01")*($A202&gt;=Taches!$H$2:$H$60)*((($A202-Taches!$H$2:$H$60+1)&gt;=Taches!$E$2:$E$60)+(($A202-Taches!$H$2:$H$60+1)&lt;Taches!$E$2:$E$60)*($A202-Taches!$H$2:$H$60+1)/Taches!$E$2:$E$60)*Taches!$G$2:$G$60),0)</f>
        <v>55890000</v>
      </c>
      <c r="C202" s="0" t="n">
        <f aca="false">ROUND(SUMPRODUCT((Taches!$B$2:$B$60="LOT-02")*($A202&gt;=Taches!$H$2:$H$60)*((($A202-Taches!$H$2:$H$60+1)&gt;=Taches!$E$2:$E$60)+(($A202-Taches!$H$2:$H$60+1)&lt;Taches!$E$2:$E$60)*($A202-Taches!$H$2:$H$60+1)/Taches!$E$2:$E$60)*Taches!$G$2:$G$60),0)</f>
        <v>86960400</v>
      </c>
      <c r="D202" s="0" t="n">
        <f aca="false">ROUND(SUMPRODUCT((Taches!$B$2:$B$60="LOT-03")*($A202&gt;=Taches!$H$2:$H$60)*((($A202-Taches!$H$2:$H$60+1)&gt;=Taches!$E$2:$E$60)+(($A202-Taches!$H$2:$H$60+1)&lt;Taches!$E$2:$E$60)*($A202-Taches!$H$2:$H$60+1)/Taches!$E$2:$E$60)*Taches!$G$2:$G$60),0)</f>
        <v>111116000</v>
      </c>
      <c r="E202" s="0" t="n">
        <f aca="false">ROUND(SUMPRODUCT((Taches!$B$2:$B$60="LOT-04")*($A202&gt;=Taches!$H$2:$H$60)*((($A202-Taches!$H$2:$H$60+1)&gt;=Taches!$E$2:$E$60)+(($A202-Taches!$H$2:$H$60+1)&lt;Taches!$E$2:$E$60)*($A202-Taches!$H$2:$H$60+1)/Taches!$E$2:$E$60)*Taches!$G$2:$G$60),0)</f>
        <v>227581833</v>
      </c>
      <c r="F202" s="0" t="n">
        <f aca="false">ROUND(SUMPRODUCT((Taches!$B$2:$B$60="LOT-05")*($A202&gt;=Taches!$H$2:$H$60)*((($A202-Taches!$H$2:$H$60+1)&gt;=Taches!$E$2:$E$60)+(($A202-Taches!$H$2:$H$60+1)&lt;Taches!$E$2:$E$60)*($A202-Taches!$H$2:$H$60+1)/Taches!$E$2:$E$60)*Taches!$G$2:$G$60),0)</f>
        <v>0</v>
      </c>
      <c r="G202" s="0" t="n">
        <f aca="false">ROUND(SUMPRODUCT((Taches!$B$2:$B$60="LOT-06")*($A202&gt;=Taches!$H$2:$H$60)*((($A202-Taches!$H$2:$H$60+1)&gt;=Taches!$E$2:$E$60)+(($A202-Taches!$H$2:$H$60+1)&lt;Taches!$E$2:$E$60)*($A202-Taches!$H$2:$H$60+1)/Taches!$E$2:$E$60)*Taches!$G$2:$G$60),0)</f>
        <v>21442600</v>
      </c>
      <c r="H202" s="0" t="n">
        <f aca="false">ROUND(SUMPRODUCT((Taches!$B$2:$B$60="LOT-07")*($A202&gt;=Taches!$H$2:$H$60)*((($A202-Taches!$H$2:$H$60+1)&gt;=Taches!$E$2:$E$60)+(($A202-Taches!$H$2:$H$60+1)&lt;Taches!$E$2:$E$60)*($A202-Taches!$H$2:$H$60+1)/Taches!$E$2:$E$60)*Taches!$G$2:$G$60),0)</f>
        <v>19080846</v>
      </c>
      <c r="I202" s="0" t="n">
        <f aca="false">ROUND(SUMPRODUCT((Taches!$B$2:$B$60="LOT-08")*($A202&gt;=Taches!$H$2:$H$60)*((($A202-Taches!$H$2:$H$60+1)&gt;=Taches!$E$2:$E$60)+(($A202-Taches!$H$2:$H$60+1)&lt;Taches!$E$2:$E$60)*($A202-Taches!$H$2:$H$60+1)/Taches!$E$2:$E$60)*Taches!$G$2:$G$60),0)</f>
        <v>0</v>
      </c>
      <c r="J202" s="0" t="n">
        <f aca="false">SUM(B202:I202)</f>
        <v>522071679</v>
      </c>
    </row>
    <row r="203" customFormat="false" ht="15" hidden="false" customHeight="false" outlineLevel="0" collapsed="false">
      <c r="A203" s="0" t="n">
        <v>201</v>
      </c>
      <c r="B203" s="0" t="n">
        <f aca="false">ROUND(SUMPRODUCT((Taches!$B$2:$B$60="LOT-01")*($A203&gt;=Taches!$H$2:$H$60)*((($A203-Taches!$H$2:$H$60+1)&gt;=Taches!$E$2:$E$60)+(($A203-Taches!$H$2:$H$60+1)&lt;Taches!$E$2:$E$60)*($A203-Taches!$H$2:$H$60+1)/Taches!$E$2:$E$60)*Taches!$G$2:$G$60),0)</f>
        <v>55890000</v>
      </c>
      <c r="C203" s="0" t="n">
        <f aca="false">ROUND(SUMPRODUCT((Taches!$B$2:$B$60="LOT-02")*($A203&gt;=Taches!$H$2:$H$60)*((($A203-Taches!$H$2:$H$60+1)&gt;=Taches!$E$2:$E$60)+(($A203-Taches!$H$2:$H$60+1)&lt;Taches!$E$2:$E$60)*($A203-Taches!$H$2:$H$60+1)/Taches!$E$2:$E$60)*Taches!$G$2:$G$60),0)</f>
        <v>86960400</v>
      </c>
      <c r="D203" s="0" t="n">
        <f aca="false">ROUND(SUMPRODUCT((Taches!$B$2:$B$60="LOT-03")*($A203&gt;=Taches!$H$2:$H$60)*((($A203-Taches!$H$2:$H$60+1)&gt;=Taches!$E$2:$E$60)+(($A203-Taches!$H$2:$H$60+1)&lt;Taches!$E$2:$E$60)*($A203-Taches!$H$2:$H$60+1)/Taches!$E$2:$E$60)*Taches!$G$2:$G$60),0)</f>
        <v>111116000</v>
      </c>
      <c r="E203" s="0" t="n">
        <f aca="false">ROUND(SUMPRODUCT((Taches!$B$2:$B$60="LOT-04")*($A203&gt;=Taches!$H$2:$H$60)*((($A203-Taches!$H$2:$H$60+1)&gt;=Taches!$E$2:$E$60)+(($A203-Taches!$H$2:$H$60+1)&lt;Taches!$E$2:$E$60)*($A203-Taches!$H$2:$H$60+1)/Taches!$E$2:$E$60)*Taches!$G$2:$G$60),0)</f>
        <v>229165667</v>
      </c>
      <c r="F203" s="0" t="n">
        <f aca="false">ROUND(SUMPRODUCT((Taches!$B$2:$B$60="LOT-05")*($A203&gt;=Taches!$H$2:$H$60)*((($A203-Taches!$H$2:$H$60+1)&gt;=Taches!$E$2:$E$60)+(($A203-Taches!$H$2:$H$60+1)&lt;Taches!$E$2:$E$60)*($A203-Taches!$H$2:$H$60+1)/Taches!$E$2:$E$60)*Taches!$G$2:$G$60),0)</f>
        <v>0</v>
      </c>
      <c r="G203" s="0" t="n">
        <f aca="false">ROUND(SUMPRODUCT((Taches!$B$2:$B$60="LOT-06")*($A203&gt;=Taches!$H$2:$H$60)*((($A203-Taches!$H$2:$H$60+1)&gt;=Taches!$E$2:$E$60)+(($A203-Taches!$H$2:$H$60+1)&lt;Taches!$E$2:$E$60)*($A203-Taches!$H$2:$H$60+1)/Taches!$E$2:$E$60)*Taches!$G$2:$G$60),0)</f>
        <v>22182000</v>
      </c>
      <c r="H203" s="0" t="n">
        <f aca="false">ROUND(SUMPRODUCT((Taches!$B$2:$B$60="LOT-07")*($A203&gt;=Taches!$H$2:$H$60)*((($A203-Taches!$H$2:$H$60+1)&gt;=Taches!$E$2:$E$60)+(($A203-Taches!$H$2:$H$60+1)&lt;Taches!$E$2:$E$60)*($A203-Taches!$H$2:$H$60+1)/Taches!$E$2:$E$60)*Taches!$G$2:$G$60),0)</f>
        <v>20105077</v>
      </c>
      <c r="I203" s="0" t="n">
        <f aca="false">ROUND(SUMPRODUCT((Taches!$B$2:$B$60="LOT-08")*($A203&gt;=Taches!$H$2:$H$60)*((($A203-Taches!$H$2:$H$60+1)&gt;=Taches!$E$2:$E$60)+(($A203-Taches!$H$2:$H$60+1)&lt;Taches!$E$2:$E$60)*($A203-Taches!$H$2:$H$60+1)/Taches!$E$2:$E$60)*Taches!$G$2:$G$60),0)</f>
        <v>0</v>
      </c>
      <c r="J203" s="0" t="n">
        <f aca="false">SUM(B203:I203)</f>
        <v>525419144</v>
      </c>
    </row>
    <row r="204" customFormat="false" ht="15" hidden="false" customHeight="false" outlineLevel="0" collapsed="false">
      <c r="A204" s="0" t="n">
        <v>202</v>
      </c>
      <c r="B204" s="0" t="n">
        <f aca="false">ROUND(SUMPRODUCT((Taches!$B$2:$B$60="LOT-01")*($A204&gt;=Taches!$H$2:$H$60)*((($A204-Taches!$H$2:$H$60+1)&gt;=Taches!$E$2:$E$60)+(($A204-Taches!$H$2:$H$60+1)&lt;Taches!$E$2:$E$60)*($A204-Taches!$H$2:$H$60+1)/Taches!$E$2:$E$60)*Taches!$G$2:$G$60),0)</f>
        <v>55890000</v>
      </c>
      <c r="C204" s="0" t="n">
        <f aca="false">ROUND(SUMPRODUCT((Taches!$B$2:$B$60="LOT-02")*($A204&gt;=Taches!$H$2:$H$60)*((($A204-Taches!$H$2:$H$60+1)&gt;=Taches!$E$2:$E$60)+(($A204-Taches!$H$2:$H$60+1)&lt;Taches!$E$2:$E$60)*($A204-Taches!$H$2:$H$60+1)/Taches!$E$2:$E$60)*Taches!$G$2:$G$60),0)</f>
        <v>86960400</v>
      </c>
      <c r="D204" s="0" t="n">
        <f aca="false">ROUND(SUMPRODUCT((Taches!$B$2:$B$60="LOT-03")*($A204&gt;=Taches!$H$2:$H$60)*((($A204-Taches!$H$2:$H$60+1)&gt;=Taches!$E$2:$E$60)+(($A204-Taches!$H$2:$H$60+1)&lt;Taches!$E$2:$E$60)*($A204-Taches!$H$2:$H$60+1)/Taches!$E$2:$E$60)*Taches!$G$2:$G$60),0)</f>
        <v>111116000</v>
      </c>
      <c r="E204" s="0" t="n">
        <f aca="false">ROUND(SUMPRODUCT((Taches!$B$2:$B$60="LOT-04")*($A204&gt;=Taches!$H$2:$H$60)*((($A204-Taches!$H$2:$H$60+1)&gt;=Taches!$E$2:$E$60)+(($A204-Taches!$H$2:$H$60+1)&lt;Taches!$E$2:$E$60)*($A204-Taches!$H$2:$H$60+1)/Taches!$E$2:$E$60)*Taches!$G$2:$G$60),0)</f>
        <v>230749500</v>
      </c>
      <c r="F204" s="0" t="n">
        <f aca="false">ROUND(SUMPRODUCT((Taches!$B$2:$B$60="LOT-05")*($A204&gt;=Taches!$H$2:$H$60)*((($A204-Taches!$H$2:$H$60+1)&gt;=Taches!$E$2:$E$60)+(($A204-Taches!$H$2:$H$60+1)&lt;Taches!$E$2:$E$60)*($A204-Taches!$H$2:$H$60+1)/Taches!$E$2:$E$60)*Taches!$G$2:$G$60),0)</f>
        <v>0</v>
      </c>
      <c r="G204" s="0" t="n">
        <f aca="false">ROUND(SUMPRODUCT((Taches!$B$2:$B$60="LOT-06")*($A204&gt;=Taches!$H$2:$H$60)*((($A204-Taches!$H$2:$H$60+1)&gt;=Taches!$E$2:$E$60)+(($A204-Taches!$H$2:$H$60+1)&lt;Taches!$E$2:$E$60)*($A204-Taches!$H$2:$H$60+1)/Taches!$E$2:$E$60)*Taches!$G$2:$G$60),0)</f>
        <v>23205158</v>
      </c>
      <c r="H204" s="0" t="n">
        <f aca="false">ROUND(SUMPRODUCT((Taches!$B$2:$B$60="LOT-07")*($A204&gt;=Taches!$H$2:$H$60)*((($A204-Taches!$H$2:$H$60+1)&gt;=Taches!$E$2:$E$60)+(($A204-Taches!$H$2:$H$60+1)&lt;Taches!$E$2:$E$60)*($A204-Taches!$H$2:$H$60+1)/Taches!$E$2:$E$60)*Taches!$G$2:$G$60),0)</f>
        <v>21129308</v>
      </c>
      <c r="I204" s="0" t="n">
        <f aca="false">ROUND(SUMPRODUCT((Taches!$B$2:$B$60="LOT-08")*($A204&gt;=Taches!$H$2:$H$60)*((($A204-Taches!$H$2:$H$60+1)&gt;=Taches!$E$2:$E$60)+(($A204-Taches!$H$2:$H$60+1)&lt;Taches!$E$2:$E$60)*($A204-Taches!$H$2:$H$60+1)/Taches!$E$2:$E$60)*Taches!$G$2:$G$60),0)</f>
        <v>0</v>
      </c>
      <c r="J204" s="0" t="n">
        <f aca="false">SUM(B204:I204)</f>
        <v>529050366</v>
      </c>
    </row>
    <row r="205" customFormat="false" ht="15" hidden="false" customHeight="false" outlineLevel="0" collapsed="false">
      <c r="A205" s="0" t="n">
        <v>203</v>
      </c>
      <c r="B205" s="0" t="n">
        <f aca="false">ROUND(SUMPRODUCT((Taches!$B$2:$B$60="LOT-01")*($A205&gt;=Taches!$H$2:$H$60)*((($A205-Taches!$H$2:$H$60+1)&gt;=Taches!$E$2:$E$60)+(($A205-Taches!$H$2:$H$60+1)&lt;Taches!$E$2:$E$60)*($A205-Taches!$H$2:$H$60+1)/Taches!$E$2:$E$60)*Taches!$G$2:$G$60),0)</f>
        <v>55890000</v>
      </c>
      <c r="C205" s="0" t="n">
        <f aca="false">ROUND(SUMPRODUCT((Taches!$B$2:$B$60="LOT-02")*($A205&gt;=Taches!$H$2:$H$60)*((($A205-Taches!$H$2:$H$60+1)&gt;=Taches!$E$2:$E$60)+(($A205-Taches!$H$2:$H$60+1)&lt;Taches!$E$2:$E$60)*($A205-Taches!$H$2:$H$60+1)/Taches!$E$2:$E$60)*Taches!$G$2:$G$60),0)</f>
        <v>86960400</v>
      </c>
      <c r="D205" s="0" t="n">
        <f aca="false">ROUND(SUMPRODUCT((Taches!$B$2:$B$60="LOT-03")*($A205&gt;=Taches!$H$2:$H$60)*((($A205-Taches!$H$2:$H$60+1)&gt;=Taches!$E$2:$E$60)+(($A205-Taches!$H$2:$H$60+1)&lt;Taches!$E$2:$E$60)*($A205-Taches!$H$2:$H$60+1)/Taches!$E$2:$E$60)*Taches!$G$2:$G$60),0)</f>
        <v>111116000</v>
      </c>
      <c r="E205" s="0" t="n">
        <f aca="false">ROUND(SUMPRODUCT((Taches!$B$2:$B$60="LOT-04")*($A205&gt;=Taches!$H$2:$H$60)*((($A205-Taches!$H$2:$H$60+1)&gt;=Taches!$E$2:$E$60)+(($A205-Taches!$H$2:$H$60+1)&lt;Taches!$E$2:$E$60)*($A205-Taches!$H$2:$H$60+1)/Taches!$E$2:$E$60)*Taches!$G$2:$G$60),0)</f>
        <v>232333333</v>
      </c>
      <c r="F205" s="0" t="n">
        <f aca="false">ROUND(SUMPRODUCT((Taches!$B$2:$B$60="LOT-05")*($A205&gt;=Taches!$H$2:$H$60)*((($A205-Taches!$H$2:$H$60+1)&gt;=Taches!$E$2:$E$60)+(($A205-Taches!$H$2:$H$60+1)&lt;Taches!$E$2:$E$60)*($A205-Taches!$H$2:$H$60+1)/Taches!$E$2:$E$60)*Taches!$G$2:$G$60),0)</f>
        <v>0</v>
      </c>
      <c r="G205" s="0" t="n">
        <f aca="false">ROUND(SUMPRODUCT((Taches!$B$2:$B$60="LOT-06")*($A205&gt;=Taches!$H$2:$H$60)*((($A205-Taches!$H$2:$H$60+1)&gt;=Taches!$E$2:$E$60)+(($A205-Taches!$H$2:$H$60+1)&lt;Taches!$E$2:$E$60)*($A205-Taches!$H$2:$H$60+1)/Taches!$E$2:$E$60)*Taches!$G$2:$G$60),0)</f>
        <v>24228316</v>
      </c>
      <c r="H205" s="0" t="n">
        <f aca="false">ROUND(SUMPRODUCT((Taches!$B$2:$B$60="LOT-07")*($A205&gt;=Taches!$H$2:$H$60)*((($A205-Taches!$H$2:$H$60+1)&gt;=Taches!$E$2:$E$60)+(($A205-Taches!$H$2:$H$60+1)&lt;Taches!$E$2:$E$60)*($A205-Taches!$H$2:$H$60+1)/Taches!$E$2:$E$60)*Taches!$G$2:$G$60),0)</f>
        <v>22153538</v>
      </c>
      <c r="I205" s="0" t="n">
        <f aca="false">ROUND(SUMPRODUCT((Taches!$B$2:$B$60="LOT-08")*($A205&gt;=Taches!$H$2:$H$60)*((($A205-Taches!$H$2:$H$60+1)&gt;=Taches!$E$2:$E$60)+(($A205-Taches!$H$2:$H$60+1)&lt;Taches!$E$2:$E$60)*($A205-Taches!$H$2:$H$60+1)/Taches!$E$2:$E$60)*Taches!$G$2:$G$60),0)</f>
        <v>0</v>
      </c>
      <c r="J205" s="0" t="n">
        <f aca="false">SUM(B205:I205)</f>
        <v>532681587</v>
      </c>
    </row>
    <row r="206" customFormat="false" ht="15" hidden="false" customHeight="false" outlineLevel="0" collapsed="false">
      <c r="A206" s="0" t="n">
        <v>204</v>
      </c>
      <c r="B206" s="0" t="n">
        <f aca="false">ROUND(SUMPRODUCT((Taches!$B$2:$B$60="LOT-01")*($A206&gt;=Taches!$H$2:$H$60)*((($A206-Taches!$H$2:$H$60+1)&gt;=Taches!$E$2:$E$60)+(($A206-Taches!$H$2:$H$60+1)&lt;Taches!$E$2:$E$60)*($A206-Taches!$H$2:$H$60+1)/Taches!$E$2:$E$60)*Taches!$G$2:$G$60),0)</f>
        <v>55890000</v>
      </c>
      <c r="C206" s="0" t="n">
        <f aca="false">ROUND(SUMPRODUCT((Taches!$B$2:$B$60="LOT-02")*($A206&gt;=Taches!$H$2:$H$60)*((($A206-Taches!$H$2:$H$60+1)&gt;=Taches!$E$2:$E$60)+(($A206-Taches!$H$2:$H$60+1)&lt;Taches!$E$2:$E$60)*($A206-Taches!$H$2:$H$60+1)/Taches!$E$2:$E$60)*Taches!$G$2:$G$60),0)</f>
        <v>86960400</v>
      </c>
      <c r="D206" s="0" t="n">
        <f aca="false">ROUND(SUMPRODUCT((Taches!$B$2:$B$60="LOT-03")*($A206&gt;=Taches!$H$2:$H$60)*((($A206-Taches!$H$2:$H$60+1)&gt;=Taches!$E$2:$E$60)+(($A206-Taches!$H$2:$H$60+1)&lt;Taches!$E$2:$E$60)*($A206-Taches!$H$2:$H$60+1)/Taches!$E$2:$E$60)*Taches!$G$2:$G$60),0)</f>
        <v>111116000</v>
      </c>
      <c r="E206" s="0" t="n">
        <f aca="false">ROUND(SUMPRODUCT((Taches!$B$2:$B$60="LOT-04")*($A206&gt;=Taches!$H$2:$H$60)*((($A206-Taches!$H$2:$H$60+1)&gt;=Taches!$E$2:$E$60)+(($A206-Taches!$H$2:$H$60+1)&lt;Taches!$E$2:$E$60)*($A206-Taches!$H$2:$H$60+1)/Taches!$E$2:$E$60)*Taches!$G$2:$G$60),0)</f>
        <v>233917167</v>
      </c>
      <c r="F206" s="0" t="n">
        <f aca="false">ROUND(SUMPRODUCT((Taches!$B$2:$B$60="LOT-05")*($A206&gt;=Taches!$H$2:$H$60)*((($A206-Taches!$H$2:$H$60+1)&gt;=Taches!$E$2:$E$60)+(($A206-Taches!$H$2:$H$60+1)&lt;Taches!$E$2:$E$60)*($A206-Taches!$H$2:$H$60+1)/Taches!$E$2:$E$60)*Taches!$G$2:$G$60),0)</f>
        <v>0</v>
      </c>
      <c r="G206" s="0" t="n">
        <f aca="false">ROUND(SUMPRODUCT((Taches!$B$2:$B$60="LOT-06")*($A206&gt;=Taches!$H$2:$H$60)*((($A206-Taches!$H$2:$H$60+1)&gt;=Taches!$E$2:$E$60)+(($A206-Taches!$H$2:$H$60+1)&lt;Taches!$E$2:$E$60)*($A206-Taches!$H$2:$H$60+1)/Taches!$E$2:$E$60)*Taches!$G$2:$G$60),0)</f>
        <v>25251474</v>
      </c>
      <c r="H206" s="0" t="n">
        <f aca="false">ROUND(SUMPRODUCT((Taches!$B$2:$B$60="LOT-07")*($A206&gt;=Taches!$H$2:$H$60)*((($A206-Taches!$H$2:$H$60+1)&gt;=Taches!$E$2:$E$60)+(($A206-Taches!$H$2:$H$60+1)&lt;Taches!$E$2:$E$60)*($A206-Taches!$H$2:$H$60+1)/Taches!$E$2:$E$60)*Taches!$G$2:$G$60),0)</f>
        <v>23177769</v>
      </c>
      <c r="I206" s="0" t="n">
        <f aca="false">ROUND(SUMPRODUCT((Taches!$B$2:$B$60="LOT-08")*($A206&gt;=Taches!$H$2:$H$60)*((($A206-Taches!$H$2:$H$60+1)&gt;=Taches!$E$2:$E$60)+(($A206-Taches!$H$2:$H$60+1)&lt;Taches!$E$2:$E$60)*($A206-Taches!$H$2:$H$60+1)/Taches!$E$2:$E$60)*Taches!$G$2:$G$60),0)</f>
        <v>0</v>
      </c>
      <c r="J206" s="0" t="n">
        <f aca="false">SUM(B206:I206)</f>
        <v>536312810</v>
      </c>
    </row>
    <row r="207" customFormat="false" ht="15" hidden="false" customHeight="false" outlineLevel="0" collapsed="false">
      <c r="A207" s="0" t="n">
        <v>205</v>
      </c>
      <c r="B207" s="0" t="n">
        <f aca="false">ROUND(SUMPRODUCT((Taches!$B$2:$B$60="LOT-01")*($A207&gt;=Taches!$H$2:$H$60)*((($A207-Taches!$H$2:$H$60+1)&gt;=Taches!$E$2:$E$60)+(($A207-Taches!$H$2:$H$60+1)&lt;Taches!$E$2:$E$60)*($A207-Taches!$H$2:$H$60+1)/Taches!$E$2:$E$60)*Taches!$G$2:$G$60),0)</f>
        <v>55890000</v>
      </c>
      <c r="C207" s="0" t="n">
        <f aca="false">ROUND(SUMPRODUCT((Taches!$B$2:$B$60="LOT-02")*($A207&gt;=Taches!$H$2:$H$60)*((($A207-Taches!$H$2:$H$60+1)&gt;=Taches!$E$2:$E$60)+(($A207-Taches!$H$2:$H$60+1)&lt;Taches!$E$2:$E$60)*($A207-Taches!$H$2:$H$60+1)/Taches!$E$2:$E$60)*Taches!$G$2:$G$60),0)</f>
        <v>86960400</v>
      </c>
      <c r="D207" s="0" t="n">
        <f aca="false">ROUND(SUMPRODUCT((Taches!$B$2:$B$60="LOT-03")*($A207&gt;=Taches!$H$2:$H$60)*((($A207-Taches!$H$2:$H$60+1)&gt;=Taches!$E$2:$E$60)+(($A207-Taches!$H$2:$H$60+1)&lt;Taches!$E$2:$E$60)*($A207-Taches!$H$2:$H$60+1)/Taches!$E$2:$E$60)*Taches!$G$2:$G$60),0)</f>
        <v>111116000</v>
      </c>
      <c r="E207" s="0" t="n">
        <f aca="false">ROUND(SUMPRODUCT((Taches!$B$2:$B$60="LOT-04")*($A207&gt;=Taches!$H$2:$H$60)*((($A207-Taches!$H$2:$H$60+1)&gt;=Taches!$E$2:$E$60)+(($A207-Taches!$H$2:$H$60+1)&lt;Taches!$E$2:$E$60)*($A207-Taches!$H$2:$H$60+1)/Taches!$E$2:$E$60)*Taches!$G$2:$G$60),0)</f>
        <v>235501000</v>
      </c>
      <c r="F207" s="0" t="n">
        <f aca="false">ROUND(SUMPRODUCT((Taches!$B$2:$B$60="LOT-05")*($A207&gt;=Taches!$H$2:$H$60)*((($A207-Taches!$H$2:$H$60+1)&gt;=Taches!$E$2:$E$60)+(($A207-Taches!$H$2:$H$60+1)&lt;Taches!$E$2:$E$60)*($A207-Taches!$H$2:$H$60+1)/Taches!$E$2:$E$60)*Taches!$G$2:$G$60),0)</f>
        <v>0</v>
      </c>
      <c r="G207" s="0" t="n">
        <f aca="false">ROUND(SUMPRODUCT((Taches!$B$2:$B$60="LOT-06")*($A207&gt;=Taches!$H$2:$H$60)*((($A207-Taches!$H$2:$H$60+1)&gt;=Taches!$E$2:$E$60)+(($A207-Taches!$H$2:$H$60+1)&lt;Taches!$E$2:$E$60)*($A207-Taches!$H$2:$H$60+1)/Taches!$E$2:$E$60)*Taches!$G$2:$G$60),0)</f>
        <v>26274632</v>
      </c>
      <c r="H207" s="0" t="n">
        <f aca="false">ROUND(SUMPRODUCT((Taches!$B$2:$B$60="LOT-07")*($A207&gt;=Taches!$H$2:$H$60)*((($A207-Taches!$H$2:$H$60+1)&gt;=Taches!$E$2:$E$60)+(($A207-Taches!$H$2:$H$60+1)&lt;Taches!$E$2:$E$60)*($A207-Taches!$H$2:$H$60+1)/Taches!$E$2:$E$60)*Taches!$G$2:$G$60),0)</f>
        <v>24202000</v>
      </c>
      <c r="I207" s="0" t="n">
        <f aca="false">ROUND(SUMPRODUCT((Taches!$B$2:$B$60="LOT-08")*($A207&gt;=Taches!$H$2:$H$60)*((($A207-Taches!$H$2:$H$60+1)&gt;=Taches!$E$2:$E$60)+(($A207-Taches!$H$2:$H$60+1)&lt;Taches!$E$2:$E$60)*($A207-Taches!$H$2:$H$60+1)/Taches!$E$2:$E$60)*Taches!$G$2:$G$60),0)</f>
        <v>0</v>
      </c>
      <c r="J207" s="0" t="n">
        <f aca="false">SUM(B207:I207)</f>
        <v>539944032</v>
      </c>
    </row>
    <row r="208" customFormat="false" ht="15" hidden="false" customHeight="false" outlineLevel="0" collapsed="false">
      <c r="A208" s="0" t="n">
        <v>206</v>
      </c>
      <c r="B208" s="0" t="n">
        <f aca="false">ROUND(SUMPRODUCT((Taches!$B$2:$B$60="LOT-01")*($A208&gt;=Taches!$H$2:$H$60)*((($A208-Taches!$H$2:$H$60+1)&gt;=Taches!$E$2:$E$60)+(($A208-Taches!$H$2:$H$60+1)&lt;Taches!$E$2:$E$60)*($A208-Taches!$H$2:$H$60+1)/Taches!$E$2:$E$60)*Taches!$G$2:$G$60),0)</f>
        <v>55890000</v>
      </c>
      <c r="C208" s="0" t="n">
        <f aca="false">ROUND(SUMPRODUCT((Taches!$B$2:$B$60="LOT-02")*($A208&gt;=Taches!$H$2:$H$60)*((($A208-Taches!$H$2:$H$60+1)&gt;=Taches!$E$2:$E$60)+(($A208-Taches!$H$2:$H$60+1)&lt;Taches!$E$2:$E$60)*($A208-Taches!$H$2:$H$60+1)/Taches!$E$2:$E$60)*Taches!$G$2:$G$60),0)</f>
        <v>86960400</v>
      </c>
      <c r="D208" s="0" t="n">
        <f aca="false">ROUND(SUMPRODUCT((Taches!$B$2:$B$60="LOT-03")*($A208&gt;=Taches!$H$2:$H$60)*((($A208-Taches!$H$2:$H$60+1)&gt;=Taches!$E$2:$E$60)+(($A208-Taches!$H$2:$H$60+1)&lt;Taches!$E$2:$E$60)*($A208-Taches!$H$2:$H$60+1)/Taches!$E$2:$E$60)*Taches!$G$2:$G$60),0)</f>
        <v>111116000</v>
      </c>
      <c r="E208" s="0" t="n">
        <f aca="false">ROUND(SUMPRODUCT((Taches!$B$2:$B$60="LOT-04")*($A208&gt;=Taches!$H$2:$H$60)*((($A208-Taches!$H$2:$H$60+1)&gt;=Taches!$E$2:$E$60)+(($A208-Taches!$H$2:$H$60+1)&lt;Taches!$E$2:$E$60)*($A208-Taches!$H$2:$H$60+1)/Taches!$E$2:$E$60)*Taches!$G$2:$G$60),0)</f>
        <v>236589500</v>
      </c>
      <c r="F208" s="0" t="n">
        <f aca="false">ROUND(SUMPRODUCT((Taches!$B$2:$B$60="LOT-05")*($A208&gt;=Taches!$H$2:$H$60)*((($A208-Taches!$H$2:$H$60+1)&gt;=Taches!$E$2:$E$60)+(($A208-Taches!$H$2:$H$60+1)&lt;Taches!$E$2:$E$60)*($A208-Taches!$H$2:$H$60+1)/Taches!$E$2:$E$60)*Taches!$G$2:$G$60),0)</f>
        <v>0</v>
      </c>
      <c r="G208" s="0" t="n">
        <f aca="false">ROUND(SUMPRODUCT((Taches!$B$2:$B$60="LOT-06")*($A208&gt;=Taches!$H$2:$H$60)*((($A208-Taches!$H$2:$H$60+1)&gt;=Taches!$E$2:$E$60)+(($A208-Taches!$H$2:$H$60+1)&lt;Taches!$E$2:$E$60)*($A208-Taches!$H$2:$H$60+1)/Taches!$E$2:$E$60)*Taches!$G$2:$G$60),0)</f>
        <v>27297789</v>
      </c>
      <c r="H208" s="0" t="n">
        <f aca="false">ROUND(SUMPRODUCT((Taches!$B$2:$B$60="LOT-07")*($A208&gt;=Taches!$H$2:$H$60)*((($A208-Taches!$H$2:$H$60+1)&gt;=Taches!$E$2:$E$60)+(($A208-Taches!$H$2:$H$60+1)&lt;Taches!$E$2:$E$60)*($A208-Taches!$H$2:$H$60+1)/Taches!$E$2:$E$60)*Taches!$G$2:$G$60),0)</f>
        <v>26560444</v>
      </c>
      <c r="I208" s="0" t="n">
        <f aca="false">ROUND(SUMPRODUCT((Taches!$B$2:$B$60="LOT-08")*($A208&gt;=Taches!$H$2:$H$60)*((($A208-Taches!$H$2:$H$60+1)&gt;=Taches!$E$2:$E$60)+(($A208-Taches!$H$2:$H$60+1)&lt;Taches!$E$2:$E$60)*($A208-Taches!$H$2:$H$60+1)/Taches!$E$2:$E$60)*Taches!$G$2:$G$60),0)</f>
        <v>0</v>
      </c>
      <c r="J208" s="0" t="n">
        <f aca="false">SUM(B208:I208)</f>
        <v>544414133</v>
      </c>
    </row>
    <row r="209" customFormat="false" ht="15" hidden="false" customHeight="false" outlineLevel="0" collapsed="false">
      <c r="A209" s="0" t="n">
        <v>207</v>
      </c>
      <c r="B209" s="0" t="n">
        <f aca="false">ROUND(SUMPRODUCT((Taches!$B$2:$B$60="LOT-01")*($A209&gt;=Taches!$H$2:$H$60)*((($A209-Taches!$H$2:$H$60+1)&gt;=Taches!$E$2:$E$60)+(($A209-Taches!$H$2:$H$60+1)&lt;Taches!$E$2:$E$60)*($A209-Taches!$H$2:$H$60+1)/Taches!$E$2:$E$60)*Taches!$G$2:$G$60),0)</f>
        <v>55890000</v>
      </c>
      <c r="C209" s="0" t="n">
        <f aca="false">ROUND(SUMPRODUCT((Taches!$B$2:$B$60="LOT-02")*($A209&gt;=Taches!$H$2:$H$60)*((($A209-Taches!$H$2:$H$60+1)&gt;=Taches!$E$2:$E$60)+(($A209-Taches!$H$2:$H$60+1)&lt;Taches!$E$2:$E$60)*($A209-Taches!$H$2:$H$60+1)/Taches!$E$2:$E$60)*Taches!$G$2:$G$60),0)</f>
        <v>86960400</v>
      </c>
      <c r="D209" s="0" t="n">
        <f aca="false">ROUND(SUMPRODUCT((Taches!$B$2:$B$60="LOT-03")*($A209&gt;=Taches!$H$2:$H$60)*((($A209-Taches!$H$2:$H$60+1)&gt;=Taches!$E$2:$E$60)+(($A209-Taches!$H$2:$H$60+1)&lt;Taches!$E$2:$E$60)*($A209-Taches!$H$2:$H$60+1)/Taches!$E$2:$E$60)*Taches!$G$2:$G$60),0)</f>
        <v>111116000</v>
      </c>
      <c r="E209" s="0" t="n">
        <f aca="false">ROUND(SUMPRODUCT((Taches!$B$2:$B$60="LOT-04")*($A209&gt;=Taches!$H$2:$H$60)*((($A209-Taches!$H$2:$H$60+1)&gt;=Taches!$E$2:$E$60)+(($A209-Taches!$H$2:$H$60+1)&lt;Taches!$E$2:$E$60)*($A209-Taches!$H$2:$H$60+1)/Taches!$E$2:$E$60)*Taches!$G$2:$G$60),0)</f>
        <v>237678000</v>
      </c>
      <c r="F209" s="0" t="n">
        <f aca="false">ROUND(SUMPRODUCT((Taches!$B$2:$B$60="LOT-05")*($A209&gt;=Taches!$H$2:$H$60)*((($A209-Taches!$H$2:$H$60+1)&gt;=Taches!$E$2:$E$60)+(($A209-Taches!$H$2:$H$60+1)&lt;Taches!$E$2:$E$60)*($A209-Taches!$H$2:$H$60+1)/Taches!$E$2:$E$60)*Taches!$G$2:$G$60),0)</f>
        <v>0</v>
      </c>
      <c r="G209" s="0" t="n">
        <f aca="false">ROUND(SUMPRODUCT((Taches!$B$2:$B$60="LOT-06")*($A209&gt;=Taches!$H$2:$H$60)*((($A209-Taches!$H$2:$H$60+1)&gt;=Taches!$E$2:$E$60)+(($A209-Taches!$H$2:$H$60+1)&lt;Taches!$E$2:$E$60)*($A209-Taches!$H$2:$H$60+1)/Taches!$E$2:$E$60)*Taches!$G$2:$G$60),0)</f>
        <v>28320947</v>
      </c>
      <c r="H209" s="0" t="n">
        <f aca="false">ROUND(SUMPRODUCT((Taches!$B$2:$B$60="LOT-07")*($A209&gt;=Taches!$H$2:$H$60)*((($A209-Taches!$H$2:$H$60+1)&gt;=Taches!$E$2:$E$60)+(($A209-Taches!$H$2:$H$60+1)&lt;Taches!$E$2:$E$60)*($A209-Taches!$H$2:$H$60+1)/Taches!$E$2:$E$60)*Taches!$G$2:$G$60),0)</f>
        <v>28918889</v>
      </c>
      <c r="I209" s="0" t="n">
        <f aca="false">ROUND(SUMPRODUCT((Taches!$B$2:$B$60="LOT-08")*($A209&gt;=Taches!$H$2:$H$60)*((($A209-Taches!$H$2:$H$60+1)&gt;=Taches!$E$2:$E$60)+(($A209-Taches!$H$2:$H$60+1)&lt;Taches!$E$2:$E$60)*($A209-Taches!$H$2:$H$60+1)/Taches!$E$2:$E$60)*Taches!$G$2:$G$60),0)</f>
        <v>0</v>
      </c>
      <c r="J209" s="0" t="n">
        <f aca="false">SUM(B209:I209)</f>
        <v>548884236</v>
      </c>
    </row>
    <row r="210" customFormat="false" ht="15" hidden="false" customHeight="false" outlineLevel="0" collapsed="false">
      <c r="A210" s="0" t="n">
        <v>208</v>
      </c>
      <c r="B210" s="0" t="n">
        <f aca="false">ROUND(SUMPRODUCT((Taches!$B$2:$B$60="LOT-01")*($A210&gt;=Taches!$H$2:$H$60)*((($A210-Taches!$H$2:$H$60+1)&gt;=Taches!$E$2:$E$60)+(($A210-Taches!$H$2:$H$60+1)&lt;Taches!$E$2:$E$60)*($A210-Taches!$H$2:$H$60+1)/Taches!$E$2:$E$60)*Taches!$G$2:$G$60),0)</f>
        <v>55890000</v>
      </c>
      <c r="C210" s="0" t="n">
        <f aca="false">ROUND(SUMPRODUCT((Taches!$B$2:$B$60="LOT-02")*($A210&gt;=Taches!$H$2:$H$60)*((($A210-Taches!$H$2:$H$60+1)&gt;=Taches!$E$2:$E$60)+(($A210-Taches!$H$2:$H$60+1)&lt;Taches!$E$2:$E$60)*($A210-Taches!$H$2:$H$60+1)/Taches!$E$2:$E$60)*Taches!$G$2:$G$60),0)</f>
        <v>86960400</v>
      </c>
      <c r="D210" s="0" t="n">
        <f aca="false">ROUND(SUMPRODUCT((Taches!$B$2:$B$60="LOT-03")*($A210&gt;=Taches!$H$2:$H$60)*((($A210-Taches!$H$2:$H$60+1)&gt;=Taches!$E$2:$E$60)+(($A210-Taches!$H$2:$H$60+1)&lt;Taches!$E$2:$E$60)*($A210-Taches!$H$2:$H$60+1)/Taches!$E$2:$E$60)*Taches!$G$2:$G$60),0)</f>
        <v>111116000</v>
      </c>
      <c r="E210" s="0" t="n">
        <f aca="false">ROUND(SUMPRODUCT((Taches!$B$2:$B$60="LOT-04")*($A210&gt;=Taches!$H$2:$H$60)*((($A210-Taches!$H$2:$H$60+1)&gt;=Taches!$E$2:$E$60)+(($A210-Taches!$H$2:$H$60+1)&lt;Taches!$E$2:$E$60)*($A210-Taches!$H$2:$H$60+1)/Taches!$E$2:$E$60)*Taches!$G$2:$G$60),0)</f>
        <v>238766500</v>
      </c>
      <c r="F210" s="0" t="n">
        <f aca="false">ROUND(SUMPRODUCT((Taches!$B$2:$B$60="LOT-05")*($A210&gt;=Taches!$H$2:$H$60)*((($A210-Taches!$H$2:$H$60+1)&gt;=Taches!$E$2:$E$60)+(($A210-Taches!$H$2:$H$60+1)&lt;Taches!$E$2:$E$60)*($A210-Taches!$H$2:$H$60+1)/Taches!$E$2:$E$60)*Taches!$G$2:$G$60),0)</f>
        <v>0</v>
      </c>
      <c r="G210" s="0" t="n">
        <f aca="false">ROUND(SUMPRODUCT((Taches!$B$2:$B$60="LOT-06")*($A210&gt;=Taches!$H$2:$H$60)*((($A210-Taches!$H$2:$H$60+1)&gt;=Taches!$E$2:$E$60)+(($A210-Taches!$H$2:$H$60+1)&lt;Taches!$E$2:$E$60)*($A210-Taches!$H$2:$H$60+1)/Taches!$E$2:$E$60)*Taches!$G$2:$G$60),0)</f>
        <v>29344105</v>
      </c>
      <c r="H210" s="0" t="n">
        <f aca="false">ROUND(SUMPRODUCT((Taches!$B$2:$B$60="LOT-07")*($A210&gt;=Taches!$H$2:$H$60)*((($A210-Taches!$H$2:$H$60+1)&gt;=Taches!$E$2:$E$60)+(($A210-Taches!$H$2:$H$60+1)&lt;Taches!$E$2:$E$60)*($A210-Taches!$H$2:$H$60+1)/Taches!$E$2:$E$60)*Taches!$G$2:$G$60),0)</f>
        <v>31001173</v>
      </c>
      <c r="I210" s="0" t="n">
        <f aca="false">ROUND(SUMPRODUCT((Taches!$B$2:$B$60="LOT-08")*($A210&gt;=Taches!$H$2:$H$60)*((($A210-Taches!$H$2:$H$60+1)&gt;=Taches!$E$2:$E$60)+(($A210-Taches!$H$2:$H$60+1)&lt;Taches!$E$2:$E$60)*($A210-Taches!$H$2:$H$60+1)/Taches!$E$2:$E$60)*Taches!$G$2:$G$60),0)</f>
        <v>0</v>
      </c>
      <c r="J210" s="0" t="n">
        <f aca="false">SUM(B210:I210)</f>
        <v>553078178</v>
      </c>
    </row>
    <row r="211" customFormat="false" ht="15" hidden="false" customHeight="false" outlineLevel="0" collapsed="false">
      <c r="A211" s="0" t="n">
        <v>209</v>
      </c>
      <c r="B211" s="0" t="n">
        <f aca="false">ROUND(SUMPRODUCT((Taches!$B$2:$B$60="LOT-01")*($A211&gt;=Taches!$H$2:$H$60)*((($A211-Taches!$H$2:$H$60+1)&gt;=Taches!$E$2:$E$60)+(($A211-Taches!$H$2:$H$60+1)&lt;Taches!$E$2:$E$60)*($A211-Taches!$H$2:$H$60+1)/Taches!$E$2:$E$60)*Taches!$G$2:$G$60),0)</f>
        <v>55890000</v>
      </c>
      <c r="C211" s="0" t="n">
        <f aca="false">ROUND(SUMPRODUCT((Taches!$B$2:$B$60="LOT-02")*($A211&gt;=Taches!$H$2:$H$60)*((($A211-Taches!$H$2:$H$60+1)&gt;=Taches!$E$2:$E$60)+(($A211-Taches!$H$2:$H$60+1)&lt;Taches!$E$2:$E$60)*($A211-Taches!$H$2:$H$60+1)/Taches!$E$2:$E$60)*Taches!$G$2:$G$60),0)</f>
        <v>86960400</v>
      </c>
      <c r="D211" s="0" t="n">
        <f aca="false">ROUND(SUMPRODUCT((Taches!$B$2:$B$60="LOT-03")*($A211&gt;=Taches!$H$2:$H$60)*((($A211-Taches!$H$2:$H$60+1)&gt;=Taches!$E$2:$E$60)+(($A211-Taches!$H$2:$H$60+1)&lt;Taches!$E$2:$E$60)*($A211-Taches!$H$2:$H$60+1)/Taches!$E$2:$E$60)*Taches!$G$2:$G$60),0)</f>
        <v>111116000</v>
      </c>
      <c r="E211" s="0" t="n">
        <f aca="false">ROUND(SUMPRODUCT((Taches!$B$2:$B$60="LOT-04")*($A211&gt;=Taches!$H$2:$H$60)*((($A211-Taches!$H$2:$H$60+1)&gt;=Taches!$E$2:$E$60)+(($A211-Taches!$H$2:$H$60+1)&lt;Taches!$E$2:$E$60)*($A211-Taches!$H$2:$H$60+1)/Taches!$E$2:$E$60)*Taches!$G$2:$G$60),0)</f>
        <v>239855000</v>
      </c>
      <c r="F211" s="0" t="n">
        <f aca="false">ROUND(SUMPRODUCT((Taches!$B$2:$B$60="LOT-05")*($A211&gt;=Taches!$H$2:$H$60)*((($A211-Taches!$H$2:$H$60+1)&gt;=Taches!$E$2:$E$60)+(($A211-Taches!$H$2:$H$60+1)&lt;Taches!$E$2:$E$60)*($A211-Taches!$H$2:$H$60+1)/Taches!$E$2:$E$60)*Taches!$G$2:$G$60),0)</f>
        <v>0</v>
      </c>
      <c r="G211" s="0" t="n">
        <f aca="false">ROUND(SUMPRODUCT((Taches!$B$2:$B$60="LOT-06")*($A211&gt;=Taches!$H$2:$H$60)*((($A211-Taches!$H$2:$H$60+1)&gt;=Taches!$E$2:$E$60)+(($A211-Taches!$H$2:$H$60+1)&lt;Taches!$E$2:$E$60)*($A211-Taches!$H$2:$H$60+1)/Taches!$E$2:$E$60)*Taches!$G$2:$G$60),0)</f>
        <v>30367263</v>
      </c>
      <c r="H211" s="0" t="n">
        <f aca="false">ROUND(SUMPRODUCT((Taches!$B$2:$B$60="LOT-07")*($A211&gt;=Taches!$H$2:$H$60)*((($A211-Taches!$H$2:$H$60+1)&gt;=Taches!$E$2:$E$60)+(($A211-Taches!$H$2:$H$60+1)&lt;Taches!$E$2:$E$60)*($A211-Taches!$H$2:$H$60+1)/Taches!$E$2:$E$60)*Taches!$G$2:$G$60),0)</f>
        <v>33083458</v>
      </c>
      <c r="I211" s="0" t="n">
        <f aca="false">ROUND(SUMPRODUCT((Taches!$B$2:$B$60="LOT-08")*($A211&gt;=Taches!$H$2:$H$60)*((($A211-Taches!$H$2:$H$60+1)&gt;=Taches!$E$2:$E$60)+(($A211-Taches!$H$2:$H$60+1)&lt;Taches!$E$2:$E$60)*($A211-Taches!$H$2:$H$60+1)/Taches!$E$2:$E$60)*Taches!$G$2:$G$60),0)</f>
        <v>0</v>
      </c>
      <c r="J211" s="0" t="n">
        <f aca="false">SUM(B211:I211)</f>
        <v>557272121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2026-10-20T09:57:14Z</dcterms:created>
  <dc:creator>openpyxl</dc:creator>
  <dc:description/>
  <dc:language>en-US</dc:language>
  <cp:lastModifiedBy/>
  <dcterms:modified xsi:type="dcterms:W3CDTF">2026-10-20T09:57:14Z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